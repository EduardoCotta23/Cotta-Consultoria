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4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d3dd0af008984df/Consultorias/GOTT BIKE/"/>
    </mc:Choice>
  </mc:AlternateContent>
  <xr:revisionPtr revIDLastSave="7322" documentId="13_ncr:1_{43ED4B83-B43E-40E9-867B-654BB53AFA0C}" xr6:coauthVersionLast="47" xr6:coauthVersionMax="47" xr10:uidLastSave="{0305A7B5-855B-422C-A229-353254010237}"/>
  <bookViews>
    <workbookView xWindow="-108" yWindow="-108" windowWidth="23256" windowHeight="12456" firstSheet="4" activeTab="10" xr2:uid="{BFCFDA56-B4E9-49AA-85F1-BF26D43D86CA}"/>
  </bookViews>
  <sheets>
    <sheet name="C.Pagar" sheetId="1" r:id="rId1"/>
    <sheet name="COMPROMISSOS" sheetId="15" r:id="rId2"/>
    <sheet name="DDA" sheetId="14" r:id="rId3"/>
    <sheet name="RECEBIDOS" sheetId="16" r:id="rId4"/>
    <sheet name="COMPARATIVOS" sheetId="12" r:id="rId5"/>
    <sheet name="FATURAS" sheetId="13" r:id="rId6"/>
    <sheet name="MÉTRICAS" sheetId="17" r:id="rId7"/>
    <sheet name="INDICADORES" sheetId="7" r:id="rId8"/>
    <sheet name="CPV" sheetId="5" r:id="rId9"/>
    <sheet name="DRE" sheetId="6" r:id="rId10"/>
    <sheet name="DFC" sheetId="2" r:id="rId11"/>
    <sheet name="BALANÇO PATRIMONIAL" sheetId="4" r:id="rId12"/>
    <sheet name="PRODUÇÃO" sheetId="10" r:id="rId13"/>
    <sheet name="RELATÓRIOS" sheetId="3" r:id="rId14"/>
    <sheet name="AÇÕES" sheetId="8" r:id="rId15"/>
    <sheet name="VINICIUS" sheetId="11" r:id="rId16"/>
  </sheets>
  <definedNames>
    <definedName name="_xlnm._FilterDatabase" localSheetId="2" hidden="1">DDA!$A$2:$D$281</definedName>
    <definedName name="_xlnm._FilterDatabase" localSheetId="15" hidden="1">VINICIUS!$H$2:$J$27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4" l="1"/>
  <c r="P59" i="4"/>
  <c r="O56" i="4"/>
  <c r="O52" i="4"/>
  <c r="O51" i="4"/>
  <c r="O53" i="4" s="1"/>
  <c r="O47" i="4"/>
  <c r="O38" i="4"/>
  <c r="O36" i="4"/>
  <c r="O45" i="4" s="1"/>
  <c r="P33" i="4"/>
  <c r="P31" i="4"/>
  <c r="O29" i="4"/>
  <c r="P25" i="4"/>
  <c r="O24" i="4"/>
  <c r="O22" i="4"/>
  <c r="P22" i="4" s="1"/>
  <c r="P17" i="4"/>
  <c r="P15" i="4"/>
  <c r="P14" i="4"/>
  <c r="O13" i="4"/>
  <c r="P12" i="4"/>
  <c r="P11" i="4"/>
  <c r="P10" i="4"/>
  <c r="P9" i="4"/>
  <c r="P8" i="4"/>
  <c r="O7" i="4"/>
  <c r="P6" i="4"/>
  <c r="P5" i="4"/>
  <c r="P4" i="4"/>
  <c r="O3" i="4"/>
  <c r="O34" i="4" s="1"/>
  <c r="P34" i="4" s="1"/>
  <c r="N2539" i="1" a="1"/>
  <c r="N2539" i="1" s="1"/>
  <c r="N2540" i="1" a="1"/>
  <c r="N2540" i="1" s="1"/>
  <c r="N2541" i="1" a="1"/>
  <c r="N2541" i="1" s="1"/>
  <c r="N2542" i="1" a="1"/>
  <c r="N2542" i="1" s="1"/>
  <c r="N2543" i="1" a="1"/>
  <c r="N2543" i="1" s="1"/>
  <c r="N2544" i="1" a="1"/>
  <c r="N2544" i="1" s="1"/>
  <c r="N2545" i="1" a="1"/>
  <c r="N2545" i="1" s="1"/>
  <c r="N2546" i="1" a="1"/>
  <c r="N2546" i="1" s="1"/>
  <c r="N2547" i="1" a="1"/>
  <c r="N2547" i="1" s="1"/>
  <c r="N2548" i="1" a="1"/>
  <c r="N2548" i="1" s="1"/>
  <c r="N2549" i="1" a="1"/>
  <c r="N2549" i="1" s="1"/>
  <c r="I2539" i="1"/>
  <c r="I2540" i="1"/>
  <c r="I2541" i="1"/>
  <c r="I2542" i="1"/>
  <c r="I2543" i="1"/>
  <c r="I2544" i="1"/>
  <c r="I2545" i="1"/>
  <c r="I2546" i="1"/>
  <c r="I2547" i="1"/>
  <c r="I2548" i="1"/>
  <c r="I2549" i="1"/>
  <c r="N2533" i="1" a="1"/>
  <c r="N2533" i="1"/>
  <c r="N2534" i="1" a="1"/>
  <c r="N2534" i="1"/>
  <c r="N2535" i="1" a="1"/>
  <c r="N2535" i="1"/>
  <c r="N2536" i="1" a="1"/>
  <c r="N2536" i="1"/>
  <c r="N2537" i="1" a="1"/>
  <c r="N2537" i="1"/>
  <c r="N2538" i="1" a="1"/>
  <c r="N2538" i="1"/>
  <c r="I2538" i="1"/>
  <c r="I2537" i="1"/>
  <c r="I2536" i="1"/>
  <c r="I2535" i="1"/>
  <c r="I2534" i="1"/>
  <c r="I2533" i="1"/>
  <c r="D1" i="14"/>
  <c r="N2532" i="1" a="1"/>
  <c r="N2532" i="1" s="1"/>
  <c r="N2531" i="1" a="1"/>
  <c r="N2531" i="1" s="1"/>
  <c r="N2530" i="1" a="1"/>
  <c r="N2530" i="1"/>
  <c r="N2529" i="1" a="1"/>
  <c r="N2529" i="1" s="1"/>
  <c r="N2528" i="1" a="1"/>
  <c r="N2528" i="1" s="1"/>
  <c r="N2527" i="1" a="1"/>
  <c r="N2527" i="1" s="1"/>
  <c r="N2526" i="1" a="1"/>
  <c r="N2526" i="1" s="1"/>
  <c r="N2525" i="1" a="1"/>
  <c r="N2525" i="1"/>
  <c r="I2526" i="1"/>
  <c r="I2527" i="1"/>
  <c r="I2528" i="1"/>
  <c r="I2529" i="1"/>
  <c r="I2530" i="1"/>
  <c r="I2531" i="1"/>
  <c r="I2532" i="1"/>
  <c r="N2524" i="1" a="1"/>
  <c r="N2524" i="1" s="1"/>
  <c r="N2523" i="1" a="1"/>
  <c r="N2523" i="1" s="1"/>
  <c r="N2522" i="1" a="1"/>
  <c r="N2522" i="1" s="1"/>
  <c r="N2521" i="1" a="1"/>
  <c r="N2521" i="1"/>
  <c r="N2520" i="1" a="1"/>
  <c r="N2520" i="1" s="1"/>
  <c r="N2519" i="1" a="1"/>
  <c r="N2519" i="1"/>
  <c r="N2518" i="1" a="1"/>
  <c r="N2518" i="1" s="1"/>
  <c r="N2517" i="1" a="1"/>
  <c r="N2517" i="1" s="1"/>
  <c r="N2516" i="1" a="1"/>
  <c r="N2516" i="1" s="1"/>
  <c r="I2520" i="1"/>
  <c r="I2521" i="1"/>
  <c r="I2522" i="1"/>
  <c r="I2523" i="1"/>
  <c r="I2524" i="1"/>
  <c r="I2525" i="1"/>
  <c r="I2517" i="1"/>
  <c r="I2518" i="1"/>
  <c r="I2519" i="1"/>
  <c r="D114" i="17"/>
  <c r="E114" i="17"/>
  <c r="F114" i="17"/>
  <c r="G114" i="17"/>
  <c r="H114" i="17"/>
  <c r="C114" i="17"/>
  <c r="B110" i="17"/>
  <c r="C110" i="17"/>
  <c r="D110" i="17"/>
  <c r="F110" i="17"/>
  <c r="B112" i="17"/>
  <c r="B97" i="17"/>
  <c r="H97" i="17"/>
  <c r="B98" i="17"/>
  <c r="C98" i="17"/>
  <c r="D98" i="17"/>
  <c r="E98" i="17"/>
  <c r="F98" i="17"/>
  <c r="G98" i="17"/>
  <c r="H98" i="17"/>
  <c r="B99" i="17"/>
  <c r="C99" i="17"/>
  <c r="D99" i="17"/>
  <c r="E99" i="17"/>
  <c r="F99" i="17"/>
  <c r="G99" i="17"/>
  <c r="H99" i="17"/>
  <c r="B100" i="17"/>
  <c r="C100" i="17"/>
  <c r="D100" i="17"/>
  <c r="E100" i="17"/>
  <c r="F100" i="17"/>
  <c r="G100" i="17"/>
  <c r="H100" i="17"/>
  <c r="B101" i="17"/>
  <c r="C101" i="17"/>
  <c r="G101" i="17"/>
  <c r="H101" i="17"/>
  <c r="B102" i="17"/>
  <c r="C102" i="17"/>
  <c r="D102" i="17"/>
  <c r="E102" i="17"/>
  <c r="F102" i="17"/>
  <c r="G102" i="17"/>
  <c r="H102" i="17"/>
  <c r="B104" i="17"/>
  <c r="B105" i="17"/>
  <c r="C105" i="17"/>
  <c r="D105" i="17"/>
  <c r="E105" i="17"/>
  <c r="F105" i="17"/>
  <c r="G105" i="17"/>
  <c r="H105" i="17"/>
  <c r="B106" i="17"/>
  <c r="C106" i="17"/>
  <c r="E106" i="17"/>
  <c r="F106" i="17"/>
  <c r="G106" i="17"/>
  <c r="H106" i="17"/>
  <c r="B108" i="17"/>
  <c r="C94" i="17"/>
  <c r="D94" i="17"/>
  <c r="E94" i="17"/>
  <c r="F94" i="17"/>
  <c r="G94" i="17"/>
  <c r="H94" i="17"/>
  <c r="C95" i="17"/>
  <c r="D95" i="17"/>
  <c r="E95" i="17"/>
  <c r="F95" i="17"/>
  <c r="G95" i="17"/>
  <c r="H95" i="17"/>
  <c r="B94" i="17"/>
  <c r="B95" i="17"/>
  <c r="H89" i="17"/>
  <c r="H87" i="17"/>
  <c r="G89" i="17"/>
  <c r="G87" i="17"/>
  <c r="F89" i="17"/>
  <c r="F87" i="17"/>
  <c r="E89" i="17"/>
  <c r="E87" i="17"/>
  <c r="D89" i="17"/>
  <c r="D87" i="17"/>
  <c r="C89" i="17"/>
  <c r="C87" i="17"/>
  <c r="D84" i="17"/>
  <c r="E84" i="17"/>
  <c r="F84" i="17"/>
  <c r="G84" i="17"/>
  <c r="H84" i="17"/>
  <c r="C84" i="17"/>
  <c r="I2312" i="1"/>
  <c r="N2468" i="1" a="1"/>
  <c r="N2468" i="1" s="1"/>
  <c r="N2469" i="1" a="1"/>
  <c r="N2469" i="1" s="1"/>
  <c r="N2470" i="1" a="1"/>
  <c r="N2470" i="1" s="1"/>
  <c r="N2471" i="1" a="1"/>
  <c r="N2471" i="1" s="1"/>
  <c r="N2472" i="1" a="1"/>
  <c r="N2472" i="1" s="1"/>
  <c r="N2473" i="1" a="1"/>
  <c r="N2473" i="1" s="1"/>
  <c r="N2474" i="1" a="1"/>
  <c r="N2474" i="1" s="1"/>
  <c r="N2475" i="1" a="1"/>
  <c r="N2475" i="1"/>
  <c r="N2476" i="1" a="1"/>
  <c r="N2476" i="1" s="1"/>
  <c r="N2477" i="1" a="1"/>
  <c r="N2477" i="1" s="1"/>
  <c r="N2478" i="1" a="1"/>
  <c r="N2478" i="1" s="1"/>
  <c r="N2479" i="1" a="1"/>
  <c r="N2479" i="1" s="1"/>
  <c r="N2480" i="1" a="1"/>
  <c r="N2480" i="1" s="1"/>
  <c r="N2481" i="1" a="1"/>
  <c r="N2481" i="1" s="1"/>
  <c r="N2482" i="1" a="1"/>
  <c r="N2482" i="1" s="1"/>
  <c r="N2483" i="1" a="1"/>
  <c r="N2483" i="1" s="1"/>
  <c r="N2484" i="1" a="1"/>
  <c r="N2484" i="1" s="1"/>
  <c r="N2485" i="1" a="1"/>
  <c r="N2485" i="1" s="1"/>
  <c r="N2486" i="1" a="1"/>
  <c r="N2486" i="1" s="1"/>
  <c r="N2487" i="1" a="1"/>
  <c r="N2487" i="1" s="1"/>
  <c r="N2488" i="1" a="1"/>
  <c r="N2488" i="1" s="1"/>
  <c r="N2489" i="1" a="1"/>
  <c r="N2489" i="1" s="1"/>
  <c r="N2490" i="1" a="1"/>
  <c r="N2490" i="1" s="1"/>
  <c r="N2491" i="1" a="1"/>
  <c r="N2491" i="1" s="1"/>
  <c r="N2492" i="1" a="1"/>
  <c r="N2492" i="1" s="1"/>
  <c r="N2493" i="1" a="1"/>
  <c r="N2493" i="1" s="1"/>
  <c r="N2494" i="1" a="1"/>
  <c r="N2494" i="1" s="1"/>
  <c r="N2495" i="1" a="1"/>
  <c r="N2495" i="1" s="1"/>
  <c r="N2496" i="1" a="1"/>
  <c r="N2496" i="1" s="1"/>
  <c r="N2497" i="1" a="1"/>
  <c r="N2497" i="1" s="1"/>
  <c r="N2498" i="1" a="1"/>
  <c r="N2498" i="1" s="1"/>
  <c r="N2499" i="1" a="1"/>
  <c r="N2499" i="1" s="1"/>
  <c r="N2500" i="1" a="1"/>
  <c r="N2500" i="1" s="1"/>
  <c r="N2501" i="1" a="1"/>
  <c r="N2501" i="1" s="1"/>
  <c r="N2502" i="1" a="1"/>
  <c r="N2502" i="1" s="1"/>
  <c r="N2503" i="1" a="1"/>
  <c r="N2503" i="1" s="1"/>
  <c r="N2504" i="1" a="1"/>
  <c r="N2504" i="1" s="1"/>
  <c r="N2505" i="1" a="1"/>
  <c r="N2505" i="1" s="1"/>
  <c r="N2506" i="1" a="1"/>
  <c r="N2506" i="1" s="1"/>
  <c r="N2507" i="1" a="1"/>
  <c r="N2507" i="1" s="1"/>
  <c r="N2508" i="1" a="1"/>
  <c r="N2508" i="1" s="1"/>
  <c r="N2509" i="1" a="1"/>
  <c r="N2509" i="1" s="1"/>
  <c r="N2510" i="1" a="1"/>
  <c r="N2510" i="1" s="1"/>
  <c r="N2511" i="1" a="1"/>
  <c r="N2511" i="1" s="1"/>
  <c r="N2512" i="1" a="1"/>
  <c r="N2512" i="1" s="1"/>
  <c r="N2513" i="1" a="1"/>
  <c r="N2513" i="1" s="1"/>
  <c r="N2514" i="1" a="1"/>
  <c r="N2514" i="1" s="1"/>
  <c r="N2515" i="1" a="1"/>
  <c r="N2515" i="1" s="1"/>
  <c r="I2514" i="1"/>
  <c r="I2515" i="1"/>
  <c r="I2516" i="1"/>
  <c r="I2513" i="1"/>
  <c r="I2512" i="1"/>
  <c r="I2511" i="1"/>
  <c r="I2510" i="1"/>
  <c r="I2509" i="1"/>
  <c r="I2508" i="1"/>
  <c r="I2506" i="1"/>
  <c r="I2507" i="1"/>
  <c r="B5" i="17"/>
  <c r="C5" i="17"/>
  <c r="D5" i="17"/>
  <c r="E5" i="17"/>
  <c r="F5" i="17"/>
  <c r="G5" i="17"/>
  <c r="H5" i="17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73" i="1"/>
  <c r="I2474" i="1"/>
  <c r="I2475" i="1"/>
  <c r="I2476" i="1"/>
  <c r="I2477" i="1"/>
  <c r="I2478" i="1"/>
  <c r="I2479" i="1"/>
  <c r="I2480" i="1"/>
  <c r="I2481" i="1"/>
  <c r="I2482" i="1"/>
  <c r="I2483" i="1"/>
  <c r="B63" i="17"/>
  <c r="B60" i="17"/>
  <c r="B54" i="17"/>
  <c r="B51" i="17"/>
  <c r="B48" i="17"/>
  <c r="B45" i="17"/>
  <c r="B42" i="17"/>
  <c r="B39" i="17"/>
  <c r="B36" i="17"/>
  <c r="I2471" i="1"/>
  <c r="I2472" i="1"/>
  <c r="I2470" i="1"/>
  <c r="I2469" i="1"/>
  <c r="B18" i="17"/>
  <c r="B12" i="17"/>
  <c r="B9" i="17"/>
  <c r="B6" i="17"/>
  <c r="B3" i="17"/>
  <c r="N2467" i="1" a="1"/>
  <c r="N2467" i="1" s="1"/>
  <c r="N2466" i="1" a="1"/>
  <c r="N2466" i="1" s="1"/>
  <c r="N2465" i="1" a="1"/>
  <c r="N2465" i="1" s="1"/>
  <c r="N2464" i="1" a="1"/>
  <c r="N2464" i="1" s="1"/>
  <c r="N2463" i="1" a="1"/>
  <c r="N2463" i="1" s="1"/>
  <c r="N2462" i="1" a="1"/>
  <c r="N2462" i="1" s="1"/>
  <c r="N2461" i="1" a="1"/>
  <c r="N2461" i="1" s="1"/>
  <c r="N2460" i="1" a="1"/>
  <c r="N2460" i="1" s="1"/>
  <c r="N2459" i="1" a="1"/>
  <c r="N2459" i="1" s="1"/>
  <c r="N2458" i="1" a="1"/>
  <c r="N2458" i="1" s="1"/>
  <c r="N2457" i="1" a="1"/>
  <c r="N2457" i="1" s="1"/>
  <c r="N2456" i="1" a="1"/>
  <c r="N2456" i="1" s="1"/>
  <c r="N2455" i="1" a="1"/>
  <c r="N2455" i="1" s="1"/>
  <c r="N2454" i="1" a="1"/>
  <c r="N2454" i="1" s="1"/>
  <c r="N2453" i="1" a="1"/>
  <c r="N2453" i="1" s="1"/>
  <c r="N2452" i="1" a="1"/>
  <c r="N2452" i="1" s="1"/>
  <c r="N2451" i="1" a="1"/>
  <c r="N2451" i="1" s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54" i="1"/>
  <c r="I2453" i="1"/>
  <c r="E1" i="5"/>
  <c r="H1" i="5"/>
  <c r="K1" i="5"/>
  <c r="N1" i="5"/>
  <c r="Q1" i="5"/>
  <c r="E27" i="5"/>
  <c r="H27" i="5"/>
  <c r="K27" i="5"/>
  <c r="N27" i="5"/>
  <c r="Q27" i="5"/>
  <c r="B70" i="17"/>
  <c r="B67" i="17"/>
  <c r="B62" i="17"/>
  <c r="B59" i="17"/>
  <c r="B57" i="17"/>
  <c r="B56" i="17"/>
  <c r="B53" i="17"/>
  <c r="B50" i="17"/>
  <c r="B47" i="17"/>
  <c r="B44" i="17"/>
  <c r="B41" i="17"/>
  <c r="B38" i="17"/>
  <c r="B35" i="17"/>
  <c r="B33" i="17"/>
  <c r="B32" i="17"/>
  <c r="B30" i="17"/>
  <c r="B29" i="17"/>
  <c r="B27" i="17"/>
  <c r="B26" i="17"/>
  <c r="B24" i="17"/>
  <c r="B23" i="17"/>
  <c r="B21" i="17"/>
  <c r="B20" i="17"/>
  <c r="B17" i="17"/>
  <c r="B15" i="17"/>
  <c r="B14" i="17"/>
  <c r="B11" i="17"/>
  <c r="B8" i="17"/>
  <c r="B2" i="17"/>
  <c r="B80" i="17" s="1"/>
  <c r="A634" i="7"/>
  <c r="A606" i="7"/>
  <c r="A592" i="7"/>
  <c r="A591" i="7"/>
  <c r="A483" i="7"/>
  <c r="A455" i="7"/>
  <c r="A454" i="7"/>
  <c r="A410" i="7"/>
  <c r="A225" i="7"/>
  <c r="A188" i="7"/>
  <c r="A168" i="7"/>
  <c r="A166" i="7"/>
  <c r="A165" i="7"/>
  <c r="A164" i="7"/>
  <c r="A163" i="7"/>
  <c r="A162" i="7"/>
  <c r="A161" i="7"/>
  <c r="A160" i="7"/>
  <c r="A159" i="7"/>
  <c r="A158" i="7"/>
  <c r="A157" i="7"/>
  <c r="A123" i="7"/>
  <c r="A122" i="7"/>
  <c r="A87" i="7"/>
  <c r="A86" i="7"/>
  <c r="A51" i="7"/>
  <c r="A50" i="7"/>
  <c r="A47" i="7"/>
  <c r="A45" i="7"/>
  <c r="A44" i="7"/>
  <c r="A43" i="7"/>
  <c r="A24" i="7"/>
  <c r="A22" i="7"/>
  <c r="A21" i="7"/>
  <c r="A20" i="7"/>
  <c r="A2" i="7"/>
  <c r="O16" i="16"/>
  <c r="I2452" i="1"/>
  <c r="I2451" i="1"/>
  <c r="N2440" i="1" a="1"/>
  <c r="N2440" i="1" s="1"/>
  <c r="N2441" i="1" a="1"/>
  <c r="N2441" i="1" s="1"/>
  <c r="N2442" i="1" a="1"/>
  <c r="N2442" i="1" s="1"/>
  <c r="N2443" i="1" a="1"/>
  <c r="N2443" i="1" s="1"/>
  <c r="N2444" i="1" a="1"/>
  <c r="N2444" i="1" s="1"/>
  <c r="N2445" i="1" a="1"/>
  <c r="N2445" i="1" s="1"/>
  <c r="N2446" i="1" a="1"/>
  <c r="N2446" i="1" s="1"/>
  <c r="N2447" i="1" a="1"/>
  <c r="N2447" i="1" s="1"/>
  <c r="N2448" i="1" a="1"/>
  <c r="N2448" i="1" s="1"/>
  <c r="N2449" i="1" a="1"/>
  <c r="N2449" i="1" s="1"/>
  <c r="N2450" i="1" a="1"/>
  <c r="N2450" i="1" s="1"/>
  <c r="I2450" i="1"/>
  <c r="I2441" i="1"/>
  <c r="I2442" i="1"/>
  <c r="I2443" i="1"/>
  <c r="I2444" i="1"/>
  <c r="I2445" i="1"/>
  <c r="I2446" i="1"/>
  <c r="I2447" i="1"/>
  <c r="I2448" i="1"/>
  <c r="I2449" i="1"/>
  <c r="H123" i="17"/>
  <c r="G123" i="17"/>
  <c r="F123" i="17"/>
  <c r="E123" i="17"/>
  <c r="D123" i="17"/>
  <c r="C123" i="17"/>
  <c r="B123" i="17"/>
  <c r="B127" i="17"/>
  <c r="B126" i="17"/>
  <c r="E133" i="17"/>
  <c r="C115" i="17"/>
  <c r="B115" i="17"/>
  <c r="B131" i="17"/>
  <c r="H130" i="17"/>
  <c r="G130" i="17"/>
  <c r="F130" i="17"/>
  <c r="E130" i="17"/>
  <c r="D130" i="17"/>
  <c r="C130" i="17"/>
  <c r="B130" i="17"/>
  <c r="B129" i="17"/>
  <c r="H93" i="17"/>
  <c r="F93" i="17"/>
  <c r="E93" i="17"/>
  <c r="C93" i="17"/>
  <c r="B93" i="17"/>
  <c r="B92" i="17"/>
  <c r="H91" i="17"/>
  <c r="G91" i="17"/>
  <c r="F91" i="17"/>
  <c r="E91" i="17"/>
  <c r="D91" i="17"/>
  <c r="C91" i="17"/>
  <c r="H79" i="17"/>
  <c r="G79" i="17"/>
  <c r="F79" i="17"/>
  <c r="E79" i="17"/>
  <c r="D79" i="17"/>
  <c r="C79" i="17"/>
  <c r="B77" i="17"/>
  <c r="B76" i="17"/>
  <c r="B81" i="17" s="1"/>
  <c r="B74" i="17"/>
  <c r="H73" i="17"/>
  <c r="G73" i="17"/>
  <c r="F73" i="17"/>
  <c r="E73" i="17"/>
  <c r="D73" i="17"/>
  <c r="C73" i="17"/>
  <c r="B65" i="17"/>
  <c r="H53" i="17"/>
  <c r="G53" i="17"/>
  <c r="F53" i="17"/>
  <c r="E53" i="17"/>
  <c r="D53" i="17"/>
  <c r="C53" i="17"/>
  <c r="H50" i="17"/>
  <c r="F50" i="17"/>
  <c r="E50" i="17"/>
  <c r="D50" i="17"/>
  <c r="C50" i="17"/>
  <c r="H44" i="17"/>
  <c r="G44" i="17"/>
  <c r="F44" i="17"/>
  <c r="E44" i="17"/>
  <c r="D44" i="17"/>
  <c r="C44" i="17"/>
  <c r="H41" i="17"/>
  <c r="G41" i="17"/>
  <c r="F41" i="17"/>
  <c r="E41" i="17"/>
  <c r="D41" i="17"/>
  <c r="C41" i="17"/>
  <c r="H35" i="17"/>
  <c r="G35" i="17"/>
  <c r="F35" i="17"/>
  <c r="E35" i="17"/>
  <c r="D35" i="17"/>
  <c r="C35" i="17"/>
  <c r="F29" i="17"/>
  <c r="E29" i="17"/>
  <c r="D29" i="17"/>
  <c r="C29" i="17"/>
  <c r="H20" i="17"/>
  <c r="G20" i="17"/>
  <c r="F20" i="17"/>
  <c r="E20" i="17"/>
  <c r="H8" i="17"/>
  <c r="G8" i="17"/>
  <c r="F8" i="17"/>
  <c r="E8" i="17"/>
  <c r="D8" i="17"/>
  <c r="C8" i="17"/>
  <c r="H2" i="17"/>
  <c r="G2" i="17"/>
  <c r="F2" i="17"/>
  <c r="F3" i="17" s="1"/>
  <c r="E2" i="17"/>
  <c r="D2" i="17"/>
  <c r="D3" i="17" s="1"/>
  <c r="C2" i="17"/>
  <c r="N2420" i="1" a="1"/>
  <c r="N2420" i="1" s="1"/>
  <c r="N2421" i="1" a="1"/>
  <c r="N2421" i="1" s="1"/>
  <c r="N2422" i="1" a="1"/>
  <c r="N2422" i="1" s="1"/>
  <c r="N2423" i="1" a="1"/>
  <c r="N2423" i="1" s="1"/>
  <c r="N2424" i="1" a="1"/>
  <c r="N2424" i="1" s="1"/>
  <c r="N2425" i="1" a="1"/>
  <c r="N2425" i="1" s="1"/>
  <c r="N2426" i="1" a="1"/>
  <c r="N2426" i="1" s="1"/>
  <c r="N2427" i="1" a="1"/>
  <c r="N2427" i="1" s="1"/>
  <c r="N2428" i="1" a="1"/>
  <c r="N2428" i="1" s="1"/>
  <c r="N2429" i="1" a="1"/>
  <c r="N2429" i="1" s="1"/>
  <c r="N2430" i="1" a="1"/>
  <c r="N2430" i="1" s="1"/>
  <c r="N2431" i="1" a="1"/>
  <c r="N2431" i="1" s="1"/>
  <c r="N2432" i="1" a="1"/>
  <c r="N2432" i="1" s="1"/>
  <c r="N2433" i="1" a="1"/>
  <c r="N2433" i="1" s="1"/>
  <c r="N2434" i="1" a="1"/>
  <c r="N2434" i="1" s="1"/>
  <c r="N2435" i="1" a="1"/>
  <c r="N2435" i="1" s="1"/>
  <c r="N2436" i="1" a="1"/>
  <c r="N2436" i="1" s="1"/>
  <c r="N2437" i="1" a="1"/>
  <c r="N2437" i="1" s="1"/>
  <c r="N2438" i="1" a="1"/>
  <c r="N2438" i="1" s="1"/>
  <c r="N2439" i="1" a="1"/>
  <c r="N2439" i="1" s="1"/>
  <c r="I2439" i="1"/>
  <c r="I2440" i="1"/>
  <c r="I2436" i="1"/>
  <c r="I2437" i="1"/>
  <c r="I2438" i="1"/>
  <c r="I2432" i="1"/>
  <c r="I2433" i="1"/>
  <c r="I2434" i="1"/>
  <c r="I2435" i="1"/>
  <c r="I2430" i="1"/>
  <c r="I2431" i="1"/>
  <c r="I2428" i="1"/>
  <c r="I2429" i="1"/>
  <c r="I2422" i="1"/>
  <c r="I2423" i="1"/>
  <c r="I2424" i="1"/>
  <c r="I2425" i="1"/>
  <c r="I2426" i="1"/>
  <c r="I2427" i="1"/>
  <c r="I2420" i="1"/>
  <c r="I2421" i="1"/>
  <c r="N2379" i="1" a="1"/>
  <c r="N2379" i="1" s="1"/>
  <c r="N2380" i="1" a="1"/>
  <c r="N2380" i="1" s="1"/>
  <c r="N2381" i="1" a="1"/>
  <c r="N2381" i="1" s="1"/>
  <c r="N2382" i="1" a="1"/>
  <c r="N2382" i="1" s="1"/>
  <c r="N2383" i="1" a="1"/>
  <c r="N2383" i="1" s="1"/>
  <c r="N2384" i="1" a="1"/>
  <c r="N2384" i="1" s="1"/>
  <c r="N2385" i="1" a="1"/>
  <c r="N2385" i="1" s="1"/>
  <c r="N2386" i="1" a="1"/>
  <c r="N2386" i="1" s="1"/>
  <c r="N2387" i="1" a="1"/>
  <c r="N2387" i="1" s="1"/>
  <c r="N2388" i="1" a="1"/>
  <c r="N2388" i="1" s="1"/>
  <c r="N2389" i="1" a="1"/>
  <c r="N2389" i="1" s="1"/>
  <c r="N2390" i="1" a="1"/>
  <c r="N2390" i="1" s="1"/>
  <c r="N2391" i="1" a="1"/>
  <c r="N2391" i="1" s="1"/>
  <c r="N2392" i="1" a="1"/>
  <c r="N2392" i="1" s="1"/>
  <c r="N2393" i="1" a="1"/>
  <c r="N2393" i="1" s="1"/>
  <c r="N2394" i="1" a="1"/>
  <c r="N2394" i="1" s="1"/>
  <c r="N2395" i="1" a="1"/>
  <c r="N2395" i="1" s="1"/>
  <c r="N2396" i="1" a="1"/>
  <c r="N2396" i="1" s="1"/>
  <c r="N2397" i="1" a="1"/>
  <c r="N2397" i="1" s="1"/>
  <c r="N2398" i="1" a="1"/>
  <c r="N2398" i="1" s="1"/>
  <c r="N2399" i="1" a="1"/>
  <c r="N2399" i="1" s="1"/>
  <c r="N2400" i="1" a="1"/>
  <c r="N2400" i="1" s="1"/>
  <c r="N2401" i="1" a="1"/>
  <c r="N2401" i="1" s="1"/>
  <c r="N2402" i="1" a="1"/>
  <c r="N2402" i="1" s="1"/>
  <c r="N2403" i="1" a="1"/>
  <c r="N2403" i="1" s="1"/>
  <c r="N2404" i="1" a="1"/>
  <c r="N2404" i="1" s="1"/>
  <c r="N2405" i="1" a="1"/>
  <c r="N2405" i="1" s="1"/>
  <c r="N2406" i="1" a="1"/>
  <c r="N2406" i="1" s="1"/>
  <c r="N2407" i="1" a="1"/>
  <c r="N2407" i="1" s="1"/>
  <c r="N2408" i="1" a="1"/>
  <c r="N2408" i="1" s="1"/>
  <c r="N2409" i="1" a="1"/>
  <c r="N2409" i="1" s="1"/>
  <c r="N2410" i="1" a="1"/>
  <c r="N2410" i="1" s="1"/>
  <c r="N2411" i="1" a="1"/>
  <c r="N2411" i="1" s="1"/>
  <c r="N2412" i="1" a="1"/>
  <c r="N2412" i="1" s="1"/>
  <c r="N2413" i="1" a="1"/>
  <c r="N2413" i="1" s="1"/>
  <c r="N2414" i="1" a="1"/>
  <c r="N2414" i="1" s="1"/>
  <c r="N2415" i="1" a="1"/>
  <c r="N2415" i="1" s="1"/>
  <c r="N2416" i="1" a="1"/>
  <c r="N2416" i="1" s="1"/>
  <c r="N2417" i="1" a="1"/>
  <c r="N2417" i="1" s="1"/>
  <c r="N2418" i="1" a="1"/>
  <c r="N2418" i="1" s="1"/>
  <c r="N2419" i="1" a="1"/>
  <c r="N2419" i="1" s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D27" i="12"/>
  <c r="S175" i="2"/>
  <c r="P175" i="2"/>
  <c r="Q175" i="2" s="1"/>
  <c r="M175" i="2"/>
  <c r="J175" i="2"/>
  <c r="G175" i="2"/>
  <c r="D175" i="2"/>
  <c r="B175" i="2"/>
  <c r="C175" i="2" s="1"/>
  <c r="N2370" i="1" a="1"/>
  <c r="N2370" i="1" s="1"/>
  <c r="N2371" i="1" a="1"/>
  <c r="N2371" i="1" s="1"/>
  <c r="N2372" i="1" a="1"/>
  <c r="N2372" i="1" s="1"/>
  <c r="N2373" i="1" a="1"/>
  <c r="N2373" i="1" s="1"/>
  <c r="N2374" i="1" a="1"/>
  <c r="N2374" i="1" s="1"/>
  <c r="N2375" i="1" a="1"/>
  <c r="N2375" i="1" s="1"/>
  <c r="N2376" i="1" a="1"/>
  <c r="N2376" i="1" s="1"/>
  <c r="N2377" i="1" a="1"/>
  <c r="N2377" i="1" s="1"/>
  <c r="N2378" i="1" a="1"/>
  <c r="N2378" i="1" s="1"/>
  <c r="I2378" i="1"/>
  <c r="I2377" i="1"/>
  <c r="I2376" i="1"/>
  <c r="I2371" i="1"/>
  <c r="I2372" i="1"/>
  <c r="I2373" i="1"/>
  <c r="I2374" i="1"/>
  <c r="I2375" i="1"/>
  <c r="I2370" i="1"/>
  <c r="C224" i="7"/>
  <c r="D224" i="7"/>
  <c r="E224" i="7"/>
  <c r="F224" i="7"/>
  <c r="G224" i="7"/>
  <c r="B224" i="7"/>
  <c r="S164" i="2"/>
  <c r="S162" i="2"/>
  <c r="S156" i="2"/>
  <c r="S154" i="2"/>
  <c r="S153" i="2"/>
  <c r="S152" i="2"/>
  <c r="S151" i="2"/>
  <c r="S149" i="2"/>
  <c r="S148" i="2"/>
  <c r="S144" i="2"/>
  <c r="S143" i="2"/>
  <c r="S142" i="2"/>
  <c r="S141" i="2"/>
  <c r="S140" i="2"/>
  <c r="S135" i="2"/>
  <c r="S134" i="2"/>
  <c r="S131" i="2"/>
  <c r="S130" i="2"/>
  <c r="S128" i="2"/>
  <c r="S127" i="2" s="1"/>
  <c r="S125" i="2"/>
  <c r="S122" i="2"/>
  <c r="S121" i="2" s="1"/>
  <c r="S120" i="2"/>
  <c r="S119" i="2"/>
  <c r="S118" i="2"/>
  <c r="S115" i="2"/>
  <c r="S112" i="2"/>
  <c r="S100" i="2"/>
  <c r="S98" i="2"/>
  <c r="S96" i="2"/>
  <c r="S87" i="2"/>
  <c r="S83" i="2"/>
  <c r="S81" i="2"/>
  <c r="S80" i="2"/>
  <c r="S68" i="2"/>
  <c r="S66" i="2"/>
  <c r="S52" i="2"/>
  <c r="S51" i="2"/>
  <c r="S33" i="2"/>
  <c r="S32" i="2"/>
  <c r="S31" i="2"/>
  <c r="S16" i="2"/>
  <c r="S15" i="2" s="1"/>
  <c r="S9" i="2"/>
  <c r="S8" i="2"/>
  <c r="S3" i="2"/>
  <c r="T3" i="2" s="1"/>
  <c r="U4" i="2"/>
  <c r="O14" i="16"/>
  <c r="N2345" i="1" a="1"/>
  <c r="N2345" i="1" s="1"/>
  <c r="N2346" i="1" a="1"/>
  <c r="N2346" i="1" s="1"/>
  <c r="N2347" i="1" a="1"/>
  <c r="N2347" i="1" s="1"/>
  <c r="N2348" i="1" a="1"/>
  <c r="N2348" i="1" s="1"/>
  <c r="N2349" i="1" a="1"/>
  <c r="N2349" i="1" s="1"/>
  <c r="N2350" i="1" a="1"/>
  <c r="N2350" i="1" s="1"/>
  <c r="N2351" i="1" a="1"/>
  <c r="N2351" i="1" s="1"/>
  <c r="N2352" i="1" a="1"/>
  <c r="N2352" i="1" s="1"/>
  <c r="N2353" i="1" a="1"/>
  <c r="N2353" i="1" s="1"/>
  <c r="N2354" i="1" a="1"/>
  <c r="N2354" i="1" s="1"/>
  <c r="N2355" i="1" a="1"/>
  <c r="N2355" i="1" s="1"/>
  <c r="N2356" i="1" a="1"/>
  <c r="N2356" i="1" s="1"/>
  <c r="N2357" i="1" a="1"/>
  <c r="N2357" i="1" s="1"/>
  <c r="N2358" i="1" a="1"/>
  <c r="N2358" i="1" s="1"/>
  <c r="N2359" i="1" a="1"/>
  <c r="N2359" i="1" s="1"/>
  <c r="N2360" i="1" a="1"/>
  <c r="N2360" i="1" s="1"/>
  <c r="N2361" i="1" a="1"/>
  <c r="N2361" i="1" s="1"/>
  <c r="N2362" i="1" a="1"/>
  <c r="N2362" i="1" s="1"/>
  <c r="N2363" i="1" a="1"/>
  <c r="N2363" i="1" s="1"/>
  <c r="N2364" i="1" a="1"/>
  <c r="N2364" i="1" s="1"/>
  <c r="N2365" i="1" a="1"/>
  <c r="N2365" i="1" s="1"/>
  <c r="N2366" i="1" a="1"/>
  <c r="N2366" i="1" s="1"/>
  <c r="N2367" i="1" a="1"/>
  <c r="N2367" i="1" s="1"/>
  <c r="N2368" i="1" a="1"/>
  <c r="N2368" i="1" s="1"/>
  <c r="N2369" i="1" a="1"/>
  <c r="N2369" i="1" s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45" i="1"/>
  <c r="I2346" i="1"/>
  <c r="I2347" i="1"/>
  <c r="I2348" i="1"/>
  <c r="I2349" i="1"/>
  <c r="I2350" i="1"/>
  <c r="I2351" i="1"/>
  <c r="I2352" i="1"/>
  <c r="N2294" i="1" a="1"/>
  <c r="N2294" i="1" s="1"/>
  <c r="N2295" i="1" a="1"/>
  <c r="N2295" i="1" s="1"/>
  <c r="N2296" i="1" a="1"/>
  <c r="N2296" i="1" s="1"/>
  <c r="N2297" i="1" a="1"/>
  <c r="N2297" i="1" s="1"/>
  <c r="N2298" i="1" a="1"/>
  <c r="N2298" i="1" s="1"/>
  <c r="N2299" i="1" a="1"/>
  <c r="N2299" i="1" s="1"/>
  <c r="N2300" i="1" a="1"/>
  <c r="N2300" i="1" s="1"/>
  <c r="N2301" i="1" a="1"/>
  <c r="N2301" i="1" s="1"/>
  <c r="N2302" i="1" a="1"/>
  <c r="N2302" i="1" s="1"/>
  <c r="N2303" i="1" a="1"/>
  <c r="N2303" i="1" s="1"/>
  <c r="N2304" i="1" a="1"/>
  <c r="N2304" i="1" s="1"/>
  <c r="N2305" i="1" a="1"/>
  <c r="N2305" i="1" s="1"/>
  <c r="N2306" i="1" a="1"/>
  <c r="N2306" i="1" s="1"/>
  <c r="N2307" i="1" a="1"/>
  <c r="N2307" i="1" s="1"/>
  <c r="N2308" i="1" a="1"/>
  <c r="N2308" i="1" s="1"/>
  <c r="N2309" i="1" a="1"/>
  <c r="N2309" i="1" s="1"/>
  <c r="N2310" i="1" a="1"/>
  <c r="N2310" i="1" s="1"/>
  <c r="N2311" i="1" a="1"/>
  <c r="N2311" i="1" s="1"/>
  <c r="N2313" i="1" a="1"/>
  <c r="N2313" i="1" s="1"/>
  <c r="N2314" i="1" a="1"/>
  <c r="N2314" i="1" s="1"/>
  <c r="N2315" i="1" a="1"/>
  <c r="N2315" i="1" s="1"/>
  <c r="N2316" i="1" a="1"/>
  <c r="N2316" i="1" s="1"/>
  <c r="N2317" i="1" a="1"/>
  <c r="N2317" i="1" s="1"/>
  <c r="N2318" i="1" a="1"/>
  <c r="N2318" i="1" s="1"/>
  <c r="N2319" i="1" a="1"/>
  <c r="N2319" i="1" s="1"/>
  <c r="N2320" i="1" a="1"/>
  <c r="N2320" i="1" s="1"/>
  <c r="N2321" i="1" a="1"/>
  <c r="N2321" i="1" s="1"/>
  <c r="N2322" i="1" a="1"/>
  <c r="N2322" i="1" s="1"/>
  <c r="N2323" i="1" a="1"/>
  <c r="N2323" i="1" s="1"/>
  <c r="N2324" i="1" a="1"/>
  <c r="N2324" i="1" s="1"/>
  <c r="N2325" i="1" a="1"/>
  <c r="N2325" i="1" s="1"/>
  <c r="N2326" i="1" a="1"/>
  <c r="N2326" i="1" s="1"/>
  <c r="N2327" i="1" a="1"/>
  <c r="N2327" i="1" s="1"/>
  <c r="N2328" i="1" a="1"/>
  <c r="N2328" i="1" s="1"/>
  <c r="N2329" i="1" a="1"/>
  <c r="N2329" i="1" s="1"/>
  <c r="N2330" i="1" a="1"/>
  <c r="N2330" i="1" s="1"/>
  <c r="N2331" i="1" a="1"/>
  <c r="N2331" i="1" s="1"/>
  <c r="N2332" i="1" a="1"/>
  <c r="N2332" i="1" s="1"/>
  <c r="N2333" i="1" a="1"/>
  <c r="N2333" i="1" s="1"/>
  <c r="N2334" i="1" a="1"/>
  <c r="N2334" i="1" s="1"/>
  <c r="N2335" i="1" a="1"/>
  <c r="N2335" i="1" s="1"/>
  <c r="N2336" i="1" a="1"/>
  <c r="N2336" i="1" s="1"/>
  <c r="N2337" i="1" a="1"/>
  <c r="N2337" i="1" s="1"/>
  <c r="N2338" i="1" a="1"/>
  <c r="N2338" i="1" s="1"/>
  <c r="N2339" i="1" a="1"/>
  <c r="N2339" i="1" s="1"/>
  <c r="N2340" i="1" a="1"/>
  <c r="N2340" i="1" s="1"/>
  <c r="N2341" i="1" a="1"/>
  <c r="N2341" i="1" s="1"/>
  <c r="N2342" i="1" a="1"/>
  <c r="N2342" i="1" s="1"/>
  <c r="N2343" i="1" a="1"/>
  <c r="N2343" i="1" s="1"/>
  <c r="N2344" i="1" a="1"/>
  <c r="N2344" i="1" s="1"/>
  <c r="I2343" i="1"/>
  <c r="I2344" i="1"/>
  <c r="I2342" i="1"/>
  <c r="I2340" i="1"/>
  <c r="I2341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M4" i="2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C485" i="7"/>
  <c r="D485" i="7"/>
  <c r="E485" i="7"/>
  <c r="F485" i="7"/>
  <c r="G485" i="7"/>
  <c r="B485" i="7"/>
  <c r="M17" i="4"/>
  <c r="G458" i="7" s="1"/>
  <c r="A189" i="7"/>
  <c r="Q22" i="6"/>
  <c r="H29" i="17" s="1"/>
  <c r="H30" i="17" s="1"/>
  <c r="S19" i="6"/>
  <c r="R19" i="6"/>
  <c r="P19" i="6"/>
  <c r="O19" i="6"/>
  <c r="M19" i="6"/>
  <c r="L19" i="6"/>
  <c r="J19" i="6"/>
  <c r="I19" i="6"/>
  <c r="G19" i="6"/>
  <c r="F19" i="6"/>
  <c r="D19" i="6"/>
  <c r="Q15" i="6"/>
  <c r="R15" i="6" s="1"/>
  <c r="N15" i="6"/>
  <c r="K15" i="6"/>
  <c r="H15" i="6"/>
  <c r="E15" i="6"/>
  <c r="C15" i="6"/>
  <c r="Q14" i="6"/>
  <c r="R14" i="6" s="1"/>
  <c r="N14" i="6"/>
  <c r="K14" i="6"/>
  <c r="H14" i="6"/>
  <c r="E14" i="6"/>
  <c r="C14" i="6"/>
  <c r="S20" i="6"/>
  <c r="R20" i="6"/>
  <c r="P20" i="6"/>
  <c r="O20" i="6"/>
  <c r="M20" i="6"/>
  <c r="L20" i="6"/>
  <c r="J20" i="6"/>
  <c r="I20" i="6"/>
  <c r="G20" i="6"/>
  <c r="F20" i="6"/>
  <c r="D20" i="6"/>
  <c r="S18" i="6"/>
  <c r="R18" i="6"/>
  <c r="P18" i="6"/>
  <c r="O18" i="6"/>
  <c r="M18" i="6"/>
  <c r="L18" i="6"/>
  <c r="J18" i="6"/>
  <c r="I18" i="6"/>
  <c r="G18" i="6"/>
  <c r="F18" i="6"/>
  <c r="D18" i="6"/>
  <c r="S17" i="6"/>
  <c r="R17" i="6"/>
  <c r="P17" i="6"/>
  <c r="O17" i="6"/>
  <c r="M17" i="6"/>
  <c r="L17" i="6"/>
  <c r="J17" i="6"/>
  <c r="I17" i="6"/>
  <c r="G17" i="6"/>
  <c r="F17" i="6"/>
  <c r="D17" i="6"/>
  <c r="S16" i="6"/>
  <c r="R16" i="6"/>
  <c r="P16" i="6"/>
  <c r="O16" i="6"/>
  <c r="L16" i="6"/>
  <c r="G16" i="6"/>
  <c r="F16" i="6"/>
  <c r="D16" i="6"/>
  <c r="A528" i="7"/>
  <c r="C527" i="7"/>
  <c r="D527" i="7"/>
  <c r="E527" i="7"/>
  <c r="F527" i="7"/>
  <c r="G527" i="7"/>
  <c r="B527" i="7"/>
  <c r="A635" i="7"/>
  <c r="G634" i="7"/>
  <c r="F634" i="7"/>
  <c r="E634" i="7"/>
  <c r="D634" i="7"/>
  <c r="C633" i="7"/>
  <c r="D633" i="7"/>
  <c r="E633" i="7"/>
  <c r="F633" i="7"/>
  <c r="G633" i="7"/>
  <c r="B633" i="7"/>
  <c r="N1959" i="1" a="1"/>
  <c r="N1959" i="1" s="1"/>
  <c r="P33" i="2"/>
  <c r="M33" i="2"/>
  <c r="J33" i="2"/>
  <c r="G33" i="2"/>
  <c r="D33" i="2"/>
  <c r="B33" i="2"/>
  <c r="N2247" i="1" a="1"/>
  <c r="N2247" i="1" s="1"/>
  <c r="N2248" i="1" a="1"/>
  <c r="N2248" i="1" s="1"/>
  <c r="N2249" i="1" a="1"/>
  <c r="N2249" i="1" s="1"/>
  <c r="N2250" i="1" a="1"/>
  <c r="N2250" i="1" s="1"/>
  <c r="N2251" i="1" a="1"/>
  <c r="N2251" i="1" s="1"/>
  <c r="N2252" i="1" a="1"/>
  <c r="N2252" i="1" s="1"/>
  <c r="N2253" i="1" a="1"/>
  <c r="N2253" i="1" s="1"/>
  <c r="N2254" i="1" a="1"/>
  <c r="N2254" i="1" s="1"/>
  <c r="N2255" i="1" a="1"/>
  <c r="N2255" i="1" s="1"/>
  <c r="N2256" i="1" a="1"/>
  <c r="N2256" i="1" s="1"/>
  <c r="N2257" i="1" a="1"/>
  <c r="N2257" i="1" s="1"/>
  <c r="N2258" i="1" a="1"/>
  <c r="N2258" i="1" s="1"/>
  <c r="N2259" i="1" a="1"/>
  <c r="N2259" i="1" s="1"/>
  <c r="N2260" i="1" a="1"/>
  <c r="N2260" i="1" s="1"/>
  <c r="N2261" i="1" a="1"/>
  <c r="N2261" i="1" s="1"/>
  <c r="N2262" i="1" a="1"/>
  <c r="N2262" i="1" s="1"/>
  <c r="N2263" i="1" a="1"/>
  <c r="N2263" i="1" s="1"/>
  <c r="N2264" i="1" a="1"/>
  <c r="N2264" i="1" s="1"/>
  <c r="N2265" i="1" a="1"/>
  <c r="N2265" i="1" s="1"/>
  <c r="N2266" i="1" a="1"/>
  <c r="N2266" i="1" s="1"/>
  <c r="N2267" i="1" a="1"/>
  <c r="N2267" i="1" s="1"/>
  <c r="N2268" i="1" a="1"/>
  <c r="N2268" i="1" s="1"/>
  <c r="N2269" i="1" a="1"/>
  <c r="N2269" i="1" s="1"/>
  <c r="N2270" i="1" a="1"/>
  <c r="N2270" i="1" s="1"/>
  <c r="N2271" i="1" a="1"/>
  <c r="N2271" i="1" s="1"/>
  <c r="N2272" i="1" a="1"/>
  <c r="N2272" i="1" s="1"/>
  <c r="N2273" i="1" a="1"/>
  <c r="N2273" i="1" s="1"/>
  <c r="N2274" i="1" a="1"/>
  <c r="N2274" i="1" s="1"/>
  <c r="N2275" i="1" a="1"/>
  <c r="N2275" i="1" s="1"/>
  <c r="N2276" i="1" a="1"/>
  <c r="N2276" i="1" s="1"/>
  <c r="N2277" i="1" a="1"/>
  <c r="N2277" i="1" s="1"/>
  <c r="N2278" i="1" a="1"/>
  <c r="N2278" i="1" s="1"/>
  <c r="N2279" i="1" a="1"/>
  <c r="N2279" i="1" s="1"/>
  <c r="N2280" i="1" a="1"/>
  <c r="N2280" i="1" s="1"/>
  <c r="N2281" i="1" a="1"/>
  <c r="N2281" i="1" s="1"/>
  <c r="N2282" i="1" a="1"/>
  <c r="N2282" i="1" s="1"/>
  <c r="N2283" i="1" a="1"/>
  <c r="N2283" i="1" s="1"/>
  <c r="N2284" i="1" a="1"/>
  <c r="N2284" i="1" s="1"/>
  <c r="N2285" i="1" a="1"/>
  <c r="N2285" i="1" s="1"/>
  <c r="N2286" i="1" a="1"/>
  <c r="N2286" i="1" s="1"/>
  <c r="N2287" i="1" a="1"/>
  <c r="N2287" i="1" s="1"/>
  <c r="N2288" i="1" a="1"/>
  <c r="N2288" i="1" s="1"/>
  <c r="N2289" i="1" a="1"/>
  <c r="N2289" i="1" s="1"/>
  <c r="N2290" i="1" a="1"/>
  <c r="N2290" i="1" s="1"/>
  <c r="N2291" i="1" a="1"/>
  <c r="N2291" i="1" s="1"/>
  <c r="N2292" i="1" a="1"/>
  <c r="N2292" i="1" s="1"/>
  <c r="N2293" i="1" a="1"/>
  <c r="N2293" i="1" s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G397" i="7"/>
  <c r="G392" i="7"/>
  <c r="G391" i="7"/>
  <c r="G390" i="7"/>
  <c r="G389" i="7"/>
  <c r="G388" i="7"/>
  <c r="G387" i="7"/>
  <c r="G386" i="7"/>
  <c r="G385" i="7"/>
  <c r="G384" i="7"/>
  <c r="G363" i="7"/>
  <c r="G362" i="7"/>
  <c r="G361" i="7"/>
  <c r="G360" i="7"/>
  <c r="G358" i="7"/>
  <c r="G357" i="7"/>
  <c r="G356" i="7"/>
  <c r="G355" i="7"/>
  <c r="N2140" i="1" a="1"/>
  <c r="N2140" i="1" s="1"/>
  <c r="B326" i="7"/>
  <c r="C326" i="7"/>
  <c r="D326" i="7"/>
  <c r="E326" i="7"/>
  <c r="F326" i="7"/>
  <c r="G326" i="7"/>
  <c r="B327" i="7"/>
  <c r="C327" i="7"/>
  <c r="D327" i="7"/>
  <c r="E327" i="7"/>
  <c r="F327" i="7"/>
  <c r="G327" i="7"/>
  <c r="B328" i="7"/>
  <c r="F328" i="7"/>
  <c r="G328" i="7"/>
  <c r="B329" i="7"/>
  <c r="C329" i="7"/>
  <c r="D329" i="7"/>
  <c r="E329" i="7"/>
  <c r="F329" i="7"/>
  <c r="G329" i="7"/>
  <c r="A326" i="7"/>
  <c r="A328" i="7"/>
  <c r="G607" i="7"/>
  <c r="G419" i="7"/>
  <c r="G417" i="7"/>
  <c r="G334" i="7"/>
  <c r="G332" i="7"/>
  <c r="G331" i="7"/>
  <c r="G325" i="7"/>
  <c r="G323" i="7"/>
  <c r="G322" i="7"/>
  <c r="G321" i="7"/>
  <c r="I2140" i="1"/>
  <c r="G606" i="7"/>
  <c r="G483" i="7"/>
  <c r="G410" i="7"/>
  <c r="G163" i="7"/>
  <c r="G162" i="7"/>
  <c r="G160" i="7"/>
  <c r="G159" i="7"/>
  <c r="G157" i="7"/>
  <c r="G86" i="7"/>
  <c r="G45" i="7"/>
  <c r="G2" i="7"/>
  <c r="G610" i="7"/>
  <c r="G589" i="7"/>
  <c r="G569" i="7"/>
  <c r="G546" i="7"/>
  <c r="G508" i="7"/>
  <c r="G476" i="7"/>
  <c r="G457" i="7"/>
  <c r="G415" i="7"/>
  <c r="G409" i="7"/>
  <c r="G396" i="7"/>
  <c r="G383" i="7"/>
  <c r="G354" i="7"/>
  <c r="G335" i="7"/>
  <c r="G319" i="7"/>
  <c r="G298" i="7"/>
  <c r="G243" i="7"/>
  <c r="G187" i="7"/>
  <c r="G167" i="7"/>
  <c r="G121" i="7"/>
  <c r="G85" i="7"/>
  <c r="G49" i="7"/>
  <c r="G23" i="7"/>
  <c r="N2246" i="1" a="1"/>
  <c r="N2246" i="1" s="1"/>
  <c r="N2245" i="1" a="1"/>
  <c r="N2245" i="1" s="1"/>
  <c r="N2244" i="1" a="1"/>
  <c r="N2244" i="1" s="1"/>
  <c r="N2243" i="1" a="1"/>
  <c r="N2243" i="1" s="1"/>
  <c r="N2242" i="1" a="1"/>
  <c r="N2242" i="1" s="1"/>
  <c r="N2241" i="1" a="1"/>
  <c r="N2241" i="1" s="1"/>
  <c r="N2240" i="1" a="1"/>
  <c r="N2240" i="1" s="1"/>
  <c r="N2239" i="1" a="1"/>
  <c r="N2239" i="1" s="1"/>
  <c r="N2238" i="1" a="1"/>
  <c r="N2238" i="1" s="1"/>
  <c r="N2237" i="1" a="1"/>
  <c r="N2237" i="1" s="1"/>
  <c r="N2236" i="1" a="1"/>
  <c r="N2236" i="1" s="1"/>
  <c r="N2235" i="1" a="1"/>
  <c r="N2235" i="1" s="1"/>
  <c r="N2234" i="1" a="1"/>
  <c r="N2234" i="1" s="1"/>
  <c r="N2233" i="1" a="1"/>
  <c r="N2233" i="1" s="1"/>
  <c r="N2232" i="1" a="1"/>
  <c r="N2232" i="1" s="1"/>
  <c r="N2231" i="1" a="1"/>
  <c r="N2231" i="1" s="1"/>
  <c r="N2230" i="1" a="1"/>
  <c r="N2230" i="1" s="1"/>
  <c r="N2229" i="1" a="1"/>
  <c r="N2229" i="1" s="1"/>
  <c r="N2228" i="1" a="1"/>
  <c r="N2228" i="1" s="1"/>
  <c r="N2227" i="1" a="1"/>
  <c r="N2227" i="1" s="1"/>
  <c r="N2226" i="1" a="1"/>
  <c r="N2226" i="1" s="1"/>
  <c r="N2225" i="1" a="1"/>
  <c r="N2225" i="1" s="1"/>
  <c r="N2224" i="1" a="1"/>
  <c r="N2224" i="1" s="1"/>
  <c r="N2223" i="1" a="1"/>
  <c r="N2223" i="1" s="1"/>
  <c r="N2222" i="1" a="1"/>
  <c r="N2222" i="1" s="1"/>
  <c r="I2247" i="1"/>
  <c r="I2242" i="1"/>
  <c r="I2243" i="1"/>
  <c r="I2244" i="1"/>
  <c r="I2245" i="1"/>
  <c r="I2246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27" i="1"/>
  <c r="T3" i="4"/>
  <c r="Q19" i="5"/>
  <c r="Q25" i="5" s="1"/>
  <c r="N2158" i="1" a="1"/>
  <c r="N2158" i="1" s="1"/>
  <c r="N2159" i="1" a="1"/>
  <c r="N2159" i="1" s="1"/>
  <c r="N2160" i="1" a="1"/>
  <c r="N2160" i="1" s="1"/>
  <c r="N2161" i="1" a="1"/>
  <c r="N2161" i="1" s="1"/>
  <c r="N2162" i="1" a="1"/>
  <c r="N2162" i="1" s="1"/>
  <c r="N2163" i="1" a="1"/>
  <c r="N2163" i="1" s="1"/>
  <c r="N2164" i="1" a="1"/>
  <c r="N2164" i="1" s="1"/>
  <c r="N2165" i="1" a="1"/>
  <c r="N2165" i="1" s="1"/>
  <c r="N2166" i="1" a="1"/>
  <c r="N2166" i="1" s="1"/>
  <c r="N2167" i="1" a="1"/>
  <c r="N2167" i="1" s="1"/>
  <c r="N2168" i="1" a="1"/>
  <c r="N2168" i="1" s="1"/>
  <c r="N2169" i="1" a="1"/>
  <c r="N2169" i="1" s="1"/>
  <c r="N2170" i="1" a="1"/>
  <c r="N2170" i="1" s="1"/>
  <c r="N2171" i="1" a="1"/>
  <c r="N2171" i="1" s="1"/>
  <c r="N2172" i="1" a="1"/>
  <c r="N2172" i="1" s="1"/>
  <c r="N2173" i="1" a="1"/>
  <c r="N2173" i="1" s="1"/>
  <c r="N2174" i="1" a="1"/>
  <c r="N2174" i="1" s="1"/>
  <c r="N2175" i="1" a="1"/>
  <c r="N2175" i="1" s="1"/>
  <c r="N2176" i="1" a="1"/>
  <c r="N2176" i="1" s="1"/>
  <c r="N2177" i="1" a="1"/>
  <c r="N2177" i="1" s="1"/>
  <c r="N2178" i="1" a="1"/>
  <c r="N2178" i="1" s="1"/>
  <c r="N2179" i="1" a="1"/>
  <c r="N2179" i="1" s="1"/>
  <c r="N2180" i="1" a="1"/>
  <c r="N2180" i="1" s="1"/>
  <c r="N2181" i="1" a="1"/>
  <c r="N2181" i="1" s="1"/>
  <c r="N2182" i="1" a="1"/>
  <c r="N2182" i="1" s="1"/>
  <c r="N2183" i="1" a="1"/>
  <c r="N2183" i="1" s="1"/>
  <c r="N2184" i="1" a="1"/>
  <c r="N2184" i="1" s="1"/>
  <c r="N2185" i="1" a="1"/>
  <c r="N2185" i="1" s="1"/>
  <c r="N2186" i="1" a="1"/>
  <c r="N2186" i="1" s="1"/>
  <c r="N2187" i="1" a="1"/>
  <c r="N2187" i="1" s="1"/>
  <c r="N2188" i="1" a="1"/>
  <c r="N2188" i="1" s="1"/>
  <c r="N2189" i="1" a="1"/>
  <c r="N2189" i="1" s="1"/>
  <c r="N2190" i="1" a="1"/>
  <c r="N2190" i="1" s="1"/>
  <c r="N2191" i="1" a="1"/>
  <c r="N2191" i="1" s="1"/>
  <c r="N2192" i="1" a="1"/>
  <c r="N2192" i="1" s="1"/>
  <c r="N2193" i="1" a="1"/>
  <c r="N2193" i="1" s="1"/>
  <c r="N2194" i="1" a="1"/>
  <c r="N2194" i="1" s="1"/>
  <c r="N2195" i="1" a="1"/>
  <c r="N2195" i="1" s="1"/>
  <c r="N2196" i="1" a="1"/>
  <c r="N2196" i="1" s="1"/>
  <c r="N2197" i="1" a="1"/>
  <c r="N2197" i="1" s="1"/>
  <c r="N2198" i="1" a="1"/>
  <c r="N2198" i="1" s="1"/>
  <c r="N2199" i="1" a="1"/>
  <c r="N2199" i="1" s="1"/>
  <c r="N2200" i="1" a="1"/>
  <c r="N2200" i="1" s="1"/>
  <c r="N2201" i="1" a="1"/>
  <c r="N2201" i="1" s="1"/>
  <c r="N2202" i="1" a="1"/>
  <c r="N2202" i="1" s="1"/>
  <c r="N2203" i="1" a="1"/>
  <c r="N2203" i="1" s="1"/>
  <c r="N2204" i="1" a="1"/>
  <c r="N2204" i="1" s="1"/>
  <c r="N2205" i="1" a="1"/>
  <c r="N2205" i="1" s="1"/>
  <c r="N2206" i="1" a="1"/>
  <c r="N2206" i="1" s="1"/>
  <c r="N2207" i="1" a="1"/>
  <c r="N2207" i="1" s="1"/>
  <c r="N2208" i="1" a="1"/>
  <c r="N2208" i="1" s="1"/>
  <c r="N2209" i="1" a="1"/>
  <c r="N2209" i="1" s="1"/>
  <c r="N2210" i="1" a="1"/>
  <c r="N2210" i="1" s="1"/>
  <c r="N2211" i="1" a="1"/>
  <c r="N2211" i="1" s="1"/>
  <c r="N2212" i="1" a="1"/>
  <c r="N2212" i="1" s="1"/>
  <c r="N2213" i="1" a="1"/>
  <c r="N2213" i="1" s="1"/>
  <c r="N2214" i="1" a="1"/>
  <c r="N2214" i="1" s="1"/>
  <c r="N2215" i="1" a="1"/>
  <c r="N2215" i="1" s="1"/>
  <c r="N2216" i="1" a="1"/>
  <c r="N2216" i="1" s="1"/>
  <c r="N2217" i="1" a="1"/>
  <c r="N2217" i="1" s="1"/>
  <c r="N2218" i="1" a="1"/>
  <c r="N2218" i="1" s="1"/>
  <c r="N2219" i="1" a="1"/>
  <c r="N2219" i="1" s="1"/>
  <c r="N2220" i="1" a="1"/>
  <c r="N2220" i="1" s="1"/>
  <c r="N2221" i="1" a="1"/>
  <c r="N2221" i="1" s="1"/>
  <c r="P9" i="2"/>
  <c r="M9" i="2"/>
  <c r="J9" i="2"/>
  <c r="G9" i="2"/>
  <c r="D9" i="2"/>
  <c r="B9" i="2"/>
  <c r="P81" i="2"/>
  <c r="M81" i="2"/>
  <c r="J81" i="2"/>
  <c r="G81" i="2"/>
  <c r="D81" i="2"/>
  <c r="B81" i="2"/>
  <c r="P80" i="2"/>
  <c r="M80" i="2"/>
  <c r="J80" i="2"/>
  <c r="G80" i="2"/>
  <c r="D80" i="2"/>
  <c r="B80" i="2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N2067" i="1" a="1"/>
  <c r="N2067" i="1" s="1"/>
  <c r="N2068" i="1" a="1"/>
  <c r="N2068" i="1" s="1"/>
  <c r="N2069" i="1" a="1"/>
  <c r="N2069" i="1" s="1"/>
  <c r="N2070" i="1" a="1"/>
  <c r="N2070" i="1" s="1"/>
  <c r="N2071" i="1" a="1"/>
  <c r="N2071" i="1" s="1"/>
  <c r="N2072" i="1" a="1"/>
  <c r="N2072" i="1" s="1"/>
  <c r="N2073" i="1" a="1"/>
  <c r="N2073" i="1" s="1"/>
  <c r="N2074" i="1" a="1"/>
  <c r="N2074" i="1" s="1"/>
  <c r="N2075" i="1" a="1"/>
  <c r="N2075" i="1" s="1"/>
  <c r="N2076" i="1" a="1"/>
  <c r="N2076" i="1" s="1"/>
  <c r="N2077" i="1" a="1"/>
  <c r="N2077" i="1" s="1"/>
  <c r="N2078" i="1" a="1"/>
  <c r="N2078" i="1" s="1"/>
  <c r="N2079" i="1" a="1"/>
  <c r="N2079" i="1" s="1"/>
  <c r="N2080" i="1" a="1"/>
  <c r="N2080" i="1" s="1"/>
  <c r="N2081" i="1" a="1"/>
  <c r="N2081" i="1" s="1"/>
  <c r="N2066" i="1" a="1"/>
  <c r="N2066" i="1" s="1"/>
  <c r="N2089" i="1" a="1"/>
  <c r="N2089" i="1" s="1"/>
  <c r="N2090" i="1" a="1"/>
  <c r="N2090" i="1" s="1"/>
  <c r="N2091" i="1" a="1"/>
  <c r="N2091" i="1" s="1"/>
  <c r="N2092" i="1" a="1"/>
  <c r="N2092" i="1" s="1"/>
  <c r="N2093" i="1" a="1"/>
  <c r="N2093" i="1" s="1"/>
  <c r="N2094" i="1" a="1"/>
  <c r="N2094" i="1" s="1"/>
  <c r="N2095" i="1" a="1"/>
  <c r="N2095" i="1" s="1"/>
  <c r="N2096" i="1" a="1"/>
  <c r="N2096" i="1" s="1"/>
  <c r="N2097" i="1" a="1"/>
  <c r="N2097" i="1" s="1"/>
  <c r="N2098" i="1" a="1"/>
  <c r="N2098" i="1" s="1"/>
  <c r="N2099" i="1" a="1"/>
  <c r="N2099" i="1" s="1"/>
  <c r="N2100" i="1" a="1"/>
  <c r="N2100" i="1" s="1"/>
  <c r="N2101" i="1" a="1"/>
  <c r="N2101" i="1" s="1"/>
  <c r="N2102" i="1" a="1"/>
  <c r="N2102" i="1" s="1"/>
  <c r="N2103" i="1" a="1"/>
  <c r="N2103" i="1" s="1"/>
  <c r="N2104" i="1" a="1"/>
  <c r="N2104" i="1" s="1"/>
  <c r="N2105" i="1" a="1"/>
  <c r="N2105" i="1" s="1"/>
  <c r="N2106" i="1" a="1"/>
  <c r="N2106" i="1" s="1"/>
  <c r="N2107" i="1" a="1"/>
  <c r="N2107" i="1" s="1"/>
  <c r="N2108" i="1" a="1"/>
  <c r="N2108" i="1" s="1"/>
  <c r="N2109" i="1" a="1"/>
  <c r="N2109" i="1" s="1"/>
  <c r="N2110" i="1" a="1"/>
  <c r="N2110" i="1" s="1"/>
  <c r="N2111" i="1" a="1"/>
  <c r="N2111" i="1" s="1"/>
  <c r="N2112" i="1" a="1"/>
  <c r="N2112" i="1" s="1"/>
  <c r="N2113" i="1" a="1"/>
  <c r="N2113" i="1" s="1"/>
  <c r="N2114" i="1" a="1"/>
  <c r="N2114" i="1" s="1"/>
  <c r="N2115" i="1" a="1"/>
  <c r="N2115" i="1" s="1"/>
  <c r="N2116" i="1" a="1"/>
  <c r="N2116" i="1" s="1"/>
  <c r="N2117" i="1" a="1"/>
  <c r="N2117" i="1" s="1"/>
  <c r="N2118" i="1" a="1"/>
  <c r="N2118" i="1" s="1"/>
  <c r="N2119" i="1" a="1"/>
  <c r="N2119" i="1" s="1"/>
  <c r="N2120" i="1" a="1"/>
  <c r="N2120" i="1" s="1"/>
  <c r="N2121" i="1" a="1"/>
  <c r="N2121" i="1" s="1"/>
  <c r="N2122" i="1" a="1"/>
  <c r="N2122" i="1" s="1"/>
  <c r="N2123" i="1" a="1"/>
  <c r="N2123" i="1" s="1"/>
  <c r="N2124" i="1" a="1"/>
  <c r="N2124" i="1" s="1"/>
  <c r="N2125" i="1" a="1"/>
  <c r="N2125" i="1" s="1"/>
  <c r="N2126" i="1" a="1"/>
  <c r="N2126" i="1" s="1"/>
  <c r="N2127" i="1" a="1"/>
  <c r="N2127" i="1" s="1"/>
  <c r="N2128" i="1" a="1"/>
  <c r="N2128" i="1" s="1"/>
  <c r="N2129" i="1" a="1"/>
  <c r="N2129" i="1" s="1"/>
  <c r="N2130" i="1" a="1"/>
  <c r="N2130" i="1" s="1"/>
  <c r="N2131" i="1" a="1"/>
  <c r="N2131" i="1" s="1"/>
  <c r="N2132" i="1" a="1"/>
  <c r="N2132" i="1" s="1"/>
  <c r="N2133" i="1" a="1"/>
  <c r="N2133" i="1" s="1"/>
  <c r="N2134" i="1" a="1"/>
  <c r="N2134" i="1" s="1"/>
  <c r="N2135" i="1" a="1"/>
  <c r="N2135" i="1" s="1"/>
  <c r="N2136" i="1" a="1"/>
  <c r="N2136" i="1" s="1"/>
  <c r="N2137" i="1" a="1"/>
  <c r="N2137" i="1" s="1"/>
  <c r="N2138" i="1" a="1"/>
  <c r="N2138" i="1" s="1"/>
  <c r="N2139" i="1" a="1"/>
  <c r="N2139" i="1" s="1"/>
  <c r="N2141" i="1" a="1"/>
  <c r="N2141" i="1" s="1"/>
  <c r="N2142" i="1" a="1"/>
  <c r="N2142" i="1" s="1"/>
  <c r="N2143" i="1" a="1"/>
  <c r="N2143" i="1" s="1"/>
  <c r="N2144" i="1" a="1"/>
  <c r="N2144" i="1" s="1"/>
  <c r="N2145" i="1" a="1"/>
  <c r="N2145" i="1" s="1"/>
  <c r="N2146" i="1" a="1"/>
  <c r="N2146" i="1" s="1"/>
  <c r="N2147" i="1" a="1"/>
  <c r="N2147" i="1" s="1"/>
  <c r="N2148" i="1" a="1"/>
  <c r="N2148" i="1" s="1"/>
  <c r="N2149" i="1" a="1"/>
  <c r="N2149" i="1" s="1"/>
  <c r="N2150" i="1" a="1"/>
  <c r="N2150" i="1" s="1"/>
  <c r="N2151" i="1" a="1"/>
  <c r="N2151" i="1" s="1"/>
  <c r="N2152" i="1" a="1"/>
  <c r="N2152" i="1" s="1"/>
  <c r="N2153" i="1" a="1"/>
  <c r="N2153" i="1" s="1"/>
  <c r="N2154" i="1" a="1"/>
  <c r="N2154" i="1" s="1"/>
  <c r="N2155" i="1" a="1"/>
  <c r="N2155" i="1" s="1"/>
  <c r="N2156" i="1" a="1"/>
  <c r="N2156" i="1" s="1"/>
  <c r="N2157" i="1" a="1"/>
  <c r="N2157" i="1" s="1"/>
  <c r="P3" i="2"/>
  <c r="G411" i="7" s="1"/>
  <c r="N9" i="16"/>
  <c r="O9" i="16" s="1"/>
  <c r="M36" i="4"/>
  <c r="M45" i="4" s="1"/>
  <c r="G4" i="14"/>
  <c r="I4" i="14" s="1"/>
  <c r="G5" i="14"/>
  <c r="I5" i="14" s="1"/>
  <c r="G6" i="14"/>
  <c r="I6" i="14" s="1"/>
  <c r="G7" i="14"/>
  <c r="G8" i="14"/>
  <c r="G9" i="14"/>
  <c r="I9" i="14" s="1"/>
  <c r="G10" i="14"/>
  <c r="I10" i="14" s="1"/>
  <c r="G11" i="14"/>
  <c r="G12" i="14"/>
  <c r="G13" i="14"/>
  <c r="I13" i="14" s="1"/>
  <c r="G14" i="14"/>
  <c r="I14" i="14" s="1"/>
  <c r="G15" i="14"/>
  <c r="G16" i="14"/>
  <c r="G17" i="14"/>
  <c r="I17" i="14" s="1"/>
  <c r="G18" i="14"/>
  <c r="I18" i="14" s="1"/>
  <c r="G19" i="14"/>
  <c r="G20" i="14"/>
  <c r="G21" i="14"/>
  <c r="I21" i="14" s="1"/>
  <c r="G22" i="14"/>
  <c r="I22" i="14" s="1"/>
  <c r="G23" i="14"/>
  <c r="G24" i="14"/>
  <c r="G25" i="14"/>
  <c r="I25" i="14" s="1"/>
  <c r="G26" i="14"/>
  <c r="I26" i="14" s="1"/>
  <c r="G27" i="14"/>
  <c r="G28" i="14"/>
  <c r="G29" i="14"/>
  <c r="I29" i="14" s="1"/>
  <c r="G30" i="14"/>
  <c r="I30" i="14" s="1"/>
  <c r="G31" i="14"/>
  <c r="G32" i="14"/>
  <c r="G33" i="14"/>
  <c r="G34" i="14"/>
  <c r="I34" i="14" s="1"/>
  <c r="Q3" i="5"/>
  <c r="R3" i="5"/>
  <c r="Q4" i="5"/>
  <c r="R4" i="5"/>
  <c r="Q5" i="5"/>
  <c r="R5" i="5"/>
  <c r="R6" i="5"/>
  <c r="Q7" i="5"/>
  <c r="G402" i="7" s="1"/>
  <c r="R7" i="5"/>
  <c r="Q8" i="5"/>
  <c r="G403" i="7" s="1"/>
  <c r="R8" i="5"/>
  <c r="Q9" i="5"/>
  <c r="G404" i="7" s="1"/>
  <c r="R9" i="5"/>
  <c r="Q10" i="5"/>
  <c r="G405" i="7" s="1"/>
  <c r="R10" i="5"/>
  <c r="Q11" i="5"/>
  <c r="R11" i="5"/>
  <c r="R29" i="5"/>
  <c r="S29" i="5" s="1"/>
  <c r="R30" i="5"/>
  <c r="S30" i="5" s="1"/>
  <c r="R31" i="5"/>
  <c r="S31" i="5" s="1"/>
  <c r="R32" i="5"/>
  <c r="S32" i="5" s="1"/>
  <c r="R33" i="5"/>
  <c r="S33" i="5" s="1"/>
  <c r="R34" i="5"/>
  <c r="S34" i="5" s="1"/>
  <c r="R35" i="5"/>
  <c r="S35" i="5"/>
  <c r="R36" i="5"/>
  <c r="S36" i="5" s="1"/>
  <c r="R37" i="5"/>
  <c r="S37" i="5" s="1"/>
  <c r="Q38" i="5"/>
  <c r="G393" i="7" s="1"/>
  <c r="S16" i="5"/>
  <c r="S17" i="5"/>
  <c r="S18" i="5"/>
  <c r="S20" i="5"/>
  <c r="S21" i="5"/>
  <c r="S22" i="5"/>
  <c r="S23" i="5"/>
  <c r="S24" i="5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58" i="1"/>
  <c r="I2159" i="1"/>
  <c r="I2160" i="1"/>
  <c r="I2161" i="1"/>
  <c r="I2162" i="1"/>
  <c r="I2163" i="1"/>
  <c r="I2157" i="1"/>
  <c r="I2156" i="1"/>
  <c r="I2155" i="1"/>
  <c r="I2154" i="1"/>
  <c r="I2153" i="1"/>
  <c r="I2152" i="1"/>
  <c r="I2151" i="1"/>
  <c r="I2150" i="1"/>
  <c r="I2149" i="1"/>
  <c r="L4" i="16"/>
  <c r="L9" i="16" s="1"/>
  <c r="L14" i="16" s="1"/>
  <c r="I2142" i="1"/>
  <c r="K2142" i="1"/>
  <c r="K2143" i="1"/>
  <c r="K2144" i="1"/>
  <c r="K2145" i="1"/>
  <c r="K2146" i="1"/>
  <c r="K2147" i="1"/>
  <c r="K2148" i="1"/>
  <c r="I2148" i="1"/>
  <c r="I2147" i="1"/>
  <c r="I2146" i="1"/>
  <c r="I2145" i="1"/>
  <c r="I2144" i="1"/>
  <c r="I2143" i="1"/>
  <c r="I2141" i="1"/>
  <c r="I2135" i="1"/>
  <c r="I2136" i="1"/>
  <c r="I2137" i="1"/>
  <c r="I2138" i="1"/>
  <c r="I2139" i="1"/>
  <c r="I2130" i="1"/>
  <c r="I2131" i="1"/>
  <c r="I2132" i="1"/>
  <c r="I2133" i="1"/>
  <c r="I2134" i="1"/>
  <c r="K2125" i="1"/>
  <c r="K2126" i="1"/>
  <c r="K2127" i="1"/>
  <c r="K2128" i="1"/>
  <c r="K2129" i="1"/>
  <c r="K2124" i="1"/>
  <c r="K2123" i="1"/>
  <c r="I2129" i="1"/>
  <c r="I2126" i="1"/>
  <c r="I2127" i="1"/>
  <c r="I2128" i="1"/>
  <c r="I2123" i="1"/>
  <c r="I2124" i="1"/>
  <c r="I2125" i="1"/>
  <c r="I2122" i="1"/>
  <c r="I2121" i="1"/>
  <c r="I2120" i="1"/>
  <c r="I2119" i="1"/>
  <c r="I2118" i="1"/>
  <c r="I2117" i="1"/>
  <c r="I2113" i="1"/>
  <c r="I2114" i="1"/>
  <c r="I2115" i="1"/>
  <c r="I2116" i="1"/>
  <c r="I2111" i="1"/>
  <c r="I2112" i="1"/>
  <c r="K2104" i="1"/>
  <c r="K2105" i="1"/>
  <c r="K2106" i="1"/>
  <c r="K2107" i="1"/>
  <c r="K2108" i="1"/>
  <c r="K2109" i="1"/>
  <c r="K2110" i="1"/>
  <c r="K2103" i="1"/>
  <c r="K2102" i="1"/>
  <c r="K2101" i="1"/>
  <c r="K2100" i="1"/>
  <c r="K2099" i="1"/>
  <c r="K2098" i="1"/>
  <c r="K2097" i="1"/>
  <c r="I2109" i="1"/>
  <c r="I2110" i="1"/>
  <c r="I2103" i="1"/>
  <c r="I2104" i="1"/>
  <c r="I2105" i="1"/>
  <c r="I2106" i="1"/>
  <c r="I2107" i="1"/>
  <c r="I2108" i="1"/>
  <c r="I2097" i="1"/>
  <c r="I2098" i="1"/>
  <c r="I2099" i="1"/>
  <c r="I2100" i="1"/>
  <c r="I2101" i="1"/>
  <c r="I2102" i="1"/>
  <c r="I2069" i="1"/>
  <c r="K2069" i="1"/>
  <c r="K2094" i="1"/>
  <c r="K2095" i="1"/>
  <c r="K2096" i="1"/>
  <c r="I2096" i="1"/>
  <c r="I2095" i="1"/>
  <c r="K2093" i="1"/>
  <c r="K2092" i="1"/>
  <c r="K2091" i="1"/>
  <c r="K2068" i="1"/>
  <c r="I2094" i="1"/>
  <c r="I2093" i="1"/>
  <c r="I2092" i="1"/>
  <c r="I2091" i="1"/>
  <c r="K2063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S7" i="2" s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59" i="1"/>
  <c r="K2060" i="1"/>
  <c r="K2061" i="1"/>
  <c r="K2062" i="1"/>
  <c r="K2064" i="1"/>
  <c r="K2065" i="1"/>
  <c r="K2066" i="1"/>
  <c r="K2067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4" i="1"/>
  <c r="K2085" i="1"/>
  <c r="K2086" i="1"/>
  <c r="K2087" i="1"/>
  <c r="K2088" i="1"/>
  <c r="K2089" i="1"/>
  <c r="K2090" i="1"/>
  <c r="K2002" i="1"/>
  <c r="P32" i="2"/>
  <c r="M32" i="2"/>
  <c r="J32" i="2"/>
  <c r="G32" i="2"/>
  <c r="D32" i="2"/>
  <c r="B32" i="2"/>
  <c r="P31" i="2"/>
  <c r="M31" i="2"/>
  <c r="J31" i="2"/>
  <c r="G31" i="2"/>
  <c r="D31" i="2"/>
  <c r="B31" i="2"/>
  <c r="P125" i="2"/>
  <c r="P164" i="2"/>
  <c r="P162" i="2"/>
  <c r="P156" i="2"/>
  <c r="P154" i="2"/>
  <c r="P153" i="2"/>
  <c r="P152" i="2"/>
  <c r="P151" i="2"/>
  <c r="P149" i="2"/>
  <c r="P148" i="2"/>
  <c r="P144" i="2"/>
  <c r="P143" i="2"/>
  <c r="P142" i="2"/>
  <c r="P141" i="2"/>
  <c r="P140" i="2"/>
  <c r="P135" i="2"/>
  <c r="P134" i="2"/>
  <c r="P131" i="2"/>
  <c r="P130" i="2"/>
  <c r="P128" i="2"/>
  <c r="P127" i="2" s="1"/>
  <c r="P122" i="2"/>
  <c r="P121" i="2" s="1"/>
  <c r="P120" i="2"/>
  <c r="P119" i="2"/>
  <c r="P118" i="2"/>
  <c r="P115" i="2"/>
  <c r="P100" i="2"/>
  <c r="P98" i="2"/>
  <c r="P96" i="2"/>
  <c r="P87" i="2"/>
  <c r="P83" i="2"/>
  <c r="P68" i="2"/>
  <c r="P66" i="2"/>
  <c r="P52" i="2"/>
  <c r="P51" i="2"/>
  <c r="P16" i="2"/>
  <c r="P8" i="2"/>
  <c r="R4" i="2"/>
  <c r="C4" i="12"/>
  <c r="D4" i="12"/>
  <c r="B4" i="12"/>
  <c r="M22" i="4"/>
  <c r="N59" i="4"/>
  <c r="M56" i="4"/>
  <c r="M47" i="4"/>
  <c r="M38" i="4"/>
  <c r="N33" i="4"/>
  <c r="M29" i="4"/>
  <c r="N25" i="4"/>
  <c r="M24" i="4"/>
  <c r="P24" i="4" s="1"/>
  <c r="N15" i="4"/>
  <c r="N14" i="4"/>
  <c r="M13" i="4"/>
  <c r="P13" i="4" s="1"/>
  <c r="N12" i="4"/>
  <c r="N11" i="4"/>
  <c r="N10" i="4"/>
  <c r="N9" i="4"/>
  <c r="N8" i="4"/>
  <c r="M7" i="4"/>
  <c r="G528" i="7" s="1"/>
  <c r="N6" i="4"/>
  <c r="N5" i="4"/>
  <c r="M52" i="4"/>
  <c r="P52" i="4" s="1"/>
  <c r="M3" i="4"/>
  <c r="M34" i="4" s="1"/>
  <c r="O32" i="4" s="1"/>
  <c r="S36" i="6"/>
  <c r="R36" i="6"/>
  <c r="S35" i="6"/>
  <c r="R35" i="6"/>
  <c r="S34" i="6"/>
  <c r="R34" i="6"/>
  <c r="S33" i="6"/>
  <c r="R33" i="6"/>
  <c r="Q32" i="6"/>
  <c r="R32" i="6" s="1"/>
  <c r="S30" i="6"/>
  <c r="R30" i="6"/>
  <c r="R29" i="6"/>
  <c r="S27" i="6"/>
  <c r="R27" i="6"/>
  <c r="S26" i="6"/>
  <c r="R26" i="6"/>
  <c r="S24" i="6"/>
  <c r="R24" i="6"/>
  <c r="R22" i="6"/>
  <c r="G87" i="7" s="1"/>
  <c r="S12" i="6"/>
  <c r="R12" i="6"/>
  <c r="G46" i="7" s="1"/>
  <c r="S9" i="6"/>
  <c r="R9" i="6"/>
  <c r="S8" i="6"/>
  <c r="R8" i="6"/>
  <c r="S7" i="6"/>
  <c r="R7" i="6"/>
  <c r="Q6" i="6"/>
  <c r="R6" i="6" s="1"/>
  <c r="R4" i="6"/>
  <c r="S3" i="6"/>
  <c r="R3" i="6"/>
  <c r="V5" i="14"/>
  <c r="X5" i="14" s="1"/>
  <c r="V6" i="14"/>
  <c r="X6" i="14" s="1"/>
  <c r="V7" i="14"/>
  <c r="X7" i="14" s="1"/>
  <c r="V8" i="14"/>
  <c r="X8" i="14" s="1"/>
  <c r="V9" i="14"/>
  <c r="X9" i="14" s="1"/>
  <c r="V10" i="14"/>
  <c r="X10" i="14" s="1"/>
  <c r="V11" i="14"/>
  <c r="X11" i="14" s="1"/>
  <c r="V12" i="14"/>
  <c r="V13" i="14"/>
  <c r="V14" i="14"/>
  <c r="X14" i="14" s="1"/>
  <c r="V15" i="14"/>
  <c r="X15" i="14" s="1"/>
  <c r="V16" i="14"/>
  <c r="X16" i="14" s="1"/>
  <c r="V17" i="14"/>
  <c r="X17" i="14" s="1"/>
  <c r="V18" i="14"/>
  <c r="X18" i="14" s="1"/>
  <c r="V19" i="14"/>
  <c r="X19" i="14" s="1"/>
  <c r="V20" i="14"/>
  <c r="X20" i="14" s="1"/>
  <c r="V21" i="14"/>
  <c r="V22" i="14"/>
  <c r="X22" i="14" s="1"/>
  <c r="V23" i="14"/>
  <c r="V24" i="14"/>
  <c r="V25" i="14"/>
  <c r="X25" i="14" s="1"/>
  <c r="V26" i="14"/>
  <c r="X26" i="14" s="1"/>
  <c r="V27" i="14"/>
  <c r="X27" i="14" s="1"/>
  <c r="V28" i="14"/>
  <c r="V29" i="14"/>
  <c r="X29" i="14" s="1"/>
  <c r="V30" i="14"/>
  <c r="X30" i="14" s="1"/>
  <c r="V31" i="14"/>
  <c r="X31" i="14" s="1"/>
  <c r="V32" i="14"/>
  <c r="X32" i="14" s="1"/>
  <c r="V33" i="14"/>
  <c r="X33" i="14" s="1"/>
  <c r="V34" i="14"/>
  <c r="X34" i="14" s="1"/>
  <c r="V4" i="14"/>
  <c r="W4" i="14" s="1"/>
  <c r="W29" i="14"/>
  <c r="W27" i="14"/>
  <c r="W25" i="14"/>
  <c r="W19" i="14"/>
  <c r="W17" i="14"/>
  <c r="W16" i="14"/>
  <c r="W11" i="14"/>
  <c r="W9" i="14"/>
  <c r="W8" i="14"/>
  <c r="X1" i="14"/>
  <c r="I2089" i="1"/>
  <c r="L7" i="16"/>
  <c r="L12" i="16" s="1"/>
  <c r="I2081" i="1"/>
  <c r="I2079" i="1"/>
  <c r="N2026" i="1" a="1"/>
  <c r="N2026" i="1" s="1"/>
  <c r="N2027" i="1" a="1"/>
  <c r="N2027" i="1" s="1"/>
  <c r="N2028" i="1" a="1"/>
  <c r="N2028" i="1" s="1"/>
  <c r="N2029" i="1" a="1"/>
  <c r="N2029" i="1" s="1"/>
  <c r="N2030" i="1" a="1"/>
  <c r="N2030" i="1" s="1"/>
  <c r="N2031" i="1" a="1"/>
  <c r="N2031" i="1" s="1"/>
  <c r="N2032" i="1" a="1"/>
  <c r="N2032" i="1" s="1"/>
  <c r="N2033" i="1" a="1"/>
  <c r="N2033" i="1" s="1"/>
  <c r="N2034" i="1" a="1"/>
  <c r="N2034" i="1" s="1"/>
  <c r="N2035" i="1" a="1"/>
  <c r="N2035" i="1" s="1"/>
  <c r="N2036" i="1" a="1"/>
  <c r="N2036" i="1" s="1"/>
  <c r="N2037" i="1" a="1"/>
  <c r="N2037" i="1" s="1"/>
  <c r="N2038" i="1" a="1"/>
  <c r="N2038" i="1" s="1"/>
  <c r="N2039" i="1" a="1"/>
  <c r="N2039" i="1" s="1"/>
  <c r="N2040" i="1" a="1"/>
  <c r="N2040" i="1" s="1"/>
  <c r="N2041" i="1" a="1"/>
  <c r="N2041" i="1" s="1"/>
  <c r="N2042" i="1" a="1"/>
  <c r="N2042" i="1" s="1"/>
  <c r="N2043" i="1" a="1"/>
  <c r="N2043" i="1" s="1"/>
  <c r="N2044" i="1" a="1"/>
  <c r="N2044" i="1" s="1"/>
  <c r="N2045" i="1" a="1"/>
  <c r="N2045" i="1" s="1"/>
  <c r="N2046" i="1" a="1"/>
  <c r="N2046" i="1" s="1"/>
  <c r="N2047" i="1" a="1"/>
  <c r="N2047" i="1" s="1"/>
  <c r="N2048" i="1" a="1"/>
  <c r="N2048" i="1" s="1"/>
  <c r="N2049" i="1" a="1"/>
  <c r="N2049" i="1" s="1"/>
  <c r="N2050" i="1" a="1"/>
  <c r="N2050" i="1" s="1"/>
  <c r="N2051" i="1" a="1"/>
  <c r="N2051" i="1" s="1"/>
  <c r="N2052" i="1" a="1"/>
  <c r="N2052" i="1" s="1"/>
  <c r="N2053" i="1" a="1"/>
  <c r="N2053" i="1" s="1"/>
  <c r="N2054" i="1" a="1"/>
  <c r="N2054" i="1" s="1"/>
  <c r="N2055" i="1" a="1"/>
  <c r="N2055" i="1" s="1"/>
  <c r="N2056" i="1" a="1"/>
  <c r="N2056" i="1" s="1"/>
  <c r="N2057" i="1" a="1"/>
  <c r="N2057" i="1" s="1"/>
  <c r="N2058" i="1" a="1"/>
  <c r="N2058" i="1" s="1"/>
  <c r="N2059" i="1" a="1"/>
  <c r="N2059" i="1" s="1"/>
  <c r="N2060" i="1" a="1"/>
  <c r="N2060" i="1" s="1"/>
  <c r="N2061" i="1" a="1"/>
  <c r="N2061" i="1" s="1"/>
  <c r="N2062" i="1" a="1"/>
  <c r="N2062" i="1" s="1"/>
  <c r="N2063" i="1" a="1"/>
  <c r="N2063" i="1" s="1"/>
  <c r="N2064" i="1" a="1"/>
  <c r="N2064" i="1" s="1"/>
  <c r="N2065" i="1" a="1"/>
  <c r="N2065" i="1" s="1"/>
  <c r="N2082" i="1" a="1"/>
  <c r="N2082" i="1" s="1"/>
  <c r="N2083" i="1" a="1"/>
  <c r="N2083" i="1" s="1"/>
  <c r="N2084" i="1" a="1"/>
  <c r="N2084" i="1" s="1"/>
  <c r="N2085" i="1" a="1"/>
  <c r="N2085" i="1" s="1"/>
  <c r="N2086" i="1" a="1"/>
  <c r="N2086" i="1" s="1"/>
  <c r="N2087" i="1" a="1"/>
  <c r="N2087" i="1" s="1"/>
  <c r="N2088" i="1" a="1"/>
  <c r="N2088" i="1" s="1"/>
  <c r="N1979" i="1" a="1"/>
  <c r="N1979" i="1" s="1"/>
  <c r="N1980" i="1" a="1"/>
  <c r="N1980" i="1" s="1"/>
  <c r="N1981" i="1" a="1"/>
  <c r="N1981" i="1" s="1"/>
  <c r="N1982" i="1" a="1"/>
  <c r="N1982" i="1" s="1"/>
  <c r="N1983" i="1" a="1"/>
  <c r="N1983" i="1" s="1"/>
  <c r="N1984" i="1" a="1"/>
  <c r="N1984" i="1" s="1"/>
  <c r="N1985" i="1" a="1"/>
  <c r="N1985" i="1" s="1"/>
  <c r="N1986" i="1" a="1"/>
  <c r="N1986" i="1" s="1"/>
  <c r="N1987" i="1" a="1"/>
  <c r="N1987" i="1" s="1"/>
  <c r="N1988" i="1" a="1"/>
  <c r="N1988" i="1" s="1"/>
  <c r="N1989" i="1" a="1"/>
  <c r="N1989" i="1" s="1"/>
  <c r="N1990" i="1" a="1"/>
  <c r="N1990" i="1" s="1"/>
  <c r="N1991" i="1" a="1"/>
  <c r="N1991" i="1" s="1"/>
  <c r="N1992" i="1" a="1"/>
  <c r="N1992" i="1" s="1"/>
  <c r="N1993" i="1" a="1"/>
  <c r="N1993" i="1" s="1"/>
  <c r="N1994" i="1" a="1"/>
  <c r="N1994" i="1" s="1"/>
  <c r="N1995" i="1" a="1"/>
  <c r="N1995" i="1" s="1"/>
  <c r="N1996" i="1" a="1"/>
  <c r="N1996" i="1" s="1"/>
  <c r="N1997" i="1" a="1"/>
  <c r="N1997" i="1" s="1"/>
  <c r="N1998" i="1" a="1"/>
  <c r="N1998" i="1" s="1"/>
  <c r="N1999" i="1" a="1"/>
  <c r="N1999" i="1" s="1"/>
  <c r="N2000" i="1" a="1"/>
  <c r="N2000" i="1" s="1"/>
  <c r="N2001" i="1" a="1"/>
  <c r="N2001" i="1" s="1"/>
  <c r="N2002" i="1" a="1"/>
  <c r="N2002" i="1" s="1"/>
  <c r="N2003" i="1" a="1"/>
  <c r="N2003" i="1" s="1"/>
  <c r="N2004" i="1" a="1"/>
  <c r="N2004" i="1" s="1"/>
  <c r="N2005" i="1" a="1"/>
  <c r="N2005" i="1" s="1"/>
  <c r="N2006" i="1" a="1"/>
  <c r="N2006" i="1" s="1"/>
  <c r="N2007" i="1" a="1"/>
  <c r="N2007" i="1" s="1"/>
  <c r="N2008" i="1" a="1"/>
  <c r="N2008" i="1" s="1"/>
  <c r="N2009" i="1" a="1"/>
  <c r="N2009" i="1" s="1"/>
  <c r="N2010" i="1" a="1"/>
  <c r="N2010" i="1" s="1"/>
  <c r="N2011" i="1" a="1"/>
  <c r="N2011" i="1" s="1"/>
  <c r="N2012" i="1" a="1"/>
  <c r="N2012" i="1" s="1"/>
  <c r="N2013" i="1" a="1"/>
  <c r="N2013" i="1" s="1"/>
  <c r="N2014" i="1" a="1"/>
  <c r="N2014" i="1" s="1"/>
  <c r="N2015" i="1" a="1"/>
  <c r="N2015" i="1" s="1"/>
  <c r="N2016" i="1" a="1"/>
  <c r="N2016" i="1" s="1"/>
  <c r="N2017" i="1" a="1"/>
  <c r="N2017" i="1" s="1"/>
  <c r="N2018" i="1" a="1"/>
  <c r="N2018" i="1" s="1"/>
  <c r="N2019" i="1" a="1"/>
  <c r="N2019" i="1" s="1"/>
  <c r="N2020" i="1" a="1"/>
  <c r="N2020" i="1" s="1"/>
  <c r="N2021" i="1" a="1"/>
  <c r="N2021" i="1" s="1"/>
  <c r="I2068" i="1"/>
  <c r="I2047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01" i="1"/>
  <c r="I2002" i="1"/>
  <c r="I2003" i="1"/>
  <c r="I2004" i="1"/>
  <c r="I2005" i="1"/>
  <c r="I2006" i="1"/>
  <c r="I2007" i="1"/>
  <c r="I2008" i="1"/>
  <c r="I1995" i="1"/>
  <c r="I1996" i="1"/>
  <c r="I1997" i="1"/>
  <c r="I1998" i="1"/>
  <c r="I1999" i="1"/>
  <c r="I2000" i="1"/>
  <c r="I1989" i="1"/>
  <c r="I1990" i="1"/>
  <c r="I1991" i="1"/>
  <c r="I1988" i="1"/>
  <c r="I1981" i="1"/>
  <c r="I1982" i="1"/>
  <c r="I1983" i="1"/>
  <c r="I1984" i="1"/>
  <c r="I1985" i="1"/>
  <c r="I1986" i="1"/>
  <c r="I1987" i="1"/>
  <c r="I1980" i="1"/>
  <c r="I1979" i="1"/>
  <c r="C546" i="7"/>
  <c r="D546" i="7"/>
  <c r="E546" i="7"/>
  <c r="F546" i="7"/>
  <c r="B546" i="7"/>
  <c r="C415" i="7"/>
  <c r="D415" i="7"/>
  <c r="E415" i="7"/>
  <c r="F415" i="7"/>
  <c r="B415" i="7"/>
  <c r="C298" i="7"/>
  <c r="D298" i="7"/>
  <c r="E298" i="7"/>
  <c r="F298" i="7"/>
  <c r="B298" i="7"/>
  <c r="AA6" i="14"/>
  <c r="AA5" i="14"/>
  <c r="AA4" i="14"/>
  <c r="AA3" i="14"/>
  <c r="AA2" i="14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4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5" i="16"/>
  <c r="J4" i="16"/>
  <c r="N22" i="6"/>
  <c r="S22" i="6" s="1"/>
  <c r="S1" i="14"/>
  <c r="N1" i="14"/>
  <c r="I1" i="14"/>
  <c r="AA10" i="14" s="1"/>
  <c r="Q5" i="14"/>
  <c r="S5" i="14" s="1"/>
  <c r="Q6" i="14"/>
  <c r="S6" i="14" s="1"/>
  <c r="Q7" i="14"/>
  <c r="S7" i="14" s="1"/>
  <c r="Q8" i="14"/>
  <c r="S8" i="14" s="1"/>
  <c r="Q9" i="14"/>
  <c r="S9" i="14" s="1"/>
  <c r="Q10" i="14"/>
  <c r="S10" i="14" s="1"/>
  <c r="Q11" i="14"/>
  <c r="S11" i="14" s="1"/>
  <c r="Q12" i="14"/>
  <c r="S12" i="14" s="1"/>
  <c r="Q13" i="14"/>
  <c r="S13" i="14" s="1"/>
  <c r="Q14" i="14"/>
  <c r="S14" i="14" s="1"/>
  <c r="Q15" i="14"/>
  <c r="S15" i="14" s="1"/>
  <c r="Q16" i="14"/>
  <c r="S16" i="14" s="1"/>
  <c r="Q17" i="14"/>
  <c r="S17" i="14" s="1"/>
  <c r="Q18" i="14"/>
  <c r="S18" i="14" s="1"/>
  <c r="Q19" i="14"/>
  <c r="S19" i="14" s="1"/>
  <c r="Q20" i="14"/>
  <c r="R20" i="14" s="1"/>
  <c r="Q21" i="14"/>
  <c r="R21" i="14" s="1"/>
  <c r="Q22" i="14"/>
  <c r="S22" i="14" s="1"/>
  <c r="Q23" i="14"/>
  <c r="S23" i="14" s="1"/>
  <c r="Q24" i="14"/>
  <c r="S24" i="14" s="1"/>
  <c r="Q25" i="14"/>
  <c r="R25" i="14" s="1"/>
  <c r="Q26" i="14"/>
  <c r="S26" i="14" s="1"/>
  <c r="Q27" i="14"/>
  <c r="S27" i="14" s="1"/>
  <c r="Q28" i="14"/>
  <c r="S28" i="14" s="1"/>
  <c r="Q29" i="14"/>
  <c r="S29" i="14" s="1"/>
  <c r="Q30" i="14"/>
  <c r="S30" i="14" s="1"/>
  <c r="Q31" i="14"/>
  <c r="S31" i="14" s="1"/>
  <c r="Q32" i="14"/>
  <c r="S32" i="14" s="1"/>
  <c r="Q33" i="14"/>
  <c r="S33" i="14" s="1"/>
  <c r="Q34" i="14"/>
  <c r="S34" i="14" s="1"/>
  <c r="Q4" i="14"/>
  <c r="R4" i="14" s="1"/>
  <c r="L5" i="14"/>
  <c r="N5" i="14" s="1"/>
  <c r="L6" i="14"/>
  <c r="N6" i="14" s="1"/>
  <c r="L7" i="14"/>
  <c r="N7" i="14" s="1"/>
  <c r="L8" i="14"/>
  <c r="N8" i="14" s="1"/>
  <c r="L9" i="14"/>
  <c r="N9" i="14" s="1"/>
  <c r="L10" i="14"/>
  <c r="N10" i="14" s="1"/>
  <c r="L11" i="14"/>
  <c r="M11" i="14" s="1"/>
  <c r="L12" i="14"/>
  <c r="N12" i="14" s="1"/>
  <c r="L13" i="14"/>
  <c r="M13" i="14" s="1"/>
  <c r="L14" i="14"/>
  <c r="N14" i="14" s="1"/>
  <c r="L15" i="14"/>
  <c r="N15" i="14" s="1"/>
  <c r="L16" i="14"/>
  <c r="N16" i="14" s="1"/>
  <c r="L17" i="14"/>
  <c r="N17" i="14" s="1"/>
  <c r="L18" i="14"/>
  <c r="N18" i="14" s="1"/>
  <c r="L19" i="14"/>
  <c r="N19" i="14" s="1"/>
  <c r="L20" i="14"/>
  <c r="N20" i="14" s="1"/>
  <c r="L21" i="14"/>
  <c r="N21" i="14" s="1"/>
  <c r="L22" i="14"/>
  <c r="N22" i="14" s="1"/>
  <c r="L23" i="14"/>
  <c r="N23" i="14" s="1"/>
  <c r="L24" i="14"/>
  <c r="N24" i="14" s="1"/>
  <c r="L25" i="14"/>
  <c r="N25" i="14" s="1"/>
  <c r="L26" i="14"/>
  <c r="N26" i="14" s="1"/>
  <c r="L27" i="14"/>
  <c r="N27" i="14" s="1"/>
  <c r="L28" i="14"/>
  <c r="M28" i="14" s="1"/>
  <c r="L29" i="14"/>
  <c r="N29" i="14" s="1"/>
  <c r="L30" i="14"/>
  <c r="M30" i="14" s="1"/>
  <c r="L31" i="14"/>
  <c r="N31" i="14" s="1"/>
  <c r="L32" i="14"/>
  <c r="N32" i="14" s="1"/>
  <c r="L33" i="14"/>
  <c r="N33" i="14" s="1"/>
  <c r="L34" i="14"/>
  <c r="N34" i="14" s="1"/>
  <c r="L4" i="14"/>
  <c r="N4" i="14" s="1"/>
  <c r="I7" i="14"/>
  <c r="I8" i="14"/>
  <c r="I11" i="14"/>
  <c r="I12" i="14"/>
  <c r="I15" i="14"/>
  <c r="I16" i="14"/>
  <c r="I19" i="14"/>
  <c r="I20" i="14"/>
  <c r="I23" i="14"/>
  <c r="I24" i="14"/>
  <c r="I27" i="14"/>
  <c r="I28" i="14"/>
  <c r="I31" i="14"/>
  <c r="I32" i="14"/>
  <c r="H33" i="14"/>
  <c r="A1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S89" i="2" s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N1914" i="1" a="1"/>
  <c r="N1914" i="1" s="1"/>
  <c r="N1915" i="1" a="1"/>
  <c r="N1915" i="1" s="1"/>
  <c r="N1916" i="1" a="1"/>
  <c r="N1916" i="1" s="1"/>
  <c r="N1917" i="1" a="1"/>
  <c r="N1917" i="1" s="1"/>
  <c r="N1918" i="1" a="1"/>
  <c r="N1918" i="1" s="1"/>
  <c r="N1919" i="1" a="1"/>
  <c r="N1919" i="1" s="1"/>
  <c r="N1920" i="1" a="1"/>
  <c r="N1920" i="1" s="1"/>
  <c r="N1921" i="1" a="1"/>
  <c r="N1921" i="1" s="1"/>
  <c r="N1922" i="1" a="1"/>
  <c r="N1922" i="1" s="1"/>
  <c r="N1923" i="1" a="1"/>
  <c r="N1923" i="1" s="1"/>
  <c r="N1924" i="1" a="1"/>
  <c r="N1924" i="1" s="1"/>
  <c r="N1925" i="1" a="1"/>
  <c r="N1925" i="1" s="1"/>
  <c r="N1926" i="1" a="1"/>
  <c r="N1926" i="1" s="1"/>
  <c r="N1927" i="1" a="1"/>
  <c r="N1927" i="1" s="1"/>
  <c r="N1928" i="1" a="1"/>
  <c r="N1928" i="1" s="1"/>
  <c r="N1929" i="1" a="1"/>
  <c r="N1929" i="1" s="1"/>
  <c r="N1930" i="1" a="1"/>
  <c r="N1930" i="1" s="1"/>
  <c r="N1931" i="1" a="1"/>
  <c r="N1931" i="1" s="1"/>
  <c r="N1932" i="1" a="1"/>
  <c r="N1932" i="1" s="1"/>
  <c r="N1933" i="1" a="1"/>
  <c r="N1933" i="1" s="1"/>
  <c r="N1934" i="1" a="1"/>
  <c r="N1934" i="1" s="1"/>
  <c r="N1935" i="1" a="1"/>
  <c r="N1935" i="1" s="1"/>
  <c r="N1936" i="1" a="1"/>
  <c r="N1936" i="1" s="1"/>
  <c r="N1937" i="1" a="1"/>
  <c r="N1937" i="1" s="1"/>
  <c r="N1938" i="1" a="1"/>
  <c r="N1938" i="1" s="1"/>
  <c r="N1939" i="1" a="1"/>
  <c r="N1939" i="1" s="1"/>
  <c r="N1940" i="1" a="1"/>
  <c r="N1940" i="1" s="1"/>
  <c r="N1941" i="1" a="1"/>
  <c r="N1941" i="1" s="1"/>
  <c r="N1942" i="1" a="1"/>
  <c r="N1942" i="1" s="1"/>
  <c r="N1943" i="1" a="1"/>
  <c r="N1943" i="1" s="1"/>
  <c r="N1944" i="1" a="1"/>
  <c r="N1944" i="1" s="1"/>
  <c r="N1945" i="1" a="1"/>
  <c r="N1945" i="1" s="1"/>
  <c r="N1946" i="1" a="1"/>
  <c r="N1946" i="1" s="1"/>
  <c r="N1947" i="1" a="1"/>
  <c r="N1947" i="1" s="1"/>
  <c r="N1948" i="1" a="1"/>
  <c r="N1948" i="1" s="1"/>
  <c r="N1949" i="1" a="1"/>
  <c r="N1949" i="1" s="1"/>
  <c r="N1950" i="1" a="1"/>
  <c r="N1950" i="1" s="1"/>
  <c r="N1951" i="1" a="1"/>
  <c r="N1951" i="1" s="1"/>
  <c r="N1952" i="1" a="1"/>
  <c r="N1952" i="1" s="1"/>
  <c r="N1953" i="1" a="1"/>
  <c r="N1953" i="1" s="1"/>
  <c r="N1954" i="1" a="1"/>
  <c r="N1954" i="1" s="1"/>
  <c r="N1955" i="1" a="1"/>
  <c r="N1955" i="1" s="1"/>
  <c r="N1956" i="1" a="1"/>
  <c r="N1956" i="1" s="1"/>
  <c r="N1957" i="1" a="1"/>
  <c r="N1957" i="1" s="1"/>
  <c r="N1958" i="1" a="1"/>
  <c r="N1958" i="1" s="1"/>
  <c r="N1960" i="1" a="1"/>
  <c r="N1960" i="1" s="1"/>
  <c r="N1961" i="1" a="1"/>
  <c r="N1961" i="1" s="1"/>
  <c r="N1962" i="1" a="1"/>
  <c r="N1962" i="1" s="1"/>
  <c r="N1963" i="1" a="1"/>
  <c r="N1963" i="1" s="1"/>
  <c r="N1964" i="1" a="1"/>
  <c r="N1964" i="1" s="1"/>
  <c r="N1965" i="1" a="1"/>
  <c r="N1965" i="1" s="1"/>
  <c r="N1966" i="1" a="1"/>
  <c r="N1966" i="1" s="1"/>
  <c r="N1967" i="1" a="1"/>
  <c r="N1967" i="1" s="1"/>
  <c r="N1968" i="1" a="1"/>
  <c r="N1968" i="1" s="1"/>
  <c r="N1969" i="1" a="1"/>
  <c r="N1969" i="1" s="1"/>
  <c r="N1970" i="1" a="1"/>
  <c r="N1970" i="1" s="1"/>
  <c r="N1971" i="1" a="1"/>
  <c r="N1971" i="1" s="1"/>
  <c r="N1972" i="1" a="1"/>
  <c r="N1972" i="1" s="1"/>
  <c r="N1973" i="1" a="1"/>
  <c r="N1973" i="1" s="1"/>
  <c r="N1974" i="1" a="1"/>
  <c r="N1974" i="1" s="1"/>
  <c r="N1975" i="1" a="1"/>
  <c r="N1975" i="1" s="1"/>
  <c r="N1976" i="1" a="1"/>
  <c r="N1976" i="1" s="1"/>
  <c r="N1977" i="1" a="1"/>
  <c r="N1977" i="1" s="1"/>
  <c r="N1978" i="1" a="1"/>
  <c r="N1978" i="1" s="1"/>
  <c r="N2022" i="1" a="1"/>
  <c r="N2022" i="1" s="1"/>
  <c r="N2023" i="1" a="1"/>
  <c r="N2023" i="1" s="1"/>
  <c r="N2024" i="1" a="1"/>
  <c r="N2024" i="1" s="1"/>
  <c r="N2025" i="1" a="1"/>
  <c r="N2025" i="1" s="1"/>
  <c r="K180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N1830" i="1" a="1"/>
  <c r="N1830" i="1" s="1"/>
  <c r="N1831" i="1" a="1"/>
  <c r="N1831" i="1" s="1"/>
  <c r="N1832" i="1" a="1"/>
  <c r="N1832" i="1" s="1"/>
  <c r="N1833" i="1" a="1"/>
  <c r="N1833" i="1" s="1"/>
  <c r="N1834" i="1" a="1"/>
  <c r="N1834" i="1" s="1"/>
  <c r="N1835" i="1" a="1"/>
  <c r="N1835" i="1" s="1"/>
  <c r="N1836" i="1" a="1"/>
  <c r="N1836" i="1" s="1"/>
  <c r="N1837" i="1" a="1"/>
  <c r="N1837" i="1" s="1"/>
  <c r="N1838" i="1" a="1"/>
  <c r="N1838" i="1" s="1"/>
  <c r="N1839" i="1" a="1"/>
  <c r="N1839" i="1" s="1"/>
  <c r="N1840" i="1" a="1"/>
  <c r="N1840" i="1" s="1"/>
  <c r="N1841" i="1" a="1"/>
  <c r="N1841" i="1" s="1"/>
  <c r="N1842" i="1" a="1"/>
  <c r="N1842" i="1" s="1"/>
  <c r="N1843" i="1" a="1"/>
  <c r="N1843" i="1" s="1"/>
  <c r="N1844" i="1" a="1"/>
  <c r="N1844" i="1" s="1"/>
  <c r="N1845" i="1" a="1"/>
  <c r="N1845" i="1" s="1"/>
  <c r="N1846" i="1" a="1"/>
  <c r="N1846" i="1" s="1"/>
  <c r="N1847" i="1" a="1"/>
  <c r="N1847" i="1" s="1"/>
  <c r="N1848" i="1" a="1"/>
  <c r="N1848" i="1" s="1"/>
  <c r="N1849" i="1" a="1"/>
  <c r="N1849" i="1" s="1"/>
  <c r="N1850" i="1" a="1"/>
  <c r="N1850" i="1" s="1"/>
  <c r="N1851" i="1" a="1"/>
  <c r="N1851" i="1" s="1"/>
  <c r="N1852" i="1" a="1"/>
  <c r="N1852" i="1" s="1"/>
  <c r="N1853" i="1" a="1"/>
  <c r="N1853" i="1" s="1"/>
  <c r="N1854" i="1" a="1"/>
  <c r="N1854" i="1" s="1"/>
  <c r="N1855" i="1" a="1"/>
  <c r="N1855" i="1" s="1"/>
  <c r="N1856" i="1" a="1"/>
  <c r="N1856" i="1" s="1"/>
  <c r="N1857" i="1" a="1"/>
  <c r="N1857" i="1" s="1"/>
  <c r="N1858" i="1" a="1"/>
  <c r="N1858" i="1" s="1"/>
  <c r="N1859" i="1" a="1"/>
  <c r="N1859" i="1" s="1"/>
  <c r="N1860" i="1" a="1"/>
  <c r="N1860" i="1" s="1"/>
  <c r="N1861" i="1" a="1"/>
  <c r="N1861" i="1" s="1"/>
  <c r="N1862" i="1" a="1"/>
  <c r="N1862" i="1" s="1"/>
  <c r="N1863" i="1" a="1"/>
  <c r="N1863" i="1" s="1"/>
  <c r="N1864" i="1" a="1"/>
  <c r="N1864" i="1" s="1"/>
  <c r="N1865" i="1" a="1"/>
  <c r="N1865" i="1" s="1"/>
  <c r="N1866" i="1" a="1"/>
  <c r="N1866" i="1" s="1"/>
  <c r="N1867" i="1" a="1"/>
  <c r="N1867" i="1" s="1"/>
  <c r="N1868" i="1" a="1"/>
  <c r="N1868" i="1" s="1"/>
  <c r="N1869" i="1" a="1"/>
  <c r="N1869" i="1" s="1"/>
  <c r="N1870" i="1" a="1"/>
  <c r="N1870" i="1" s="1"/>
  <c r="N1871" i="1" a="1"/>
  <c r="N1871" i="1" s="1"/>
  <c r="N1872" i="1" a="1"/>
  <c r="N1872" i="1" s="1"/>
  <c r="N1873" i="1" a="1"/>
  <c r="N1873" i="1" s="1"/>
  <c r="N1874" i="1" a="1"/>
  <c r="N1874" i="1" s="1"/>
  <c r="N1875" i="1" a="1"/>
  <c r="N1875" i="1" s="1"/>
  <c r="N1876" i="1" a="1"/>
  <c r="N1876" i="1" s="1"/>
  <c r="N1877" i="1" a="1"/>
  <c r="N1877" i="1" s="1"/>
  <c r="N1878" i="1" a="1"/>
  <c r="N1878" i="1" s="1"/>
  <c r="N1879" i="1" a="1"/>
  <c r="N1879" i="1" s="1"/>
  <c r="N1880" i="1" a="1"/>
  <c r="N1880" i="1" s="1"/>
  <c r="N1881" i="1" a="1"/>
  <c r="N1881" i="1" s="1"/>
  <c r="N1882" i="1" a="1"/>
  <c r="N1882" i="1" s="1"/>
  <c r="N1883" i="1" a="1"/>
  <c r="N1883" i="1" s="1"/>
  <c r="N1884" i="1" a="1"/>
  <c r="N1884" i="1" s="1"/>
  <c r="N1885" i="1" a="1"/>
  <c r="N1885" i="1" s="1"/>
  <c r="N1886" i="1" a="1"/>
  <c r="N1886" i="1" s="1"/>
  <c r="N1887" i="1" a="1"/>
  <c r="N1887" i="1" s="1"/>
  <c r="N1888" i="1" a="1"/>
  <c r="N1888" i="1" s="1"/>
  <c r="N1889" i="1" a="1"/>
  <c r="N1889" i="1" s="1"/>
  <c r="N1890" i="1" a="1"/>
  <c r="N1890" i="1" s="1"/>
  <c r="N1891" i="1" a="1"/>
  <c r="N1891" i="1" s="1"/>
  <c r="N1892" i="1" a="1"/>
  <c r="N1892" i="1" s="1"/>
  <c r="N1893" i="1" a="1"/>
  <c r="N1893" i="1" s="1"/>
  <c r="N1894" i="1" a="1"/>
  <c r="N1894" i="1" s="1"/>
  <c r="N1895" i="1" a="1"/>
  <c r="N1895" i="1" s="1"/>
  <c r="N1896" i="1" a="1"/>
  <c r="N1896" i="1" s="1"/>
  <c r="N1897" i="1" a="1"/>
  <c r="N1897" i="1" s="1"/>
  <c r="N1898" i="1" a="1"/>
  <c r="N1898" i="1" s="1"/>
  <c r="N1899" i="1" a="1"/>
  <c r="N1899" i="1" s="1"/>
  <c r="N1900" i="1" a="1"/>
  <c r="N1900" i="1" s="1"/>
  <c r="N1901" i="1" a="1"/>
  <c r="N1901" i="1" s="1"/>
  <c r="N1902" i="1" a="1"/>
  <c r="N1902" i="1" s="1"/>
  <c r="N1903" i="1" a="1"/>
  <c r="N1903" i="1" s="1"/>
  <c r="N1904" i="1" a="1"/>
  <c r="N1904" i="1" s="1"/>
  <c r="N1905" i="1" a="1"/>
  <c r="N1905" i="1" s="1"/>
  <c r="N1906" i="1" a="1"/>
  <c r="N1906" i="1" s="1"/>
  <c r="N1907" i="1" a="1"/>
  <c r="N1907" i="1" s="1"/>
  <c r="N1908" i="1" a="1"/>
  <c r="N1908" i="1" s="1"/>
  <c r="N1909" i="1" a="1"/>
  <c r="N1909" i="1" s="1"/>
  <c r="N1910" i="1" a="1"/>
  <c r="N1910" i="1" s="1"/>
  <c r="N1911" i="1" a="1"/>
  <c r="N1911" i="1" s="1"/>
  <c r="N1912" i="1" a="1"/>
  <c r="N1912" i="1" s="1"/>
  <c r="N1913" i="1" a="1"/>
  <c r="N1913" i="1" s="1"/>
  <c r="I2090" i="1"/>
  <c r="I2088" i="1"/>
  <c r="I2087" i="1"/>
  <c r="I2086" i="1"/>
  <c r="I2085" i="1"/>
  <c r="I2084" i="1"/>
  <c r="I2083" i="1"/>
  <c r="I2082" i="1"/>
  <c r="I2080" i="1"/>
  <c r="I2078" i="1"/>
  <c r="I2077" i="1"/>
  <c r="I2076" i="1"/>
  <c r="I2075" i="1"/>
  <c r="I2074" i="1"/>
  <c r="I2073" i="1"/>
  <c r="I2072" i="1"/>
  <c r="I2071" i="1"/>
  <c r="I2070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1994" i="1"/>
  <c r="I1993" i="1"/>
  <c r="I1992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C610" i="7"/>
  <c r="D610" i="7"/>
  <c r="E610" i="7"/>
  <c r="F610" i="7"/>
  <c r="B610" i="7"/>
  <c r="A613" i="7"/>
  <c r="A612" i="7"/>
  <c r="A611" i="7"/>
  <c r="N29" i="6"/>
  <c r="S29" i="6" s="1"/>
  <c r="B90" i="12"/>
  <c r="D90" i="12"/>
  <c r="F90" i="12"/>
  <c r="P45" i="4" l="1"/>
  <c r="P7" i="4"/>
  <c r="O27" i="4"/>
  <c r="P27" i="4" s="1"/>
  <c r="O42" i="4"/>
  <c r="O20" i="4"/>
  <c r="O16" i="4"/>
  <c r="P36" i="4"/>
  <c r="O43" i="4"/>
  <c r="P3" i="4"/>
  <c r="O54" i="4"/>
  <c r="H104" i="17"/>
  <c r="H110" i="17"/>
  <c r="O57" i="4"/>
  <c r="T66" i="2"/>
  <c r="H124" i="17"/>
  <c r="G124" i="17"/>
  <c r="E124" i="17"/>
  <c r="C124" i="17"/>
  <c r="D124" i="17"/>
  <c r="F124" i="17"/>
  <c r="U154" i="2"/>
  <c r="U142" i="2"/>
  <c r="C54" i="17"/>
  <c r="D54" i="17"/>
  <c r="E54" i="17"/>
  <c r="F54" i="17"/>
  <c r="G54" i="17"/>
  <c r="H54" i="17"/>
  <c r="C51" i="17"/>
  <c r="D51" i="17"/>
  <c r="E51" i="17"/>
  <c r="F51" i="17"/>
  <c r="H51" i="17"/>
  <c r="C45" i="17"/>
  <c r="D45" i="17"/>
  <c r="E45" i="17"/>
  <c r="F45" i="17"/>
  <c r="G45" i="17"/>
  <c r="H45" i="17"/>
  <c r="C42" i="17"/>
  <c r="D42" i="17"/>
  <c r="E42" i="17"/>
  <c r="F42" i="17"/>
  <c r="G42" i="17"/>
  <c r="H42" i="17"/>
  <c r="C36" i="17"/>
  <c r="D36" i="17"/>
  <c r="E36" i="17"/>
  <c r="F36" i="17"/>
  <c r="G36" i="17"/>
  <c r="H36" i="17"/>
  <c r="E21" i="17"/>
  <c r="F21" i="17"/>
  <c r="G21" i="17"/>
  <c r="H21" i="17"/>
  <c r="C30" i="17"/>
  <c r="D30" i="17"/>
  <c r="E30" i="17"/>
  <c r="F30" i="17"/>
  <c r="C9" i="17"/>
  <c r="D9" i="17"/>
  <c r="E9" i="17"/>
  <c r="F9" i="17"/>
  <c r="G9" i="17"/>
  <c r="H9" i="17"/>
  <c r="C6" i="17"/>
  <c r="D6" i="17"/>
  <c r="E6" i="17"/>
  <c r="F6" i="17"/>
  <c r="H6" i="17"/>
  <c r="C80" i="17"/>
  <c r="C3" i="17"/>
  <c r="E80" i="17"/>
  <c r="E3" i="17"/>
  <c r="G80" i="17"/>
  <c r="G3" i="17"/>
  <c r="H80" i="17"/>
  <c r="H3" i="17"/>
  <c r="S4" i="5"/>
  <c r="U151" i="2"/>
  <c r="U152" i="2"/>
  <c r="Q6" i="5"/>
  <c r="S6" i="5" s="1"/>
  <c r="S5" i="5"/>
  <c r="S3" i="5"/>
  <c r="S8" i="5"/>
  <c r="S11" i="5"/>
  <c r="G364" i="7"/>
  <c r="S38" i="5"/>
  <c r="R38" i="5" s="1"/>
  <c r="S10" i="5"/>
  <c r="S9" i="5"/>
  <c r="G398" i="7"/>
  <c r="G399" i="7"/>
  <c r="G400" i="7"/>
  <c r="G359" i="7"/>
  <c r="S19" i="5"/>
  <c r="S25" i="5" s="1"/>
  <c r="R25" i="5" s="1"/>
  <c r="S7" i="5"/>
  <c r="G324" i="7"/>
  <c r="G330" i="7"/>
  <c r="G320" i="7"/>
  <c r="G611" i="7"/>
  <c r="H92" i="17"/>
  <c r="M27" i="4"/>
  <c r="G416" i="7"/>
  <c r="G50" i="17"/>
  <c r="G51" i="17" s="1"/>
  <c r="H11" i="17"/>
  <c r="H12" i="17" s="1"/>
  <c r="H129" i="17"/>
  <c r="Q13" i="6"/>
  <c r="H59" i="17"/>
  <c r="H60" i="17" s="1"/>
  <c r="G29" i="17"/>
  <c r="G30" i="17" s="1"/>
  <c r="U135" i="2"/>
  <c r="D80" i="17"/>
  <c r="F80" i="17"/>
  <c r="S133" i="2"/>
  <c r="T133" i="2" s="1"/>
  <c r="T154" i="2"/>
  <c r="U141" i="2"/>
  <c r="U134" i="2"/>
  <c r="U149" i="2"/>
  <c r="U87" i="2"/>
  <c r="U32" i="2"/>
  <c r="U119" i="2"/>
  <c r="U83" i="2"/>
  <c r="U120" i="2"/>
  <c r="U96" i="2"/>
  <c r="U153" i="2"/>
  <c r="U51" i="2"/>
  <c r="U118" i="2"/>
  <c r="L175" i="2"/>
  <c r="O175" i="2"/>
  <c r="U175" i="2"/>
  <c r="U31" i="2"/>
  <c r="U33" i="2"/>
  <c r="I175" i="2"/>
  <c r="U81" i="2"/>
  <c r="U80" i="2"/>
  <c r="K175" i="2"/>
  <c r="S139" i="2"/>
  <c r="S171" i="2" s="1"/>
  <c r="F175" i="2"/>
  <c r="E175" i="2"/>
  <c r="T68" i="2"/>
  <c r="T148" i="2"/>
  <c r="T31" i="2"/>
  <c r="T87" i="2"/>
  <c r="T33" i="2"/>
  <c r="R175" i="2"/>
  <c r="T175" i="2"/>
  <c r="U115" i="2"/>
  <c r="U131" i="2"/>
  <c r="U9" i="2"/>
  <c r="N175" i="2"/>
  <c r="U144" i="2"/>
  <c r="U148" i="2"/>
  <c r="U68" i="2"/>
  <c r="H175" i="2"/>
  <c r="U100" i="2"/>
  <c r="U143" i="2"/>
  <c r="S10" i="2"/>
  <c r="T10" i="2" s="1"/>
  <c r="S14" i="2"/>
  <c r="T14" i="2" s="1"/>
  <c r="S6" i="2"/>
  <c r="T6" i="2" s="1"/>
  <c r="G92" i="2"/>
  <c r="S92" i="2"/>
  <c r="T92" i="2" s="1"/>
  <c r="S73" i="2"/>
  <c r="T73" i="2" s="1"/>
  <c r="R125" i="2"/>
  <c r="U125" i="2"/>
  <c r="G11" i="2"/>
  <c r="S11" i="2"/>
  <c r="T11" i="2" s="1"/>
  <c r="P12" i="2"/>
  <c r="Q12" i="2" s="1"/>
  <c r="S12" i="2"/>
  <c r="D111" i="2"/>
  <c r="S111" i="2"/>
  <c r="T111" i="2" s="1"/>
  <c r="U8" i="2"/>
  <c r="U52" i="2"/>
  <c r="T52" i="2"/>
  <c r="T7" i="2"/>
  <c r="T143" i="2"/>
  <c r="T81" i="2"/>
  <c r="T4" i="2"/>
  <c r="T9" i="2"/>
  <c r="T151" i="2"/>
  <c r="T98" i="2"/>
  <c r="T135" i="2"/>
  <c r="T89" i="2"/>
  <c r="T100" i="2"/>
  <c r="T119" i="2"/>
  <c r="T164" i="2"/>
  <c r="T130" i="2"/>
  <c r="T156" i="2"/>
  <c r="U121" i="2"/>
  <c r="T121" i="2"/>
  <c r="T15" i="2"/>
  <c r="U127" i="2"/>
  <c r="T127" i="2"/>
  <c r="U140" i="2"/>
  <c r="U156" i="2"/>
  <c r="U164" i="2"/>
  <c r="T162" i="2"/>
  <c r="U122" i="2"/>
  <c r="T125" i="2"/>
  <c r="U130" i="2"/>
  <c r="T141" i="2"/>
  <c r="T149" i="2"/>
  <c r="U162" i="2"/>
  <c r="T122" i="2"/>
  <c r="U98" i="2"/>
  <c r="T8" i="2"/>
  <c r="T16" i="2"/>
  <c r="T32" i="2"/>
  <c r="T80" i="2"/>
  <c r="T96" i="2"/>
  <c r="T112" i="2"/>
  <c r="T120" i="2"/>
  <c r="T128" i="2"/>
  <c r="T144" i="2"/>
  <c r="T152" i="2"/>
  <c r="U16" i="2"/>
  <c r="T51" i="2"/>
  <c r="T83" i="2"/>
  <c r="T115" i="2"/>
  <c r="U128" i="2"/>
  <c r="T131" i="2"/>
  <c r="U66" i="2"/>
  <c r="T118" i="2"/>
  <c r="S129" i="2"/>
  <c r="T134" i="2"/>
  <c r="T142" i="2"/>
  <c r="U3" i="2"/>
  <c r="T153" i="2"/>
  <c r="T140" i="2"/>
  <c r="B111" i="2"/>
  <c r="G111" i="2"/>
  <c r="J111" i="2"/>
  <c r="M111" i="2"/>
  <c r="P111" i="2"/>
  <c r="Q111" i="2" s="1"/>
  <c r="Q11" i="6"/>
  <c r="G22" i="7"/>
  <c r="G166" i="7"/>
  <c r="G418" i="7"/>
  <c r="G20" i="7"/>
  <c r="Q140" i="2"/>
  <c r="I33" i="2"/>
  <c r="M6" i="2"/>
  <c r="P7" i="2"/>
  <c r="U7" i="2" s="1"/>
  <c r="M7" i="2"/>
  <c r="J7" i="2"/>
  <c r="G7" i="2"/>
  <c r="D7" i="2"/>
  <c r="B7" i="2"/>
  <c r="L33" i="2"/>
  <c r="O33" i="2"/>
  <c r="F33" i="2"/>
  <c r="R33" i="2"/>
  <c r="Q33" i="2"/>
  <c r="J11" i="2"/>
  <c r="P6" i="2"/>
  <c r="M11" i="2"/>
  <c r="P11" i="2"/>
  <c r="Q11" i="2" s="1"/>
  <c r="B6" i="2"/>
  <c r="D6" i="2"/>
  <c r="B11" i="2"/>
  <c r="G6" i="2"/>
  <c r="D11" i="2"/>
  <c r="J6" i="2"/>
  <c r="G412" i="7"/>
  <c r="G413" i="7" s="1"/>
  <c r="G608" i="7"/>
  <c r="G547" i="7"/>
  <c r="G189" i="7" s="1"/>
  <c r="J92" i="2"/>
  <c r="M92" i="2"/>
  <c r="B12" i="2"/>
  <c r="P92" i="2"/>
  <c r="Q92" i="2" s="1"/>
  <c r="D12" i="2"/>
  <c r="G12" i="2"/>
  <c r="B92" i="2"/>
  <c r="J12" i="2"/>
  <c r="D92" i="2"/>
  <c r="M12" i="2"/>
  <c r="G299" i="7"/>
  <c r="F9" i="2"/>
  <c r="I9" i="2"/>
  <c r="L9" i="2"/>
  <c r="O9" i="2"/>
  <c r="R9" i="2"/>
  <c r="Q9" i="2"/>
  <c r="F81" i="2"/>
  <c r="I81" i="2"/>
  <c r="L81" i="2"/>
  <c r="O81" i="2"/>
  <c r="R81" i="2"/>
  <c r="Q81" i="2"/>
  <c r="F80" i="2"/>
  <c r="I80" i="2"/>
  <c r="L80" i="2"/>
  <c r="O80" i="2"/>
  <c r="R80" i="2"/>
  <c r="Q80" i="2"/>
  <c r="Q4" i="2"/>
  <c r="Q51" i="2"/>
  <c r="Q68" i="2"/>
  <c r="Q156" i="2"/>
  <c r="Q31" i="2"/>
  <c r="Q144" i="2"/>
  <c r="B10" i="2"/>
  <c r="D10" i="2"/>
  <c r="G10" i="2"/>
  <c r="J10" i="2"/>
  <c r="M10" i="2"/>
  <c r="P10" i="2"/>
  <c r="P73" i="2"/>
  <c r="Q73" i="2" s="1"/>
  <c r="Q1827" i="1"/>
  <c r="Q1824" i="1"/>
  <c r="Q1821" i="1"/>
  <c r="Q1835" i="1"/>
  <c r="Q1834" i="1"/>
  <c r="Q1831" i="1"/>
  <c r="Q1830" i="1"/>
  <c r="Q1829" i="1"/>
  <c r="Q1823" i="1"/>
  <c r="P129" i="2"/>
  <c r="Q129" i="2" s="1"/>
  <c r="Q1828" i="1"/>
  <c r="Q1833" i="1"/>
  <c r="Q1832" i="1"/>
  <c r="Q1826" i="1"/>
  <c r="Q1825" i="1"/>
  <c r="F31" i="2"/>
  <c r="I31" i="2"/>
  <c r="L31" i="2"/>
  <c r="O31" i="2"/>
  <c r="R31" i="2"/>
  <c r="F32" i="2"/>
  <c r="I32" i="2"/>
  <c r="L32" i="2"/>
  <c r="O32" i="2"/>
  <c r="R32" i="2"/>
  <c r="Q32" i="2"/>
  <c r="P15" i="2"/>
  <c r="Q96" i="2"/>
  <c r="Q52" i="2"/>
  <c r="Q148" i="2"/>
  <c r="P139" i="2"/>
  <c r="Q128" i="2"/>
  <c r="Q164" i="2"/>
  <c r="Q141" i="2"/>
  <c r="Q98" i="2"/>
  <c r="Q127" i="2"/>
  <c r="Q135" i="2"/>
  <c r="Q143" i="2"/>
  <c r="Q151" i="2"/>
  <c r="Q8" i="2"/>
  <c r="Q16" i="2"/>
  <c r="Q83" i="2"/>
  <c r="Q119" i="2"/>
  <c r="Q130" i="2"/>
  <c r="P133" i="2"/>
  <c r="Q154" i="2"/>
  <c r="Q162" i="2"/>
  <c r="Q3" i="2"/>
  <c r="Q122" i="2"/>
  <c r="Q125" i="2"/>
  <c r="Q149" i="2"/>
  <c r="Q152" i="2"/>
  <c r="Q66" i="2"/>
  <c r="Q120" i="2"/>
  <c r="Q131" i="2"/>
  <c r="Q87" i="2"/>
  <c r="Q115" i="2"/>
  <c r="Q134" i="2"/>
  <c r="Q142" i="2"/>
  <c r="Q100" i="2"/>
  <c r="Q118" i="2"/>
  <c r="Q153" i="2"/>
  <c r="Q121" i="2"/>
  <c r="W31" i="14"/>
  <c r="W15" i="14"/>
  <c r="W5" i="14"/>
  <c r="W7" i="14"/>
  <c r="W20" i="14"/>
  <c r="M16" i="4"/>
  <c r="H108" i="17" s="1"/>
  <c r="M43" i="4"/>
  <c r="M54" i="4"/>
  <c r="M57" i="4"/>
  <c r="R5" i="6"/>
  <c r="W28" i="14"/>
  <c r="X28" i="14"/>
  <c r="W24" i="14"/>
  <c r="X24" i="14"/>
  <c r="W23" i="14"/>
  <c r="X23" i="14"/>
  <c r="W21" i="14"/>
  <c r="X21" i="14"/>
  <c r="W13" i="14"/>
  <c r="X13" i="14"/>
  <c r="W12" i="14"/>
  <c r="X12" i="14"/>
  <c r="X4" i="14"/>
  <c r="W10" i="14"/>
  <c r="W32" i="14"/>
  <c r="W18" i="14"/>
  <c r="W6" i="14"/>
  <c r="W14" i="14"/>
  <c r="W22" i="14"/>
  <c r="W30" i="14"/>
  <c r="W33" i="14"/>
  <c r="W26" i="14"/>
  <c r="W34" i="14"/>
  <c r="Q1806" i="1"/>
  <c r="AA1" i="14"/>
  <c r="AA7" i="14" s="1"/>
  <c r="J2" i="16"/>
  <c r="M4" i="16" s="1"/>
  <c r="M5" i="16" s="1"/>
  <c r="Q1822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S21" i="14"/>
  <c r="S20" i="14"/>
  <c r="M21" i="14"/>
  <c r="M14" i="14"/>
  <c r="M5" i="14"/>
  <c r="M29" i="14"/>
  <c r="N13" i="14"/>
  <c r="R18" i="14"/>
  <c r="R5" i="14"/>
  <c r="R13" i="14"/>
  <c r="R29" i="14"/>
  <c r="M10" i="14"/>
  <c r="M18" i="14"/>
  <c r="M26" i="14"/>
  <c r="R24" i="14"/>
  <c r="R8" i="14"/>
  <c r="S25" i="14"/>
  <c r="H6" i="14"/>
  <c r="R9" i="14"/>
  <c r="H11" i="14"/>
  <c r="H31" i="14"/>
  <c r="R12" i="14"/>
  <c r="R28" i="14"/>
  <c r="H27" i="14"/>
  <c r="R17" i="14"/>
  <c r="R33" i="14"/>
  <c r="H30" i="14"/>
  <c r="H22" i="14"/>
  <c r="H19" i="14"/>
  <c r="H14" i="14"/>
  <c r="H15" i="14"/>
  <c r="R16" i="14"/>
  <c r="R26" i="14"/>
  <c r="H10" i="14"/>
  <c r="R19" i="14"/>
  <c r="R32" i="14"/>
  <c r="H7" i="14"/>
  <c r="H23" i="14"/>
  <c r="M27" i="14"/>
  <c r="R10" i="14"/>
  <c r="R34" i="14"/>
  <c r="N30" i="14"/>
  <c r="S4" i="14"/>
  <c r="M15" i="14"/>
  <c r="R11" i="14"/>
  <c r="R27" i="14"/>
  <c r="H29" i="14"/>
  <c r="H21" i="14"/>
  <c r="H13" i="14"/>
  <c r="H5" i="14"/>
  <c r="N28" i="14"/>
  <c r="R6" i="14"/>
  <c r="R14" i="14"/>
  <c r="R22" i="14"/>
  <c r="R30" i="14"/>
  <c r="H28" i="14"/>
  <c r="H20" i="14"/>
  <c r="H12" i="14"/>
  <c r="M19" i="14"/>
  <c r="M31" i="14"/>
  <c r="N11" i="14"/>
  <c r="H4" i="14"/>
  <c r="M7" i="14"/>
  <c r="H34" i="14"/>
  <c r="H26" i="14"/>
  <c r="H18" i="14"/>
  <c r="M23" i="14"/>
  <c r="R7" i="14"/>
  <c r="R15" i="14"/>
  <c r="R23" i="14"/>
  <c r="R31" i="14"/>
  <c r="I33" i="14"/>
  <c r="I3" i="14" s="1"/>
  <c r="AA13" i="14" s="1"/>
  <c r="H25" i="14"/>
  <c r="H17" i="14"/>
  <c r="H9" i="14"/>
  <c r="M24" i="14"/>
  <c r="H32" i="14"/>
  <c r="H24" i="14"/>
  <c r="H16" i="14"/>
  <c r="H8" i="14"/>
  <c r="M20" i="14"/>
  <c r="M12" i="14"/>
  <c r="M4" i="14"/>
  <c r="M8" i="14"/>
  <c r="M16" i="14"/>
  <c r="M32" i="14"/>
  <c r="M6" i="14"/>
  <c r="M22" i="14"/>
  <c r="M9" i="14"/>
  <c r="M17" i="14"/>
  <c r="M25" i="14"/>
  <c r="M33" i="14"/>
  <c r="M34" i="14"/>
  <c r="N1803" i="1" a="1"/>
  <c r="N1803" i="1" s="1"/>
  <c r="N1804" i="1" a="1"/>
  <c r="N1804" i="1" s="1"/>
  <c r="N1805" i="1" a="1"/>
  <c r="N1805" i="1" s="1"/>
  <c r="N1806" i="1" a="1"/>
  <c r="N1806" i="1" s="1"/>
  <c r="N1807" i="1" a="1"/>
  <c r="N1807" i="1" s="1"/>
  <c r="N1808" i="1" a="1"/>
  <c r="N1808" i="1" s="1"/>
  <c r="N1809" i="1" a="1"/>
  <c r="N1809" i="1" s="1"/>
  <c r="N1810" i="1" a="1"/>
  <c r="N1810" i="1" s="1"/>
  <c r="N1811" i="1" a="1"/>
  <c r="N1811" i="1" s="1"/>
  <c r="N1812" i="1" a="1"/>
  <c r="N1812" i="1" s="1"/>
  <c r="N1813" i="1" a="1"/>
  <c r="N1813" i="1" s="1"/>
  <c r="N1814" i="1" a="1"/>
  <c r="N1814" i="1" s="1"/>
  <c r="N1815" i="1" a="1"/>
  <c r="N1815" i="1" s="1"/>
  <c r="N1816" i="1" a="1"/>
  <c r="N1816" i="1" s="1"/>
  <c r="N1817" i="1" a="1"/>
  <c r="N1817" i="1" s="1"/>
  <c r="N1818" i="1" a="1"/>
  <c r="N1818" i="1" s="1"/>
  <c r="N1819" i="1" a="1"/>
  <c r="N1819" i="1" s="1"/>
  <c r="N1820" i="1" a="1"/>
  <c r="N1820" i="1" s="1"/>
  <c r="N1821" i="1" a="1"/>
  <c r="N1821" i="1" s="1"/>
  <c r="N1822" i="1" a="1"/>
  <c r="N1822" i="1" s="1"/>
  <c r="N1823" i="1" a="1"/>
  <c r="N1823" i="1" s="1"/>
  <c r="N1824" i="1" a="1"/>
  <c r="N1824" i="1" s="1"/>
  <c r="N1825" i="1" a="1"/>
  <c r="N1825" i="1" s="1"/>
  <c r="N1826" i="1" a="1"/>
  <c r="N1826" i="1" s="1"/>
  <c r="N1827" i="1" a="1"/>
  <c r="N1827" i="1" s="1"/>
  <c r="N1828" i="1" a="1"/>
  <c r="N1828" i="1" s="1"/>
  <c r="N1829" i="1" a="1"/>
  <c r="N1829" i="1" s="1"/>
  <c r="I919" i="1"/>
  <c r="I920" i="1"/>
  <c r="I921" i="1"/>
  <c r="I922" i="1"/>
  <c r="I923" i="1"/>
  <c r="I924" i="1"/>
  <c r="I925" i="1"/>
  <c r="I926" i="1"/>
  <c r="I927" i="1"/>
  <c r="I928" i="1"/>
  <c r="I929" i="1"/>
  <c r="I530" i="1"/>
  <c r="I531" i="1"/>
  <c r="I532" i="1"/>
  <c r="I533" i="1"/>
  <c r="I534" i="1"/>
  <c r="I535" i="1"/>
  <c r="I536" i="1"/>
  <c r="I537" i="1"/>
  <c r="I172" i="1"/>
  <c r="I173" i="1"/>
  <c r="I174" i="1"/>
  <c r="I175" i="1"/>
  <c r="I176" i="1"/>
  <c r="I177" i="1"/>
  <c r="I178" i="1"/>
  <c r="I179" i="1"/>
  <c r="N1792" i="1" a="1"/>
  <c r="N1792" i="1" s="1"/>
  <c r="N1793" i="1" a="1"/>
  <c r="N1793" i="1" s="1"/>
  <c r="N1794" i="1" a="1"/>
  <c r="N1794" i="1" s="1"/>
  <c r="N1795" i="1" a="1"/>
  <c r="N1795" i="1" s="1"/>
  <c r="N1796" i="1" a="1"/>
  <c r="N1796" i="1" s="1"/>
  <c r="N1797" i="1" a="1"/>
  <c r="N1797" i="1" s="1"/>
  <c r="N1798" i="1" a="1"/>
  <c r="N1798" i="1" s="1"/>
  <c r="N1799" i="1" a="1"/>
  <c r="N1799" i="1" s="1"/>
  <c r="N1800" i="1" a="1"/>
  <c r="N1800" i="1" s="1"/>
  <c r="N1801" i="1" a="1"/>
  <c r="N1801" i="1" s="1"/>
  <c r="N1802" i="1" a="1"/>
  <c r="N1802" i="1" s="1"/>
  <c r="I1271" i="1"/>
  <c r="I1272" i="1"/>
  <c r="I1273" i="1"/>
  <c r="I1274" i="1"/>
  <c r="I1275" i="1"/>
  <c r="I1276" i="1"/>
  <c r="I1277" i="1"/>
  <c r="I1278" i="1"/>
  <c r="I1279" i="1"/>
  <c r="I1280" i="1"/>
  <c r="I1281" i="1"/>
  <c r="K4" i="4"/>
  <c r="K52" i="4" s="1"/>
  <c r="I69" i="12"/>
  <c r="J49" i="12"/>
  <c r="K50" i="12" s="1"/>
  <c r="H49" i="12"/>
  <c r="B49" i="12"/>
  <c r="D49" i="12"/>
  <c r="F49" i="12"/>
  <c r="J86" i="12"/>
  <c r="H86" i="12"/>
  <c r="F86" i="12"/>
  <c r="D86" i="12"/>
  <c r="B86" i="12"/>
  <c r="B85" i="12"/>
  <c r="B84" i="12"/>
  <c r="B83" i="12"/>
  <c r="B82" i="12"/>
  <c r="B81" i="12"/>
  <c r="B80" i="12"/>
  <c r="B79" i="12"/>
  <c r="B78" i="12"/>
  <c r="B77" i="12"/>
  <c r="D85" i="12"/>
  <c r="D84" i="12"/>
  <c r="D83" i="12"/>
  <c r="D82" i="12"/>
  <c r="D81" i="12"/>
  <c r="D80" i="12"/>
  <c r="D79" i="12"/>
  <c r="D78" i="12"/>
  <c r="D77" i="12"/>
  <c r="F85" i="12"/>
  <c r="F84" i="12"/>
  <c r="F83" i="12"/>
  <c r="F82" i="12"/>
  <c r="F81" i="12"/>
  <c r="F80" i="12"/>
  <c r="F79" i="12"/>
  <c r="F78" i="12"/>
  <c r="F77" i="12"/>
  <c r="F63" i="12"/>
  <c r="G69" i="12" s="1"/>
  <c r="D63" i="12"/>
  <c r="E71" i="12" s="1"/>
  <c r="B63" i="12"/>
  <c r="C65" i="12" s="1"/>
  <c r="F397" i="7"/>
  <c r="F392" i="7"/>
  <c r="F391" i="7"/>
  <c r="F390" i="7"/>
  <c r="F389" i="7"/>
  <c r="F388" i="7"/>
  <c r="F387" i="7"/>
  <c r="F386" i="7"/>
  <c r="F385" i="7"/>
  <c r="F384" i="7"/>
  <c r="F363" i="7"/>
  <c r="F362" i="7"/>
  <c r="F361" i="7"/>
  <c r="F360" i="7"/>
  <c r="F359" i="7"/>
  <c r="F358" i="7"/>
  <c r="F357" i="7"/>
  <c r="F356" i="7"/>
  <c r="F355" i="7"/>
  <c r="F607" i="7"/>
  <c r="F419" i="7"/>
  <c r="F417" i="7"/>
  <c r="F332" i="7"/>
  <c r="F331" i="7"/>
  <c r="F325" i="7"/>
  <c r="F323" i="7"/>
  <c r="F322" i="7"/>
  <c r="F606" i="7"/>
  <c r="F483" i="7"/>
  <c r="F410" i="7"/>
  <c r="F163" i="7"/>
  <c r="F162" i="7"/>
  <c r="F160" i="7"/>
  <c r="F159" i="7"/>
  <c r="F157" i="7"/>
  <c r="F86" i="7"/>
  <c r="F45" i="7"/>
  <c r="F2" i="7"/>
  <c r="F299" i="7" s="1"/>
  <c r="F589" i="7"/>
  <c r="F508" i="7"/>
  <c r="F476" i="7"/>
  <c r="F457" i="7"/>
  <c r="F569" i="7"/>
  <c r="F409" i="7"/>
  <c r="F396" i="7"/>
  <c r="F383" i="7"/>
  <c r="F354" i="7"/>
  <c r="F335" i="7"/>
  <c r="F319" i="7"/>
  <c r="F243" i="7"/>
  <c r="F187" i="7"/>
  <c r="F167" i="7"/>
  <c r="F121" i="7"/>
  <c r="F85" i="7"/>
  <c r="F49" i="7"/>
  <c r="F23" i="7"/>
  <c r="C27" i="12"/>
  <c r="B27" i="12"/>
  <c r="N1791" i="1" a="1"/>
  <c r="N1791" i="1" s="1"/>
  <c r="N1790" i="1" a="1"/>
  <c r="N1790" i="1" s="1"/>
  <c r="N1789" i="1" a="1"/>
  <c r="N1789" i="1" s="1"/>
  <c r="N1788" i="1" a="1"/>
  <c r="N1788" i="1" s="1"/>
  <c r="N1787" i="1" a="1"/>
  <c r="N1787" i="1" s="1"/>
  <c r="N1786" i="1" a="1"/>
  <c r="N1786" i="1" s="1"/>
  <c r="N1785" i="1" a="1"/>
  <c r="N1785" i="1" s="1"/>
  <c r="N1784" i="1" a="1"/>
  <c r="N1784" i="1" s="1"/>
  <c r="N1783" i="1" a="1"/>
  <c r="N1783" i="1" s="1"/>
  <c r="N1782" i="1" a="1"/>
  <c r="N1782" i="1" s="1"/>
  <c r="N1781" i="1" a="1"/>
  <c r="N1781" i="1" s="1"/>
  <c r="N1780" i="1" a="1"/>
  <c r="N1780" i="1" s="1"/>
  <c r="N1779" i="1" a="1"/>
  <c r="N1779" i="1" s="1"/>
  <c r="N1778" i="1" a="1"/>
  <c r="N1778" i="1" s="1"/>
  <c r="N1777" i="1" a="1"/>
  <c r="N1777" i="1" s="1"/>
  <c r="N1776" i="1" a="1"/>
  <c r="N1776" i="1" s="1"/>
  <c r="N1775" i="1" a="1"/>
  <c r="N1775" i="1" s="1"/>
  <c r="N1774" i="1" a="1"/>
  <c r="N1774" i="1" s="1"/>
  <c r="N1773" i="1" a="1"/>
  <c r="N1773" i="1" s="1"/>
  <c r="N1772" i="1" a="1"/>
  <c r="N1772" i="1" s="1"/>
  <c r="N1771" i="1" a="1"/>
  <c r="N1771" i="1" s="1"/>
  <c r="N1770" i="1" a="1"/>
  <c r="N1770" i="1" s="1"/>
  <c r="N1769" i="1" a="1"/>
  <c r="N1769" i="1" s="1"/>
  <c r="N1768" i="1" a="1"/>
  <c r="N1768" i="1" s="1"/>
  <c r="N1767" i="1" a="1"/>
  <c r="N1767" i="1" s="1"/>
  <c r="N1766" i="1" a="1"/>
  <c r="N1766" i="1" s="1"/>
  <c r="N1765" i="1" a="1"/>
  <c r="N1765" i="1" s="1"/>
  <c r="N1764" i="1" a="1"/>
  <c r="N1764" i="1" s="1"/>
  <c r="N1763" i="1" a="1"/>
  <c r="N1763" i="1" s="1"/>
  <c r="N1762" i="1" a="1"/>
  <c r="N1762" i="1" s="1"/>
  <c r="N1761" i="1" a="1"/>
  <c r="N1761" i="1" s="1"/>
  <c r="N1760" i="1" a="1"/>
  <c r="N1760" i="1" s="1"/>
  <c r="N1759" i="1" a="1"/>
  <c r="N1759" i="1" s="1"/>
  <c r="N1758" i="1" a="1"/>
  <c r="N1758" i="1" s="1"/>
  <c r="N1757" i="1" a="1"/>
  <c r="N1757" i="1" s="1"/>
  <c r="N1756" i="1" a="1"/>
  <c r="N1756" i="1" s="1"/>
  <c r="N1755" i="1" a="1"/>
  <c r="N1755" i="1" s="1"/>
  <c r="N1754" i="1" a="1"/>
  <c r="N1754" i="1" s="1"/>
  <c r="N1753" i="1" a="1"/>
  <c r="N1753" i="1" s="1"/>
  <c r="N1752" i="1" a="1"/>
  <c r="N1752" i="1" s="1"/>
  <c r="N1751" i="1" a="1"/>
  <c r="N1751" i="1" s="1"/>
  <c r="N1750" i="1" a="1"/>
  <c r="N1750" i="1" s="1"/>
  <c r="N1749" i="1" a="1"/>
  <c r="N1749" i="1" s="1"/>
  <c r="N1748" i="1" a="1"/>
  <c r="N1748" i="1" s="1"/>
  <c r="N1747" i="1" a="1"/>
  <c r="N1747" i="1" s="1"/>
  <c r="N1746" i="1" a="1"/>
  <c r="N1746" i="1" s="1"/>
  <c r="N1745" i="1" a="1"/>
  <c r="N1745" i="1" s="1"/>
  <c r="N1744" i="1" a="1"/>
  <c r="N1744" i="1" s="1"/>
  <c r="N1743" i="1" a="1"/>
  <c r="N1743" i="1" s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N4" i="6"/>
  <c r="M83" i="2"/>
  <c r="R83" i="2" s="1"/>
  <c r="J83" i="2"/>
  <c r="G83" i="2"/>
  <c r="D83" i="2"/>
  <c r="B83" i="2"/>
  <c r="J90" i="12"/>
  <c r="H90" i="12"/>
  <c r="J85" i="12"/>
  <c r="J84" i="12"/>
  <c r="J83" i="12"/>
  <c r="J82" i="12"/>
  <c r="J81" i="12"/>
  <c r="J80" i="12"/>
  <c r="J79" i="12"/>
  <c r="J78" i="12"/>
  <c r="J77" i="12"/>
  <c r="H77" i="12"/>
  <c r="H78" i="12"/>
  <c r="H79" i="12"/>
  <c r="H80" i="12"/>
  <c r="H81" i="12"/>
  <c r="H82" i="12"/>
  <c r="H83" i="12"/>
  <c r="H84" i="12"/>
  <c r="H85" i="12"/>
  <c r="J63" i="12"/>
  <c r="H63" i="12"/>
  <c r="I66" i="12" s="1"/>
  <c r="M141" i="2"/>
  <c r="R141" i="2" s="1"/>
  <c r="M142" i="2"/>
  <c r="R142" i="2" s="1"/>
  <c r="M143" i="2"/>
  <c r="O143" i="2" s="1"/>
  <c r="M144" i="2"/>
  <c r="R144" i="2" s="1"/>
  <c r="M140" i="2"/>
  <c r="R140" i="2" s="1"/>
  <c r="N1443" i="1" a="1"/>
  <c r="N1443" i="1" s="1"/>
  <c r="N1444" i="1" a="1"/>
  <c r="N1444" i="1" s="1"/>
  <c r="N1445" i="1" a="1"/>
  <c r="N1445" i="1" s="1"/>
  <c r="N1446" i="1" a="1"/>
  <c r="N1446" i="1" s="1"/>
  <c r="N1447" i="1" a="1"/>
  <c r="N1447" i="1" s="1"/>
  <c r="N1448" i="1" a="1"/>
  <c r="N1448" i="1" s="1"/>
  <c r="N1449" i="1" a="1"/>
  <c r="N1449" i="1" s="1"/>
  <c r="N1450" i="1" a="1"/>
  <c r="N1450" i="1" s="1"/>
  <c r="N1451" i="1" a="1"/>
  <c r="N1451" i="1" s="1"/>
  <c r="N1452" i="1" a="1"/>
  <c r="N1452" i="1" s="1"/>
  <c r="N1453" i="1" a="1"/>
  <c r="N1453" i="1" s="1"/>
  <c r="N1454" i="1" a="1"/>
  <c r="N1454" i="1" s="1"/>
  <c r="N1455" i="1" a="1"/>
  <c r="N1455" i="1" s="1"/>
  <c r="N1456" i="1" a="1"/>
  <c r="N1456" i="1" s="1"/>
  <c r="N1457" i="1" a="1"/>
  <c r="N1457" i="1" s="1"/>
  <c r="N1458" i="1" a="1"/>
  <c r="N1458" i="1" s="1"/>
  <c r="N1459" i="1" a="1"/>
  <c r="N1459" i="1" s="1"/>
  <c r="N1460" i="1" a="1"/>
  <c r="N1460" i="1" s="1"/>
  <c r="N1461" i="1" a="1"/>
  <c r="N1461" i="1" s="1"/>
  <c r="N1462" i="1" a="1"/>
  <c r="N1462" i="1" s="1"/>
  <c r="N1463" i="1" a="1"/>
  <c r="N1463" i="1" s="1"/>
  <c r="N1464" i="1" a="1"/>
  <c r="N1464" i="1" s="1"/>
  <c r="N1465" i="1" a="1"/>
  <c r="N1465" i="1" s="1"/>
  <c r="N1466" i="1" a="1"/>
  <c r="N1466" i="1" s="1"/>
  <c r="N1467" i="1" a="1"/>
  <c r="N1467" i="1" s="1"/>
  <c r="N1468" i="1" a="1"/>
  <c r="N1468" i="1" s="1"/>
  <c r="N1469" i="1" a="1"/>
  <c r="N1469" i="1" s="1"/>
  <c r="N1470" i="1" a="1"/>
  <c r="N1470" i="1" s="1"/>
  <c r="N1471" i="1" a="1"/>
  <c r="N1471" i="1" s="1"/>
  <c r="N1472" i="1" a="1"/>
  <c r="N1472" i="1" s="1"/>
  <c r="N1473" i="1" a="1"/>
  <c r="N1473" i="1" s="1"/>
  <c r="N1474" i="1" a="1"/>
  <c r="N1474" i="1" s="1"/>
  <c r="N1475" i="1" a="1"/>
  <c r="N1475" i="1" s="1"/>
  <c r="N1476" i="1" a="1"/>
  <c r="N1476" i="1" s="1"/>
  <c r="N1477" i="1" a="1"/>
  <c r="N1477" i="1" s="1"/>
  <c r="N1478" i="1" a="1"/>
  <c r="N1478" i="1" s="1"/>
  <c r="N1479" i="1" a="1"/>
  <c r="N1479" i="1" s="1"/>
  <c r="N1480" i="1" a="1"/>
  <c r="N1480" i="1" s="1"/>
  <c r="N1481" i="1" a="1"/>
  <c r="N1481" i="1" s="1"/>
  <c r="N1482" i="1" a="1"/>
  <c r="N1482" i="1" s="1"/>
  <c r="N1483" i="1" a="1"/>
  <c r="N1483" i="1" s="1"/>
  <c r="N1484" i="1" a="1"/>
  <c r="N1484" i="1" s="1"/>
  <c r="N1485" i="1" a="1"/>
  <c r="N1485" i="1" s="1"/>
  <c r="N1486" i="1" a="1"/>
  <c r="N1486" i="1" s="1"/>
  <c r="N1487" i="1" a="1"/>
  <c r="N1487" i="1" s="1"/>
  <c r="N1488" i="1" a="1"/>
  <c r="N1488" i="1" s="1"/>
  <c r="N1489" i="1" a="1"/>
  <c r="N1489" i="1" s="1"/>
  <c r="N1490" i="1" a="1"/>
  <c r="N1490" i="1" s="1"/>
  <c r="N1491" i="1" a="1"/>
  <c r="N1491" i="1" s="1"/>
  <c r="N1492" i="1" a="1"/>
  <c r="N1492" i="1" s="1"/>
  <c r="N1493" i="1" a="1"/>
  <c r="N1493" i="1" s="1"/>
  <c r="N1494" i="1" a="1"/>
  <c r="N1494" i="1" s="1"/>
  <c r="N1495" i="1" a="1"/>
  <c r="N1495" i="1" s="1"/>
  <c r="N1496" i="1" a="1"/>
  <c r="N1496" i="1" s="1"/>
  <c r="N1497" i="1" a="1"/>
  <c r="N1497" i="1" s="1"/>
  <c r="N1498" i="1" a="1"/>
  <c r="N1498" i="1" s="1"/>
  <c r="N1499" i="1" a="1"/>
  <c r="N1499" i="1" s="1"/>
  <c r="N1500" i="1" a="1"/>
  <c r="N1500" i="1" s="1"/>
  <c r="N1501" i="1" a="1"/>
  <c r="N1501" i="1" s="1"/>
  <c r="N1502" i="1" a="1"/>
  <c r="N1502" i="1" s="1"/>
  <c r="N1503" i="1" a="1"/>
  <c r="N1503" i="1" s="1"/>
  <c r="N1504" i="1" a="1"/>
  <c r="N1504" i="1" s="1"/>
  <c r="N1505" i="1" a="1"/>
  <c r="N1505" i="1" s="1"/>
  <c r="N1506" i="1" a="1"/>
  <c r="N1506" i="1" s="1"/>
  <c r="N1507" i="1" a="1"/>
  <c r="N1507" i="1" s="1"/>
  <c r="N1508" i="1" a="1"/>
  <c r="N1508" i="1" s="1"/>
  <c r="N1509" i="1" a="1"/>
  <c r="N1509" i="1" s="1"/>
  <c r="N1510" i="1" a="1"/>
  <c r="N1510" i="1" s="1"/>
  <c r="N1511" i="1" a="1"/>
  <c r="N1511" i="1" s="1"/>
  <c r="N1512" i="1" a="1"/>
  <c r="N1512" i="1" s="1"/>
  <c r="N1513" i="1" a="1"/>
  <c r="N1513" i="1" s="1"/>
  <c r="N1514" i="1" a="1"/>
  <c r="N1514" i="1" s="1"/>
  <c r="N1515" i="1" a="1"/>
  <c r="N1515" i="1" s="1"/>
  <c r="N1516" i="1" a="1"/>
  <c r="N1516" i="1" s="1"/>
  <c r="N1517" i="1" a="1"/>
  <c r="N1517" i="1" s="1"/>
  <c r="N1518" i="1" a="1"/>
  <c r="N1518" i="1" s="1"/>
  <c r="N1519" i="1" a="1"/>
  <c r="N1519" i="1" s="1"/>
  <c r="N1520" i="1" a="1"/>
  <c r="N1520" i="1" s="1"/>
  <c r="N1521" i="1" a="1"/>
  <c r="N1521" i="1" s="1"/>
  <c r="N1522" i="1" a="1"/>
  <c r="N1522" i="1" s="1"/>
  <c r="N1523" i="1" a="1"/>
  <c r="N1523" i="1" s="1"/>
  <c r="N1524" i="1" a="1"/>
  <c r="N1524" i="1" s="1"/>
  <c r="N1525" i="1" a="1"/>
  <c r="N1525" i="1" s="1"/>
  <c r="N1526" i="1" a="1"/>
  <c r="N1526" i="1" s="1"/>
  <c r="N1527" i="1" a="1"/>
  <c r="N1527" i="1" s="1"/>
  <c r="N1528" i="1" a="1"/>
  <c r="N1528" i="1" s="1"/>
  <c r="N1529" i="1" a="1"/>
  <c r="N1529" i="1" s="1"/>
  <c r="N1530" i="1" a="1"/>
  <c r="N1530" i="1" s="1"/>
  <c r="N1531" i="1" a="1"/>
  <c r="N1531" i="1" s="1"/>
  <c r="N1532" i="1" a="1"/>
  <c r="N1532" i="1" s="1"/>
  <c r="N1533" i="1" a="1"/>
  <c r="N1533" i="1" s="1"/>
  <c r="N1534" i="1" a="1"/>
  <c r="N1534" i="1" s="1"/>
  <c r="N1535" i="1" a="1"/>
  <c r="N1535" i="1" s="1"/>
  <c r="N1536" i="1" a="1"/>
  <c r="N1536" i="1" s="1"/>
  <c r="N1537" i="1" a="1"/>
  <c r="N1537" i="1" s="1"/>
  <c r="N1538" i="1" a="1"/>
  <c r="N1538" i="1" s="1"/>
  <c r="N1539" i="1" a="1"/>
  <c r="N1539" i="1" s="1"/>
  <c r="N1540" i="1" a="1"/>
  <c r="N1540" i="1" s="1"/>
  <c r="N1541" i="1" a="1"/>
  <c r="N1541" i="1" s="1"/>
  <c r="N1542" i="1" a="1"/>
  <c r="N1542" i="1" s="1"/>
  <c r="N1543" i="1" a="1"/>
  <c r="N1543" i="1" s="1"/>
  <c r="N1544" i="1" a="1"/>
  <c r="N1544" i="1" s="1"/>
  <c r="N1545" i="1" a="1"/>
  <c r="N1545" i="1" s="1"/>
  <c r="N1546" i="1" a="1"/>
  <c r="N1546" i="1" s="1"/>
  <c r="N1547" i="1" a="1"/>
  <c r="N1547" i="1" s="1"/>
  <c r="N1548" i="1" a="1"/>
  <c r="N1548" i="1" s="1"/>
  <c r="N1549" i="1" a="1"/>
  <c r="N1549" i="1" s="1"/>
  <c r="N1550" i="1" a="1"/>
  <c r="N1550" i="1" s="1"/>
  <c r="N1551" i="1" a="1"/>
  <c r="N1551" i="1" s="1"/>
  <c r="N1552" i="1" a="1"/>
  <c r="N1552" i="1" s="1"/>
  <c r="N1553" i="1" a="1"/>
  <c r="N1553" i="1" s="1"/>
  <c r="N1554" i="1" a="1"/>
  <c r="N1554" i="1" s="1"/>
  <c r="N1555" i="1" a="1"/>
  <c r="N1555" i="1" s="1"/>
  <c r="N1556" i="1" a="1"/>
  <c r="N1556" i="1" s="1"/>
  <c r="N1557" i="1" a="1"/>
  <c r="N1557" i="1" s="1"/>
  <c r="N1558" i="1" a="1"/>
  <c r="N1558" i="1" s="1"/>
  <c r="N1559" i="1" a="1"/>
  <c r="N1559" i="1" s="1"/>
  <c r="N1560" i="1" a="1"/>
  <c r="N1560" i="1" s="1"/>
  <c r="N1561" i="1" a="1"/>
  <c r="N1561" i="1" s="1"/>
  <c r="N1562" i="1" a="1"/>
  <c r="N1562" i="1" s="1"/>
  <c r="N1563" i="1" a="1"/>
  <c r="N1563" i="1" s="1"/>
  <c r="N1564" i="1" a="1"/>
  <c r="N1564" i="1" s="1"/>
  <c r="N1565" i="1" a="1"/>
  <c r="N1565" i="1" s="1"/>
  <c r="N1566" i="1" a="1"/>
  <c r="N1566" i="1" s="1"/>
  <c r="N1567" i="1" a="1"/>
  <c r="N1567" i="1" s="1"/>
  <c r="N1568" i="1" a="1"/>
  <c r="N1568" i="1" s="1"/>
  <c r="N1569" i="1" a="1"/>
  <c r="N1569" i="1" s="1"/>
  <c r="N1570" i="1" a="1"/>
  <c r="N1570" i="1" s="1"/>
  <c r="N1571" i="1" a="1"/>
  <c r="N1571" i="1" s="1"/>
  <c r="N1572" i="1" a="1"/>
  <c r="N1572" i="1" s="1"/>
  <c r="N1573" i="1" a="1"/>
  <c r="N1573" i="1" s="1"/>
  <c r="N1574" i="1" a="1"/>
  <c r="N1574" i="1" s="1"/>
  <c r="N1575" i="1" a="1"/>
  <c r="N1575" i="1" s="1"/>
  <c r="N1576" i="1" a="1"/>
  <c r="N1576" i="1" s="1"/>
  <c r="N1577" i="1" a="1"/>
  <c r="N1577" i="1" s="1"/>
  <c r="N1578" i="1" a="1"/>
  <c r="N1578" i="1" s="1"/>
  <c r="N1579" i="1" a="1"/>
  <c r="N1579" i="1" s="1"/>
  <c r="N1580" i="1" a="1"/>
  <c r="N1580" i="1" s="1"/>
  <c r="N1581" i="1" a="1"/>
  <c r="N1581" i="1" s="1"/>
  <c r="N1582" i="1" a="1"/>
  <c r="N1582" i="1" s="1"/>
  <c r="N1583" i="1" a="1"/>
  <c r="N1583" i="1" s="1"/>
  <c r="N1584" i="1" a="1"/>
  <c r="N1584" i="1" s="1"/>
  <c r="N1585" i="1" a="1"/>
  <c r="N1585" i="1" s="1"/>
  <c r="N1586" i="1" a="1"/>
  <c r="N1586" i="1" s="1"/>
  <c r="N1587" i="1" a="1"/>
  <c r="N1587" i="1" s="1"/>
  <c r="N1588" i="1" a="1"/>
  <c r="N1588" i="1" s="1"/>
  <c r="N1589" i="1" a="1"/>
  <c r="N1589" i="1" s="1"/>
  <c r="N1590" i="1" a="1"/>
  <c r="N1590" i="1" s="1"/>
  <c r="N1591" i="1" a="1"/>
  <c r="N1591" i="1" s="1"/>
  <c r="N1592" i="1" a="1"/>
  <c r="N1592" i="1" s="1"/>
  <c r="N1593" i="1" a="1"/>
  <c r="N1593" i="1" s="1"/>
  <c r="N1594" i="1" a="1"/>
  <c r="N1594" i="1" s="1"/>
  <c r="N1595" i="1" a="1"/>
  <c r="N1595" i="1" s="1"/>
  <c r="N1596" i="1" a="1"/>
  <c r="N1596" i="1" s="1"/>
  <c r="N1597" i="1" a="1"/>
  <c r="N1597" i="1" s="1"/>
  <c r="N1598" i="1" a="1"/>
  <c r="N1598" i="1" s="1"/>
  <c r="N1599" i="1" a="1"/>
  <c r="N1599" i="1" s="1"/>
  <c r="N1600" i="1" a="1"/>
  <c r="N1600" i="1" s="1"/>
  <c r="N1601" i="1" a="1"/>
  <c r="N1601" i="1" s="1"/>
  <c r="N1602" i="1" a="1"/>
  <c r="N1602" i="1" s="1"/>
  <c r="N1603" i="1" a="1"/>
  <c r="N1603" i="1" s="1"/>
  <c r="N1604" i="1" a="1"/>
  <c r="N1604" i="1" s="1"/>
  <c r="N1605" i="1" a="1"/>
  <c r="N1605" i="1" s="1"/>
  <c r="N1606" i="1" a="1"/>
  <c r="N1606" i="1" s="1"/>
  <c r="N1607" i="1" a="1"/>
  <c r="N1607" i="1" s="1"/>
  <c r="N1608" i="1" a="1"/>
  <c r="N1608" i="1" s="1"/>
  <c r="N1609" i="1" a="1"/>
  <c r="N1609" i="1" s="1"/>
  <c r="N1610" i="1" a="1"/>
  <c r="N1610" i="1" s="1"/>
  <c r="N1611" i="1" a="1"/>
  <c r="N1611" i="1" s="1"/>
  <c r="N1612" i="1" a="1"/>
  <c r="N1612" i="1" s="1"/>
  <c r="N1613" i="1" a="1"/>
  <c r="N1613" i="1" s="1"/>
  <c r="N1614" i="1" a="1"/>
  <c r="N1614" i="1" s="1"/>
  <c r="N1615" i="1" a="1"/>
  <c r="N1615" i="1" s="1"/>
  <c r="N1616" i="1" a="1"/>
  <c r="N1616" i="1" s="1"/>
  <c r="N1617" i="1" a="1"/>
  <c r="N1617" i="1" s="1"/>
  <c r="N1618" i="1" a="1"/>
  <c r="N1618" i="1" s="1"/>
  <c r="N1619" i="1" a="1"/>
  <c r="N1619" i="1" s="1"/>
  <c r="N1620" i="1" a="1"/>
  <c r="N1620" i="1" s="1"/>
  <c r="N1621" i="1" a="1"/>
  <c r="N1621" i="1" s="1"/>
  <c r="N1622" i="1" a="1"/>
  <c r="N1622" i="1" s="1"/>
  <c r="N1623" i="1" a="1"/>
  <c r="N1623" i="1" s="1"/>
  <c r="N1624" i="1" a="1"/>
  <c r="N1624" i="1" s="1"/>
  <c r="N1625" i="1" a="1"/>
  <c r="N1625" i="1" s="1"/>
  <c r="N1626" i="1" a="1"/>
  <c r="N1626" i="1" s="1"/>
  <c r="N1627" i="1" a="1"/>
  <c r="N1627" i="1" s="1"/>
  <c r="N1628" i="1" a="1"/>
  <c r="N1628" i="1" s="1"/>
  <c r="N1629" i="1" a="1"/>
  <c r="N1629" i="1" s="1"/>
  <c r="N1630" i="1" a="1"/>
  <c r="N1630" i="1" s="1"/>
  <c r="N1631" i="1" a="1"/>
  <c r="N1631" i="1" s="1"/>
  <c r="N1632" i="1" a="1"/>
  <c r="N1632" i="1" s="1"/>
  <c r="N1633" i="1" a="1"/>
  <c r="N1633" i="1" s="1"/>
  <c r="N1634" i="1" a="1"/>
  <c r="N1634" i="1" s="1"/>
  <c r="N1635" i="1" a="1"/>
  <c r="N1635" i="1" s="1"/>
  <c r="N1636" i="1" a="1"/>
  <c r="N1636" i="1" s="1"/>
  <c r="N1637" i="1" a="1"/>
  <c r="N1637" i="1" s="1"/>
  <c r="N1638" i="1" a="1"/>
  <c r="N1638" i="1" s="1"/>
  <c r="N1639" i="1" a="1"/>
  <c r="N1639" i="1" s="1"/>
  <c r="N1640" i="1" a="1"/>
  <c r="N1640" i="1" s="1"/>
  <c r="N1641" i="1" a="1"/>
  <c r="N1641" i="1" s="1"/>
  <c r="N1642" i="1" a="1"/>
  <c r="N1642" i="1" s="1"/>
  <c r="N1643" i="1" a="1"/>
  <c r="N1643" i="1" s="1"/>
  <c r="N1644" i="1" a="1"/>
  <c r="N1644" i="1" s="1"/>
  <c r="N1645" i="1" a="1"/>
  <c r="N1645" i="1" s="1"/>
  <c r="N1646" i="1" a="1"/>
  <c r="N1646" i="1" s="1"/>
  <c r="N1647" i="1" a="1"/>
  <c r="N1647" i="1" s="1"/>
  <c r="N1648" i="1" a="1"/>
  <c r="N1648" i="1" s="1"/>
  <c r="N1649" i="1" a="1"/>
  <c r="N1649" i="1" s="1"/>
  <c r="N1650" i="1" a="1"/>
  <c r="N1650" i="1" s="1"/>
  <c r="N1651" i="1" a="1"/>
  <c r="N1651" i="1" s="1"/>
  <c r="N1652" i="1" a="1"/>
  <c r="N1652" i="1" s="1"/>
  <c r="N1653" i="1" a="1"/>
  <c r="N1653" i="1" s="1"/>
  <c r="N1654" i="1" a="1"/>
  <c r="N1654" i="1" s="1"/>
  <c r="N1655" i="1" a="1"/>
  <c r="N1655" i="1" s="1"/>
  <c r="N1656" i="1" a="1"/>
  <c r="N1656" i="1" s="1"/>
  <c r="N1657" i="1" a="1"/>
  <c r="N1657" i="1" s="1"/>
  <c r="N1658" i="1" a="1"/>
  <c r="N1658" i="1" s="1"/>
  <c r="N1659" i="1" a="1"/>
  <c r="N1659" i="1" s="1"/>
  <c r="N1660" i="1" a="1"/>
  <c r="N1660" i="1" s="1"/>
  <c r="N1661" i="1" a="1"/>
  <c r="N1661" i="1" s="1"/>
  <c r="N1662" i="1" a="1"/>
  <c r="N1662" i="1" s="1"/>
  <c r="N1663" i="1" a="1"/>
  <c r="N1663" i="1" s="1"/>
  <c r="N1664" i="1" a="1"/>
  <c r="N1664" i="1" s="1"/>
  <c r="N1665" i="1" a="1"/>
  <c r="N1665" i="1" s="1"/>
  <c r="N1666" i="1" a="1"/>
  <c r="N1666" i="1" s="1"/>
  <c r="N1667" i="1" a="1"/>
  <c r="N1667" i="1" s="1"/>
  <c r="N1668" i="1" a="1"/>
  <c r="N1668" i="1" s="1"/>
  <c r="N1669" i="1" a="1"/>
  <c r="N1669" i="1" s="1"/>
  <c r="N1670" i="1" a="1"/>
  <c r="N1670" i="1" s="1"/>
  <c r="N1671" i="1" a="1"/>
  <c r="N1671" i="1" s="1"/>
  <c r="N1672" i="1" a="1"/>
  <c r="N1672" i="1" s="1"/>
  <c r="N1673" i="1" a="1"/>
  <c r="N1673" i="1" s="1"/>
  <c r="N1674" i="1" a="1"/>
  <c r="N1674" i="1" s="1"/>
  <c r="N1675" i="1" a="1"/>
  <c r="N1675" i="1" s="1"/>
  <c r="N1676" i="1" a="1"/>
  <c r="N1676" i="1" s="1"/>
  <c r="N1677" i="1" a="1"/>
  <c r="N1677" i="1" s="1"/>
  <c r="N1678" i="1" a="1"/>
  <c r="N1678" i="1" s="1"/>
  <c r="N1679" i="1" a="1"/>
  <c r="N1679" i="1" s="1"/>
  <c r="N1680" i="1" a="1"/>
  <c r="N1680" i="1" s="1"/>
  <c r="N1681" i="1" a="1"/>
  <c r="N1681" i="1" s="1"/>
  <c r="N1682" i="1" a="1"/>
  <c r="N1682" i="1" s="1"/>
  <c r="N1683" i="1" a="1"/>
  <c r="N1683" i="1" s="1"/>
  <c r="N1684" i="1" a="1"/>
  <c r="N1684" i="1" s="1"/>
  <c r="N1685" i="1" a="1"/>
  <c r="N1685" i="1" s="1"/>
  <c r="N1686" i="1" a="1"/>
  <c r="N1686" i="1" s="1"/>
  <c r="N1687" i="1" a="1"/>
  <c r="N1687" i="1" s="1"/>
  <c r="N1688" i="1" a="1"/>
  <c r="N1688" i="1" s="1"/>
  <c r="N1689" i="1" a="1"/>
  <c r="N1689" i="1" s="1"/>
  <c r="N1690" i="1" a="1"/>
  <c r="N1690" i="1" s="1"/>
  <c r="N1691" i="1" a="1"/>
  <c r="N1691" i="1" s="1"/>
  <c r="N1692" i="1" a="1"/>
  <c r="N1692" i="1" s="1"/>
  <c r="N1693" i="1" a="1"/>
  <c r="N1693" i="1" s="1"/>
  <c r="N1694" i="1" a="1"/>
  <c r="N1694" i="1" s="1"/>
  <c r="N1695" i="1" a="1"/>
  <c r="N1695" i="1" s="1"/>
  <c r="N1696" i="1" a="1"/>
  <c r="N1696" i="1" s="1"/>
  <c r="N1697" i="1" a="1"/>
  <c r="N1697" i="1" s="1"/>
  <c r="N1698" i="1" a="1"/>
  <c r="N1698" i="1" s="1"/>
  <c r="N1699" i="1" a="1"/>
  <c r="N1699" i="1" s="1"/>
  <c r="N1700" i="1" a="1"/>
  <c r="N1700" i="1" s="1"/>
  <c r="N1701" i="1" a="1"/>
  <c r="N1701" i="1" s="1"/>
  <c r="N1702" i="1" a="1"/>
  <c r="N1702" i="1" s="1"/>
  <c r="N1703" i="1" a="1"/>
  <c r="N1703" i="1" s="1"/>
  <c r="N1704" i="1" a="1"/>
  <c r="N1704" i="1" s="1"/>
  <c r="N1705" i="1" a="1"/>
  <c r="N1705" i="1" s="1"/>
  <c r="N1706" i="1" a="1"/>
  <c r="N1706" i="1" s="1"/>
  <c r="N1707" i="1" a="1"/>
  <c r="N1707" i="1" s="1"/>
  <c r="N1708" i="1" a="1"/>
  <c r="N1708" i="1" s="1"/>
  <c r="N1709" i="1" a="1"/>
  <c r="N1709" i="1" s="1"/>
  <c r="N1710" i="1" a="1"/>
  <c r="N1710" i="1" s="1"/>
  <c r="N1711" i="1" a="1"/>
  <c r="N1711" i="1" s="1"/>
  <c r="N1712" i="1" a="1"/>
  <c r="N1712" i="1" s="1"/>
  <c r="N1713" i="1" a="1"/>
  <c r="N1713" i="1" s="1"/>
  <c r="N1714" i="1" a="1"/>
  <c r="N1714" i="1" s="1"/>
  <c r="N1715" i="1" a="1"/>
  <c r="N1715" i="1" s="1"/>
  <c r="N1716" i="1" a="1"/>
  <c r="N1716" i="1" s="1"/>
  <c r="N1717" i="1" a="1"/>
  <c r="N1717" i="1" s="1"/>
  <c r="N1718" i="1" a="1"/>
  <c r="N1718" i="1" s="1"/>
  <c r="N1719" i="1" a="1"/>
  <c r="N1719" i="1" s="1"/>
  <c r="N1720" i="1" a="1"/>
  <c r="N1720" i="1" s="1"/>
  <c r="N1721" i="1" a="1"/>
  <c r="N1721" i="1" s="1"/>
  <c r="N1722" i="1" a="1"/>
  <c r="N1722" i="1" s="1"/>
  <c r="N1723" i="1" a="1"/>
  <c r="N1723" i="1" s="1"/>
  <c r="N1724" i="1" a="1"/>
  <c r="N1724" i="1" s="1"/>
  <c r="N1725" i="1" a="1"/>
  <c r="N1725" i="1" s="1"/>
  <c r="N1726" i="1" a="1"/>
  <c r="N1726" i="1" s="1"/>
  <c r="N1727" i="1" a="1"/>
  <c r="N1727" i="1" s="1"/>
  <c r="N1728" i="1" a="1"/>
  <c r="N1728" i="1" s="1"/>
  <c r="N1729" i="1" a="1"/>
  <c r="N1729" i="1" s="1"/>
  <c r="N1730" i="1" a="1"/>
  <c r="N1730" i="1" s="1"/>
  <c r="N1731" i="1" a="1"/>
  <c r="N1731" i="1" s="1"/>
  <c r="N1732" i="1" a="1"/>
  <c r="N1732" i="1" s="1"/>
  <c r="N1733" i="1" a="1"/>
  <c r="N1733" i="1" s="1"/>
  <c r="N1734" i="1" a="1"/>
  <c r="N1734" i="1" s="1"/>
  <c r="N1735" i="1" a="1"/>
  <c r="N1735" i="1" s="1"/>
  <c r="N1736" i="1" a="1"/>
  <c r="N1736" i="1" s="1"/>
  <c r="N1737" i="1" a="1"/>
  <c r="N1737" i="1" s="1"/>
  <c r="N1738" i="1" a="1"/>
  <c r="N1738" i="1" s="1"/>
  <c r="N1739" i="1" a="1"/>
  <c r="N1739" i="1" s="1"/>
  <c r="N1740" i="1" a="1"/>
  <c r="N1740" i="1" s="1"/>
  <c r="N1741" i="1" a="1"/>
  <c r="N1741" i="1" s="1"/>
  <c r="N1742" i="1" a="1"/>
  <c r="N1742" i="1" s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N1419" i="1" a="1"/>
  <c r="N1419" i="1" s="1"/>
  <c r="N1420" i="1" a="1"/>
  <c r="N1420" i="1" s="1"/>
  <c r="N1421" i="1" a="1"/>
  <c r="N1421" i="1" s="1"/>
  <c r="N1422" i="1" a="1"/>
  <c r="N1422" i="1" s="1"/>
  <c r="N1423" i="1" a="1"/>
  <c r="N1423" i="1" s="1"/>
  <c r="N1424" i="1" a="1"/>
  <c r="N1424" i="1" s="1"/>
  <c r="N1425" i="1" a="1"/>
  <c r="N1425" i="1" s="1"/>
  <c r="N1426" i="1" a="1"/>
  <c r="N1426" i="1" s="1"/>
  <c r="N1427" i="1" a="1"/>
  <c r="N1427" i="1" s="1"/>
  <c r="N1428" i="1" a="1"/>
  <c r="N1428" i="1" s="1"/>
  <c r="N1429" i="1" a="1"/>
  <c r="N1429" i="1" s="1"/>
  <c r="N1430" i="1" a="1"/>
  <c r="N1430" i="1" s="1"/>
  <c r="N1431" i="1" a="1"/>
  <c r="N1431" i="1" s="1"/>
  <c r="N1432" i="1" a="1"/>
  <c r="N1432" i="1" s="1"/>
  <c r="N1433" i="1" a="1"/>
  <c r="N1433" i="1" s="1"/>
  <c r="N1434" i="1" a="1"/>
  <c r="N1434" i="1" s="1"/>
  <c r="N1435" i="1" a="1"/>
  <c r="N1435" i="1" s="1"/>
  <c r="N1436" i="1" a="1"/>
  <c r="N1436" i="1" s="1"/>
  <c r="N1437" i="1" a="1"/>
  <c r="N1437" i="1" s="1"/>
  <c r="N1438" i="1" a="1"/>
  <c r="N1438" i="1" s="1"/>
  <c r="N1439" i="1" a="1"/>
  <c r="N1439" i="1" s="1"/>
  <c r="N1440" i="1" a="1"/>
  <c r="N1440" i="1" s="1"/>
  <c r="N1441" i="1" a="1"/>
  <c r="N1441" i="1" s="1"/>
  <c r="N1442" i="1" a="1"/>
  <c r="N1442" i="1" s="1"/>
  <c r="M3" i="2"/>
  <c r="D9" i="4"/>
  <c r="F9" i="4"/>
  <c r="H9" i="4"/>
  <c r="J9" i="4"/>
  <c r="L9" i="4"/>
  <c r="K17" i="4"/>
  <c r="L17" i="4" s="1"/>
  <c r="K36" i="4"/>
  <c r="K22" i="4"/>
  <c r="N22" i="4" s="1"/>
  <c r="O32" i="5"/>
  <c r="P32" i="5" s="1"/>
  <c r="O33" i="5"/>
  <c r="P33" i="5" s="1"/>
  <c r="O34" i="5"/>
  <c r="P34" i="5" s="1"/>
  <c r="O35" i="5"/>
  <c r="P35" i="5" s="1"/>
  <c r="O36" i="5"/>
  <c r="P36" i="5" s="1"/>
  <c r="O37" i="5"/>
  <c r="P37" i="5" s="1"/>
  <c r="O31" i="5"/>
  <c r="P31" i="5" s="1"/>
  <c r="O30" i="5"/>
  <c r="P30" i="5" s="1"/>
  <c r="O29" i="5"/>
  <c r="P29" i="5" s="1"/>
  <c r="N3" i="5"/>
  <c r="O3" i="5"/>
  <c r="N4" i="5"/>
  <c r="O4" i="5"/>
  <c r="N5" i="5"/>
  <c r="O5" i="5"/>
  <c r="N6" i="5"/>
  <c r="O6" i="5"/>
  <c r="N7" i="5"/>
  <c r="O7" i="5"/>
  <c r="N8" i="5"/>
  <c r="O8" i="5"/>
  <c r="N9" i="5"/>
  <c r="P9" i="5" s="1"/>
  <c r="O9" i="5"/>
  <c r="N10" i="5"/>
  <c r="O10" i="5"/>
  <c r="N11" i="5"/>
  <c r="O11" i="5"/>
  <c r="N38" i="5"/>
  <c r="F393" i="7" s="1"/>
  <c r="G394" i="7" s="1"/>
  <c r="P16" i="5"/>
  <c r="P17" i="5"/>
  <c r="P18" i="5"/>
  <c r="P19" i="5"/>
  <c r="P20" i="5"/>
  <c r="P21" i="5"/>
  <c r="P22" i="5"/>
  <c r="P23" i="5"/>
  <c r="P24" i="5"/>
  <c r="N25" i="5"/>
  <c r="O3" i="6"/>
  <c r="P3" i="6"/>
  <c r="N6" i="6"/>
  <c r="G11" i="17" s="1"/>
  <c r="G12" i="17" s="1"/>
  <c r="O7" i="6"/>
  <c r="P7" i="6"/>
  <c r="O8" i="6"/>
  <c r="P8" i="6"/>
  <c r="O9" i="6"/>
  <c r="P9" i="6"/>
  <c r="O12" i="6"/>
  <c r="P12" i="6"/>
  <c r="O22" i="6"/>
  <c r="P22" i="6"/>
  <c r="O24" i="6"/>
  <c r="P24" i="6"/>
  <c r="O26" i="6"/>
  <c r="P26" i="6"/>
  <c r="O27" i="6"/>
  <c r="P27" i="6"/>
  <c r="O29" i="6"/>
  <c r="P29" i="6"/>
  <c r="O30" i="6"/>
  <c r="P30" i="6"/>
  <c r="N32" i="6"/>
  <c r="G59" i="17" s="1"/>
  <c r="G60" i="17" s="1"/>
  <c r="O33" i="6"/>
  <c r="P33" i="6"/>
  <c r="O34" i="6"/>
  <c r="P34" i="6"/>
  <c r="O35" i="6"/>
  <c r="P35" i="6"/>
  <c r="O36" i="6"/>
  <c r="P36" i="6"/>
  <c r="L59" i="4"/>
  <c r="K56" i="4"/>
  <c r="K47" i="4"/>
  <c r="K51" i="4"/>
  <c r="K38" i="4"/>
  <c r="K29" i="4"/>
  <c r="L33" i="4"/>
  <c r="K24" i="4"/>
  <c r="N24" i="4" s="1"/>
  <c r="L25" i="4"/>
  <c r="L5" i="4"/>
  <c r="L6" i="4"/>
  <c r="L8" i="4"/>
  <c r="L10" i="4"/>
  <c r="L12" i="4"/>
  <c r="K13" i="4"/>
  <c r="G104" i="17" s="1"/>
  <c r="L14" i="4"/>
  <c r="L15" i="4"/>
  <c r="N1418" i="1" a="1"/>
  <c r="N1418" i="1" s="1"/>
  <c r="N1417" i="1" a="1"/>
  <c r="N1417" i="1" s="1"/>
  <c r="N1416" i="1" a="1"/>
  <c r="N1416" i="1" s="1"/>
  <c r="N1415" i="1" a="1"/>
  <c r="N1415" i="1" s="1"/>
  <c r="N1414" i="1" a="1"/>
  <c r="N1414" i="1" s="1"/>
  <c r="N1413" i="1" a="1"/>
  <c r="N1413" i="1" s="1"/>
  <c r="N1412" i="1" a="1"/>
  <c r="N1412" i="1" s="1"/>
  <c r="N1411" i="1" a="1"/>
  <c r="N1411" i="1" s="1"/>
  <c r="N1410" i="1" a="1"/>
  <c r="N1410" i="1" s="1"/>
  <c r="N1409" i="1" a="1"/>
  <c r="N1409" i="1" s="1"/>
  <c r="N1408" i="1" a="1"/>
  <c r="N1408" i="1" s="1"/>
  <c r="N1407" i="1" a="1"/>
  <c r="N1407" i="1" s="1"/>
  <c r="N1406" i="1" a="1"/>
  <c r="N1406" i="1" s="1"/>
  <c r="N1405" i="1" a="1"/>
  <c r="N1405" i="1" s="1"/>
  <c r="N1404" i="1" a="1"/>
  <c r="N1404" i="1" s="1"/>
  <c r="N1403" i="1" a="1"/>
  <c r="N1403" i="1" s="1"/>
  <c r="N1402" i="1" a="1"/>
  <c r="N1402" i="1" s="1"/>
  <c r="N1401" i="1" a="1"/>
  <c r="N1401" i="1" s="1"/>
  <c r="N1400" i="1" a="1"/>
  <c r="N1400" i="1" s="1"/>
  <c r="N1399" i="1" a="1"/>
  <c r="N1399" i="1" s="1"/>
  <c r="N1398" i="1" a="1"/>
  <c r="N1398" i="1" s="1"/>
  <c r="N1397" i="1" a="1"/>
  <c r="N1397" i="1" s="1"/>
  <c r="N1396" i="1" a="1"/>
  <c r="N1396" i="1" s="1"/>
  <c r="N1395" i="1" a="1"/>
  <c r="N1395" i="1" s="1"/>
  <c r="N1394" i="1" a="1"/>
  <c r="N1394" i="1" s="1"/>
  <c r="N1393" i="1" a="1"/>
  <c r="N1393" i="1" s="1"/>
  <c r="N1392" i="1" a="1"/>
  <c r="N1392" i="1" s="1"/>
  <c r="N1391" i="1" a="1"/>
  <c r="N1391" i="1" s="1"/>
  <c r="E24" i="11"/>
  <c r="E22" i="11"/>
  <c r="B22" i="11"/>
  <c r="K26" i="11"/>
  <c r="K23" i="11"/>
  <c r="K21" i="11"/>
  <c r="K17" i="11"/>
  <c r="K14" i="11"/>
  <c r="K10" i="11"/>
  <c r="K7" i="11"/>
  <c r="K3" i="11"/>
  <c r="J28" i="11"/>
  <c r="B11" i="11"/>
  <c r="E11" i="11"/>
  <c r="M164" i="2"/>
  <c r="R164" i="2" s="1"/>
  <c r="M162" i="2"/>
  <c r="R162" i="2" s="1"/>
  <c r="M156" i="2"/>
  <c r="R156" i="2" s="1"/>
  <c r="M154" i="2"/>
  <c r="R154" i="2" s="1"/>
  <c r="M153" i="2"/>
  <c r="R153" i="2" s="1"/>
  <c r="M152" i="2"/>
  <c r="R152" i="2" s="1"/>
  <c r="M151" i="2"/>
  <c r="R151" i="2" s="1"/>
  <c r="M149" i="2"/>
  <c r="R149" i="2" s="1"/>
  <c r="M148" i="2"/>
  <c r="R148" i="2" s="1"/>
  <c r="M135" i="2"/>
  <c r="R135" i="2" s="1"/>
  <c r="M134" i="2"/>
  <c r="M131" i="2"/>
  <c r="R131" i="2" s="1"/>
  <c r="M130" i="2"/>
  <c r="R130" i="2" s="1"/>
  <c r="M128" i="2"/>
  <c r="R128" i="2" s="1"/>
  <c r="M122" i="2"/>
  <c r="M120" i="2"/>
  <c r="R120" i="2" s="1"/>
  <c r="M119" i="2"/>
  <c r="R119" i="2" s="1"/>
  <c r="M115" i="2"/>
  <c r="R115" i="2" s="1"/>
  <c r="M100" i="2"/>
  <c r="R100" i="2" s="1"/>
  <c r="M98" i="2"/>
  <c r="R98" i="2" s="1"/>
  <c r="M96" i="2"/>
  <c r="R96" i="2" s="1"/>
  <c r="M73" i="2"/>
  <c r="M68" i="2"/>
  <c r="R68" i="2" s="1"/>
  <c r="M66" i="2"/>
  <c r="R66" i="2" s="1"/>
  <c r="M52" i="2"/>
  <c r="R52" i="2" s="1"/>
  <c r="M51" i="2"/>
  <c r="R51" i="2" s="1"/>
  <c r="M8" i="2"/>
  <c r="O4" i="2"/>
  <c r="N5" i="1" a="1"/>
  <c r="N5" i="1" s="1"/>
  <c r="N4" i="1" a="1"/>
  <c r="N4" i="1" s="1"/>
  <c r="N27" i="1" a="1"/>
  <c r="N27" i="1" s="1"/>
  <c r="N26" i="1" a="1"/>
  <c r="N26" i="1" s="1"/>
  <c r="K84" i="1"/>
  <c r="K9" i="1"/>
  <c r="I84" i="1"/>
  <c r="I9" i="1"/>
  <c r="K8" i="1"/>
  <c r="I8" i="1"/>
  <c r="I7" i="1"/>
  <c r="K7" i="1"/>
  <c r="K10" i="1"/>
  <c r="I10" i="1"/>
  <c r="K12" i="1"/>
  <c r="I12" i="1"/>
  <c r="I16" i="1"/>
  <c r="K16" i="1"/>
  <c r="I1144" i="1"/>
  <c r="K1144" i="1"/>
  <c r="N1087" i="1" a="1"/>
  <c r="N1087" i="1" s="1"/>
  <c r="E607" i="7"/>
  <c r="C187" i="7"/>
  <c r="D187" i="7"/>
  <c r="E187" i="7"/>
  <c r="B187" i="7"/>
  <c r="C167" i="7"/>
  <c r="D167" i="7"/>
  <c r="E167" i="7"/>
  <c r="B167" i="7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37" i="1"/>
  <c r="K1436" i="1"/>
  <c r="K1440" i="1"/>
  <c r="K1439" i="1"/>
  <c r="K1438" i="1"/>
  <c r="K1269" i="1"/>
  <c r="K1234" i="1"/>
  <c r="K1235" i="1"/>
  <c r="K1236" i="1"/>
  <c r="K1237" i="1"/>
  <c r="K1238" i="1"/>
  <c r="K1239" i="1"/>
  <c r="K1240" i="1"/>
  <c r="K1241" i="1"/>
  <c r="K1193" i="1"/>
  <c r="K1194" i="1"/>
  <c r="K1195" i="1"/>
  <c r="K1196" i="1"/>
  <c r="K1197" i="1"/>
  <c r="K1198" i="1"/>
  <c r="K1199" i="1"/>
  <c r="K1224" i="1"/>
  <c r="K1225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I1438" i="1"/>
  <c r="I1439" i="1"/>
  <c r="I1440" i="1"/>
  <c r="I1436" i="1"/>
  <c r="I1437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K1295" i="1"/>
  <c r="I1295" i="1"/>
  <c r="I1269" i="1"/>
  <c r="I1234" i="1"/>
  <c r="I1235" i="1"/>
  <c r="I1236" i="1"/>
  <c r="I1237" i="1"/>
  <c r="I1238" i="1"/>
  <c r="I1239" i="1"/>
  <c r="I1240" i="1"/>
  <c r="I1241" i="1"/>
  <c r="I1223" i="1"/>
  <c r="I1193" i="1"/>
  <c r="I1194" i="1"/>
  <c r="I1195" i="1"/>
  <c r="I1196" i="1"/>
  <c r="I1197" i="1"/>
  <c r="I1198" i="1"/>
  <c r="I1199" i="1"/>
  <c r="I1224" i="1"/>
  <c r="I1225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E606" i="7"/>
  <c r="E483" i="7"/>
  <c r="E458" i="7"/>
  <c r="E419" i="7"/>
  <c r="E417" i="7"/>
  <c r="E410" i="7"/>
  <c r="E397" i="7"/>
  <c r="E392" i="7"/>
  <c r="E391" i="7"/>
  <c r="E390" i="7"/>
  <c r="E389" i="7"/>
  <c r="E388" i="7"/>
  <c r="E387" i="7"/>
  <c r="E386" i="7"/>
  <c r="E385" i="7"/>
  <c r="E384" i="7"/>
  <c r="E363" i="7"/>
  <c r="E362" i="7"/>
  <c r="E361" i="7"/>
  <c r="E360" i="7"/>
  <c r="E359" i="7"/>
  <c r="E358" i="7"/>
  <c r="E357" i="7"/>
  <c r="E356" i="7"/>
  <c r="E355" i="7"/>
  <c r="E334" i="7"/>
  <c r="E332" i="7"/>
  <c r="E331" i="7"/>
  <c r="E325" i="7"/>
  <c r="E323" i="7"/>
  <c r="E322" i="7"/>
  <c r="E321" i="7"/>
  <c r="E163" i="7"/>
  <c r="E162" i="7"/>
  <c r="E160" i="7"/>
  <c r="E159" i="7"/>
  <c r="E157" i="7"/>
  <c r="E86" i="7"/>
  <c r="E45" i="7"/>
  <c r="E20" i="7"/>
  <c r="E2" i="7"/>
  <c r="E299" i="7" s="1"/>
  <c r="E589" i="7"/>
  <c r="E508" i="7"/>
  <c r="E476" i="7"/>
  <c r="E457" i="7"/>
  <c r="E569" i="7"/>
  <c r="E409" i="7"/>
  <c r="E396" i="7"/>
  <c r="E383" i="7"/>
  <c r="E354" i="7"/>
  <c r="E335" i="7"/>
  <c r="E319" i="7"/>
  <c r="E243" i="7"/>
  <c r="E121" i="7"/>
  <c r="E85" i="7"/>
  <c r="E49" i="7"/>
  <c r="E23" i="7"/>
  <c r="E11" i="4"/>
  <c r="D101" i="17" s="1"/>
  <c r="D11" i="4"/>
  <c r="J3" i="2"/>
  <c r="I22" i="4"/>
  <c r="I36" i="4"/>
  <c r="M36" i="6"/>
  <c r="L36" i="6"/>
  <c r="M35" i="6"/>
  <c r="L35" i="6"/>
  <c r="M34" i="6"/>
  <c r="L34" i="6"/>
  <c r="M33" i="6"/>
  <c r="L33" i="6"/>
  <c r="K32" i="6"/>
  <c r="F59" i="17" s="1"/>
  <c r="F60" i="17" s="1"/>
  <c r="M30" i="6"/>
  <c r="L30" i="6"/>
  <c r="M29" i="6"/>
  <c r="L29" i="6"/>
  <c r="M27" i="6"/>
  <c r="L27" i="6"/>
  <c r="M26" i="6"/>
  <c r="L26" i="6"/>
  <c r="M24" i="6"/>
  <c r="L24" i="6"/>
  <c r="M22" i="6"/>
  <c r="L22" i="6"/>
  <c r="M12" i="6"/>
  <c r="L12" i="6"/>
  <c r="M9" i="6"/>
  <c r="L9" i="6"/>
  <c r="M8" i="6"/>
  <c r="L8" i="6"/>
  <c r="M7" i="6"/>
  <c r="L7" i="6"/>
  <c r="K6" i="6"/>
  <c r="M4" i="6"/>
  <c r="L4" i="6"/>
  <c r="M3" i="6"/>
  <c r="L3" i="6"/>
  <c r="J59" i="4"/>
  <c r="I56" i="4"/>
  <c r="I52" i="4"/>
  <c r="I51" i="4"/>
  <c r="I47" i="4"/>
  <c r="I38" i="4"/>
  <c r="J33" i="4"/>
  <c r="I29" i="4"/>
  <c r="J25" i="4"/>
  <c r="I24" i="4"/>
  <c r="J15" i="4"/>
  <c r="J14" i="4"/>
  <c r="I13" i="4"/>
  <c r="F104" i="17" s="1"/>
  <c r="J10" i="4"/>
  <c r="J8" i="4"/>
  <c r="J6" i="4"/>
  <c r="J5" i="4"/>
  <c r="J4" i="4"/>
  <c r="I3" i="4"/>
  <c r="J164" i="2"/>
  <c r="J162" i="2"/>
  <c r="J156" i="2"/>
  <c r="J154" i="2"/>
  <c r="J153" i="2"/>
  <c r="J152" i="2"/>
  <c r="J151" i="2"/>
  <c r="J149" i="2"/>
  <c r="J148" i="2"/>
  <c r="J144" i="2"/>
  <c r="L143" i="2"/>
  <c r="J142" i="2"/>
  <c r="L142" i="2" s="1"/>
  <c r="J141" i="2"/>
  <c r="J140" i="2"/>
  <c r="J135" i="2"/>
  <c r="J134" i="2"/>
  <c r="J131" i="2"/>
  <c r="J130" i="2"/>
  <c r="J128" i="2"/>
  <c r="J125" i="2"/>
  <c r="J122" i="2"/>
  <c r="J121" i="2" s="1"/>
  <c r="J120" i="2"/>
  <c r="J119" i="2"/>
  <c r="J115" i="2"/>
  <c r="J100" i="2"/>
  <c r="J98" i="2"/>
  <c r="J96" i="2"/>
  <c r="J73" i="2"/>
  <c r="J68" i="2"/>
  <c r="J66" i="2"/>
  <c r="J52" i="2"/>
  <c r="J51" i="2"/>
  <c r="J8" i="2"/>
  <c r="L4" i="2"/>
  <c r="K3" i="5"/>
  <c r="K4" i="5"/>
  <c r="K5" i="5"/>
  <c r="K6" i="5"/>
  <c r="K7" i="5"/>
  <c r="K8" i="5"/>
  <c r="K9" i="5"/>
  <c r="K10" i="5"/>
  <c r="K11" i="5"/>
  <c r="L11" i="5"/>
  <c r="L10" i="5"/>
  <c r="L9" i="5"/>
  <c r="L8" i="5"/>
  <c r="L7" i="5"/>
  <c r="L6" i="5"/>
  <c r="L5" i="5"/>
  <c r="L4" i="5"/>
  <c r="L3" i="5"/>
  <c r="K38" i="5"/>
  <c r="E393" i="7" s="1"/>
  <c r="M37" i="5"/>
  <c r="M36" i="5"/>
  <c r="M35" i="5"/>
  <c r="M34" i="5"/>
  <c r="M33" i="5"/>
  <c r="M32" i="5"/>
  <c r="M31" i="5"/>
  <c r="M30" i="5"/>
  <c r="M29" i="5"/>
  <c r="M22" i="5"/>
  <c r="M21" i="5"/>
  <c r="M20" i="5"/>
  <c r="M18" i="5"/>
  <c r="N1320" i="1" a="1"/>
  <c r="N1320" i="1" s="1"/>
  <c r="N1321" i="1" a="1"/>
  <c r="N1321" i="1" s="1"/>
  <c r="N1322" i="1" a="1"/>
  <c r="N1322" i="1" s="1"/>
  <c r="N1323" i="1" a="1"/>
  <c r="N1323" i="1" s="1"/>
  <c r="N1324" i="1" a="1"/>
  <c r="N1324" i="1" s="1"/>
  <c r="N1325" i="1" a="1"/>
  <c r="N1325" i="1" s="1"/>
  <c r="N1326" i="1" a="1"/>
  <c r="N1326" i="1" s="1"/>
  <c r="N1327" i="1" a="1"/>
  <c r="N1327" i="1" s="1"/>
  <c r="N1328" i="1" a="1"/>
  <c r="N1328" i="1" s="1"/>
  <c r="N1329" i="1" a="1"/>
  <c r="N1329" i="1" s="1"/>
  <c r="N1330" i="1" a="1"/>
  <c r="N1330" i="1" s="1"/>
  <c r="N1331" i="1" a="1"/>
  <c r="N1331" i="1" s="1"/>
  <c r="N1332" i="1" a="1"/>
  <c r="N1332" i="1" s="1"/>
  <c r="N1333" i="1" a="1"/>
  <c r="N1333" i="1" s="1"/>
  <c r="N1334" i="1" a="1"/>
  <c r="N1334" i="1" s="1"/>
  <c r="N1335" i="1" a="1"/>
  <c r="N1335" i="1" s="1"/>
  <c r="N1336" i="1" a="1"/>
  <c r="N1336" i="1" s="1"/>
  <c r="N1337" i="1" a="1"/>
  <c r="N1337" i="1" s="1"/>
  <c r="N1338" i="1" a="1"/>
  <c r="N1338" i="1" s="1"/>
  <c r="N1339" i="1" a="1"/>
  <c r="N1339" i="1" s="1"/>
  <c r="N1340" i="1" a="1"/>
  <c r="N1340" i="1" s="1"/>
  <c r="N1341" i="1" a="1"/>
  <c r="N1341" i="1" s="1"/>
  <c r="N1342" i="1" a="1"/>
  <c r="N1342" i="1" s="1"/>
  <c r="N1343" i="1" a="1"/>
  <c r="N1343" i="1" s="1"/>
  <c r="N1344" i="1" a="1"/>
  <c r="N1344" i="1" s="1"/>
  <c r="N1345" i="1" a="1"/>
  <c r="N1345" i="1" s="1"/>
  <c r="N1346" i="1" a="1"/>
  <c r="N1346" i="1" s="1"/>
  <c r="N1347" i="1" a="1"/>
  <c r="N1347" i="1" s="1"/>
  <c r="N1348" i="1" a="1"/>
  <c r="N1348" i="1" s="1"/>
  <c r="N1349" i="1" a="1"/>
  <c r="N1349" i="1" s="1"/>
  <c r="N1350" i="1" a="1"/>
  <c r="N1350" i="1" s="1"/>
  <c r="N1351" i="1" a="1"/>
  <c r="N1351" i="1" s="1"/>
  <c r="N1352" i="1" a="1"/>
  <c r="N1352" i="1" s="1"/>
  <c r="N1353" i="1" a="1"/>
  <c r="N1353" i="1" s="1"/>
  <c r="N1354" i="1" a="1"/>
  <c r="N1354" i="1" s="1"/>
  <c r="N1355" i="1" a="1"/>
  <c r="N1355" i="1" s="1"/>
  <c r="N1356" i="1" a="1"/>
  <c r="N1356" i="1" s="1"/>
  <c r="N1357" i="1" a="1"/>
  <c r="N1357" i="1" s="1"/>
  <c r="N1358" i="1" a="1"/>
  <c r="N1358" i="1" s="1"/>
  <c r="N1359" i="1" a="1"/>
  <c r="N1359" i="1" s="1"/>
  <c r="N1360" i="1" a="1"/>
  <c r="N1360" i="1" s="1"/>
  <c r="N1361" i="1" a="1"/>
  <c r="N1361" i="1" s="1"/>
  <c r="N1362" i="1" a="1"/>
  <c r="N1362" i="1" s="1"/>
  <c r="N1363" i="1" a="1"/>
  <c r="N1363" i="1" s="1"/>
  <c r="N1364" i="1" a="1"/>
  <c r="N1364" i="1" s="1"/>
  <c r="N1365" i="1" a="1"/>
  <c r="N1365" i="1" s="1"/>
  <c r="N1366" i="1" a="1"/>
  <c r="N1366" i="1" s="1"/>
  <c r="N1367" i="1" a="1"/>
  <c r="N1367" i="1" s="1"/>
  <c r="N1368" i="1" a="1"/>
  <c r="N1368" i="1" s="1"/>
  <c r="N1369" i="1" a="1"/>
  <c r="N1369" i="1" s="1"/>
  <c r="N1370" i="1" a="1"/>
  <c r="N1370" i="1" s="1"/>
  <c r="N1371" i="1" a="1"/>
  <c r="N1371" i="1" s="1"/>
  <c r="N1372" i="1" a="1"/>
  <c r="N1372" i="1" s="1"/>
  <c r="N1373" i="1" a="1"/>
  <c r="N1373" i="1" s="1"/>
  <c r="N1374" i="1" a="1"/>
  <c r="N1374" i="1" s="1"/>
  <c r="N1375" i="1" a="1"/>
  <c r="N1375" i="1" s="1"/>
  <c r="N1376" i="1" a="1"/>
  <c r="N1376" i="1" s="1"/>
  <c r="N1377" i="1" a="1"/>
  <c r="N1377" i="1" s="1"/>
  <c r="N1378" i="1" a="1"/>
  <c r="N1378" i="1" s="1"/>
  <c r="N1379" i="1" a="1"/>
  <c r="N1379" i="1" s="1"/>
  <c r="N1380" i="1" a="1"/>
  <c r="N1380" i="1" s="1"/>
  <c r="N1381" i="1" a="1"/>
  <c r="N1381" i="1" s="1"/>
  <c r="N1382" i="1" a="1"/>
  <c r="N1382" i="1" s="1"/>
  <c r="N1383" i="1" a="1"/>
  <c r="N1383" i="1" s="1"/>
  <c r="N1384" i="1" a="1"/>
  <c r="N1384" i="1" s="1"/>
  <c r="N1385" i="1" a="1"/>
  <c r="N1385" i="1" s="1"/>
  <c r="N1386" i="1" a="1"/>
  <c r="N1386" i="1" s="1"/>
  <c r="N1387" i="1" a="1"/>
  <c r="N1387" i="1" s="1"/>
  <c r="N1388" i="1" a="1"/>
  <c r="N1388" i="1" s="1"/>
  <c r="N1389" i="1" a="1"/>
  <c r="N1389" i="1" s="1"/>
  <c r="N1390" i="1" a="1"/>
  <c r="N1390" i="1" s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402" i="1"/>
  <c r="K1398" i="1"/>
  <c r="K1399" i="1"/>
  <c r="K1403" i="1"/>
  <c r="K1400" i="1"/>
  <c r="K1401" i="1"/>
  <c r="K1404" i="1"/>
  <c r="K1405" i="1"/>
  <c r="K1406" i="1"/>
  <c r="K1407" i="1"/>
  <c r="K1408" i="1"/>
  <c r="K1417" i="1"/>
  <c r="K1418" i="1"/>
  <c r="K1409" i="1"/>
  <c r="K1419" i="1"/>
  <c r="K1420" i="1"/>
  <c r="K1410" i="1"/>
  <c r="K1411" i="1"/>
  <c r="K1412" i="1"/>
  <c r="K1421" i="1"/>
  <c r="K1413" i="1"/>
  <c r="K1414" i="1"/>
  <c r="K1415" i="1"/>
  <c r="K1416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16" i="1"/>
  <c r="I1415" i="1"/>
  <c r="I1414" i="1"/>
  <c r="I1413" i="1"/>
  <c r="I1421" i="1"/>
  <c r="I1412" i="1"/>
  <c r="I1411" i="1"/>
  <c r="I1410" i="1"/>
  <c r="I1420" i="1"/>
  <c r="I1419" i="1"/>
  <c r="I1409" i="1"/>
  <c r="I1418" i="1"/>
  <c r="I1417" i="1"/>
  <c r="I1408" i="1"/>
  <c r="I1407" i="1"/>
  <c r="I1406" i="1"/>
  <c r="I1405" i="1"/>
  <c r="I1404" i="1"/>
  <c r="I1401" i="1"/>
  <c r="I1400" i="1"/>
  <c r="I1403" i="1"/>
  <c r="I1399" i="1"/>
  <c r="I1398" i="1"/>
  <c r="I1402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B36" i="10"/>
  <c r="B16" i="10"/>
  <c r="B37" i="10"/>
  <c r="B38" i="10"/>
  <c r="B15" i="10"/>
  <c r="B39" i="10"/>
  <c r="B14" i="10"/>
  <c r="B13" i="10"/>
  <c r="N1192" i="1" a="1"/>
  <c r="N1192" i="1" s="1"/>
  <c r="N1193" i="1" a="1"/>
  <c r="N1193" i="1" s="1"/>
  <c r="N1194" i="1" a="1"/>
  <c r="N1194" i="1" s="1"/>
  <c r="N1195" i="1" a="1"/>
  <c r="N1195" i="1" s="1"/>
  <c r="N1196" i="1" a="1"/>
  <c r="N1196" i="1" s="1"/>
  <c r="N1197" i="1" a="1"/>
  <c r="N1197" i="1" s="1"/>
  <c r="N1198" i="1" a="1"/>
  <c r="N1198" i="1" s="1"/>
  <c r="N1199" i="1" a="1"/>
  <c r="N1199" i="1" s="1"/>
  <c r="N1200" i="1" a="1"/>
  <c r="N1200" i="1" s="1"/>
  <c r="N1201" i="1" a="1"/>
  <c r="N1201" i="1" s="1"/>
  <c r="N1202" i="1" a="1"/>
  <c r="N1202" i="1" s="1"/>
  <c r="N1203" i="1" a="1"/>
  <c r="N1203" i="1" s="1"/>
  <c r="N1204" i="1" a="1"/>
  <c r="N1204" i="1" s="1"/>
  <c r="N1205" i="1" a="1"/>
  <c r="N1205" i="1" s="1"/>
  <c r="N1206" i="1" a="1"/>
  <c r="N1206" i="1" s="1"/>
  <c r="N1207" i="1" a="1"/>
  <c r="N1207" i="1" s="1"/>
  <c r="N1208" i="1" a="1"/>
  <c r="N1208" i="1" s="1"/>
  <c r="N1209" i="1" a="1"/>
  <c r="N1209" i="1" s="1"/>
  <c r="N1210" i="1" a="1"/>
  <c r="N1210" i="1" s="1"/>
  <c r="N1211" i="1" a="1"/>
  <c r="N1211" i="1" s="1"/>
  <c r="N1212" i="1" a="1"/>
  <c r="N1212" i="1" s="1"/>
  <c r="N1213" i="1" a="1"/>
  <c r="N1213" i="1" s="1"/>
  <c r="N1214" i="1" a="1"/>
  <c r="N1214" i="1" s="1"/>
  <c r="N1215" i="1" a="1"/>
  <c r="N1215" i="1" s="1"/>
  <c r="N1216" i="1" a="1"/>
  <c r="N1216" i="1" s="1"/>
  <c r="N1217" i="1" a="1"/>
  <c r="N1217" i="1" s="1"/>
  <c r="N1218" i="1" a="1"/>
  <c r="N1218" i="1" s="1"/>
  <c r="N1219" i="1" a="1"/>
  <c r="N1219" i="1" s="1"/>
  <c r="N1220" i="1" a="1"/>
  <c r="N1220" i="1" s="1"/>
  <c r="N1221" i="1" a="1"/>
  <c r="N1221" i="1" s="1"/>
  <c r="N1222" i="1" a="1"/>
  <c r="N1222" i="1" s="1"/>
  <c r="N1223" i="1" a="1"/>
  <c r="N1223" i="1" s="1"/>
  <c r="N1224" i="1" a="1"/>
  <c r="N1224" i="1" s="1"/>
  <c r="N1225" i="1" a="1"/>
  <c r="N1225" i="1" s="1"/>
  <c r="N1226" i="1" a="1"/>
  <c r="N1226" i="1" s="1"/>
  <c r="N1227" i="1" a="1"/>
  <c r="N1227" i="1" s="1"/>
  <c r="N1228" i="1" a="1"/>
  <c r="N1228" i="1" s="1"/>
  <c r="N1229" i="1" a="1"/>
  <c r="N1229" i="1" s="1"/>
  <c r="N1230" i="1" a="1"/>
  <c r="N1230" i="1" s="1"/>
  <c r="N1231" i="1" a="1"/>
  <c r="N1231" i="1" s="1"/>
  <c r="N1232" i="1" a="1"/>
  <c r="N1232" i="1" s="1"/>
  <c r="N1233" i="1" a="1"/>
  <c r="N1233" i="1" s="1"/>
  <c r="N1234" i="1" a="1"/>
  <c r="N1234" i="1" s="1"/>
  <c r="N1235" i="1" a="1"/>
  <c r="N1235" i="1" s="1"/>
  <c r="N1236" i="1" a="1"/>
  <c r="N1236" i="1" s="1"/>
  <c r="N1237" i="1" a="1"/>
  <c r="N1237" i="1" s="1"/>
  <c r="N1238" i="1" a="1"/>
  <c r="N1238" i="1" s="1"/>
  <c r="N1239" i="1" a="1"/>
  <c r="N1239" i="1" s="1"/>
  <c r="N1240" i="1" a="1"/>
  <c r="N1240" i="1" s="1"/>
  <c r="N1241" i="1" a="1"/>
  <c r="N1241" i="1" s="1"/>
  <c r="N1242" i="1" a="1"/>
  <c r="N1242" i="1" s="1"/>
  <c r="N1243" i="1" a="1"/>
  <c r="N1243" i="1" s="1"/>
  <c r="N1244" i="1" a="1"/>
  <c r="N1244" i="1" s="1"/>
  <c r="N1245" i="1" a="1"/>
  <c r="N1245" i="1" s="1"/>
  <c r="N1246" i="1" a="1"/>
  <c r="N1246" i="1" s="1"/>
  <c r="N1247" i="1" a="1"/>
  <c r="N1247" i="1" s="1"/>
  <c r="N1248" i="1" a="1"/>
  <c r="N1248" i="1" s="1"/>
  <c r="N1249" i="1" a="1"/>
  <c r="N1249" i="1" s="1"/>
  <c r="N1250" i="1" a="1"/>
  <c r="N1250" i="1" s="1"/>
  <c r="N1251" i="1" a="1"/>
  <c r="N1251" i="1" s="1"/>
  <c r="N1252" i="1" a="1"/>
  <c r="N1252" i="1" s="1"/>
  <c r="N1253" i="1" a="1"/>
  <c r="N1253" i="1" s="1"/>
  <c r="N1254" i="1" a="1"/>
  <c r="N1254" i="1" s="1"/>
  <c r="N1255" i="1" a="1"/>
  <c r="N1255" i="1" s="1"/>
  <c r="N1256" i="1" a="1"/>
  <c r="N1256" i="1" s="1"/>
  <c r="N1257" i="1" a="1"/>
  <c r="N1257" i="1" s="1"/>
  <c r="N1258" i="1" a="1"/>
  <c r="N1258" i="1" s="1"/>
  <c r="N1259" i="1" a="1"/>
  <c r="N1259" i="1" s="1"/>
  <c r="N1260" i="1" a="1"/>
  <c r="N1260" i="1" s="1"/>
  <c r="N1261" i="1" a="1"/>
  <c r="N1261" i="1" s="1"/>
  <c r="N1262" i="1" a="1"/>
  <c r="N1262" i="1" s="1"/>
  <c r="N1263" i="1" a="1"/>
  <c r="N1263" i="1" s="1"/>
  <c r="N1264" i="1" a="1"/>
  <c r="N1264" i="1" s="1"/>
  <c r="N1265" i="1" a="1"/>
  <c r="N1265" i="1" s="1"/>
  <c r="N1266" i="1" a="1"/>
  <c r="N1266" i="1" s="1"/>
  <c r="N1267" i="1" a="1"/>
  <c r="N1267" i="1" s="1"/>
  <c r="N1268" i="1" a="1"/>
  <c r="N1268" i="1" s="1"/>
  <c r="N1269" i="1" a="1"/>
  <c r="N1269" i="1" s="1"/>
  <c r="N1270" i="1" a="1"/>
  <c r="N1270" i="1" s="1"/>
  <c r="N1271" i="1" a="1"/>
  <c r="N1271" i="1" s="1"/>
  <c r="N1272" i="1" a="1"/>
  <c r="N1272" i="1" s="1"/>
  <c r="N1273" i="1" a="1"/>
  <c r="N1273" i="1" s="1"/>
  <c r="N1274" i="1" a="1"/>
  <c r="N1274" i="1" s="1"/>
  <c r="N1275" i="1" a="1"/>
  <c r="N1275" i="1" s="1"/>
  <c r="N1276" i="1" a="1"/>
  <c r="N1276" i="1" s="1"/>
  <c r="N1277" i="1" a="1"/>
  <c r="N1277" i="1" s="1"/>
  <c r="N1278" i="1" a="1"/>
  <c r="N1278" i="1" s="1"/>
  <c r="N1279" i="1" a="1"/>
  <c r="N1279" i="1" s="1"/>
  <c r="N1280" i="1" a="1"/>
  <c r="N1280" i="1" s="1"/>
  <c r="N1281" i="1" a="1"/>
  <c r="N1281" i="1" s="1"/>
  <c r="N1282" i="1" a="1"/>
  <c r="N1282" i="1" s="1"/>
  <c r="N1283" i="1" a="1"/>
  <c r="N1283" i="1" s="1"/>
  <c r="N1284" i="1" a="1"/>
  <c r="N1284" i="1" s="1"/>
  <c r="N1285" i="1" a="1"/>
  <c r="N1285" i="1" s="1"/>
  <c r="N1286" i="1" a="1"/>
  <c r="N1286" i="1" s="1"/>
  <c r="N1287" i="1" a="1"/>
  <c r="N1287" i="1" s="1"/>
  <c r="N1288" i="1" a="1"/>
  <c r="N1288" i="1" s="1"/>
  <c r="N1289" i="1" a="1"/>
  <c r="N1289" i="1" s="1"/>
  <c r="N1290" i="1" a="1"/>
  <c r="N1290" i="1" s="1"/>
  <c r="N1291" i="1" a="1"/>
  <c r="N1291" i="1" s="1"/>
  <c r="N1292" i="1" a="1"/>
  <c r="N1292" i="1" s="1"/>
  <c r="N1293" i="1" a="1"/>
  <c r="N1293" i="1" s="1"/>
  <c r="N1294" i="1" a="1"/>
  <c r="N1294" i="1" s="1"/>
  <c r="N1295" i="1" a="1"/>
  <c r="N1295" i="1" s="1"/>
  <c r="N1296" i="1" a="1"/>
  <c r="N1296" i="1" s="1"/>
  <c r="N1297" i="1" a="1"/>
  <c r="N1297" i="1" s="1"/>
  <c r="N1298" i="1" a="1"/>
  <c r="N1298" i="1" s="1"/>
  <c r="N1299" i="1" a="1"/>
  <c r="N1299" i="1" s="1"/>
  <c r="N1300" i="1" a="1"/>
  <c r="N1300" i="1" s="1"/>
  <c r="N1301" i="1" a="1"/>
  <c r="N1301" i="1" s="1"/>
  <c r="N1302" i="1" a="1"/>
  <c r="N1302" i="1" s="1"/>
  <c r="N1303" i="1" a="1"/>
  <c r="N1303" i="1" s="1"/>
  <c r="N1304" i="1" a="1"/>
  <c r="N1304" i="1" s="1"/>
  <c r="N1305" i="1" a="1"/>
  <c r="N1305" i="1" s="1"/>
  <c r="N1306" i="1" a="1"/>
  <c r="N1306" i="1" s="1"/>
  <c r="N1307" i="1" a="1"/>
  <c r="N1307" i="1" s="1"/>
  <c r="N1308" i="1" a="1"/>
  <c r="N1308" i="1" s="1"/>
  <c r="N1309" i="1" a="1"/>
  <c r="N1309" i="1" s="1"/>
  <c r="N1310" i="1" a="1"/>
  <c r="N1310" i="1" s="1"/>
  <c r="N1311" i="1" a="1"/>
  <c r="N1311" i="1" s="1"/>
  <c r="N1312" i="1" a="1"/>
  <c r="N1312" i="1" s="1"/>
  <c r="N1313" i="1" a="1"/>
  <c r="N1313" i="1" s="1"/>
  <c r="N1314" i="1" a="1"/>
  <c r="N1314" i="1" s="1"/>
  <c r="N1315" i="1" a="1"/>
  <c r="N1315" i="1" s="1"/>
  <c r="N1316" i="1" a="1"/>
  <c r="N1316" i="1" s="1"/>
  <c r="N1317" i="1" a="1"/>
  <c r="N1317" i="1" s="1"/>
  <c r="N1318" i="1" a="1"/>
  <c r="N1318" i="1" s="1"/>
  <c r="N1319" i="1" a="1"/>
  <c r="N1319" i="1" s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4" i="1"/>
  <c r="K1363" i="1"/>
  <c r="K1365" i="1"/>
  <c r="K1366" i="1"/>
  <c r="K1367" i="1"/>
  <c r="K1368" i="1"/>
  <c r="K1369" i="1"/>
  <c r="K1370" i="1"/>
  <c r="K1381" i="1"/>
  <c r="K1371" i="1"/>
  <c r="K1372" i="1"/>
  <c r="K1373" i="1"/>
  <c r="K1374" i="1"/>
  <c r="K1375" i="1"/>
  <c r="K1376" i="1"/>
  <c r="K1382" i="1"/>
  <c r="K1377" i="1"/>
  <c r="K1378" i="1"/>
  <c r="K1379" i="1"/>
  <c r="K1380" i="1"/>
  <c r="I1380" i="1"/>
  <c r="I1379" i="1"/>
  <c r="I1378" i="1"/>
  <c r="I1377" i="1"/>
  <c r="I1382" i="1"/>
  <c r="I1376" i="1"/>
  <c r="I1375" i="1"/>
  <c r="I1374" i="1"/>
  <c r="I1373" i="1"/>
  <c r="I1372" i="1"/>
  <c r="I1371" i="1"/>
  <c r="I1381" i="1"/>
  <c r="I1370" i="1"/>
  <c r="I1369" i="1"/>
  <c r="I1368" i="1"/>
  <c r="I1367" i="1"/>
  <c r="I1366" i="1"/>
  <c r="I1365" i="1"/>
  <c r="I1363" i="1"/>
  <c r="I1364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B41" i="10"/>
  <c r="B12" i="10"/>
  <c r="B42" i="10"/>
  <c r="B11" i="10"/>
  <c r="B44" i="10"/>
  <c r="B40" i="10"/>
  <c r="B10" i="10"/>
  <c r="C1" i="10"/>
  <c r="D1" i="10"/>
  <c r="E1" i="10"/>
  <c r="F1" i="10"/>
  <c r="G1" i="10"/>
  <c r="H1" i="10"/>
  <c r="I1" i="10"/>
  <c r="B8" i="10"/>
  <c r="B9" i="10"/>
  <c r="B17" i="10"/>
  <c r="M29" i="10"/>
  <c r="B7" i="10"/>
  <c r="K1282" i="1"/>
  <c r="K1283" i="1"/>
  <c r="K1284" i="1"/>
  <c r="K1285" i="1"/>
  <c r="K1286" i="1"/>
  <c r="K1287" i="1"/>
  <c r="K1288" i="1"/>
  <c r="K1289" i="1"/>
  <c r="K1290" i="1"/>
  <c r="K1291" i="1"/>
  <c r="K1292" i="1"/>
  <c r="K1296" i="1"/>
  <c r="K1297" i="1"/>
  <c r="K1298" i="1"/>
  <c r="K1293" i="1"/>
  <c r="K1294" i="1"/>
  <c r="I1294" i="1"/>
  <c r="I1293" i="1"/>
  <c r="I1298" i="1"/>
  <c r="I1297" i="1"/>
  <c r="I1296" i="1"/>
  <c r="I1292" i="1"/>
  <c r="I1291" i="1"/>
  <c r="I1290" i="1"/>
  <c r="I1289" i="1"/>
  <c r="I1288" i="1"/>
  <c r="I1287" i="1"/>
  <c r="I1286" i="1"/>
  <c r="I1285" i="1"/>
  <c r="I1284" i="1"/>
  <c r="I1283" i="1"/>
  <c r="I1282" i="1"/>
  <c r="B6" i="10"/>
  <c r="K1242" i="1"/>
  <c r="K1243" i="1"/>
  <c r="K1244" i="1"/>
  <c r="K1245" i="1"/>
  <c r="K1246" i="1"/>
  <c r="K1258" i="1"/>
  <c r="K1247" i="1"/>
  <c r="K1248" i="1"/>
  <c r="K1249" i="1"/>
  <c r="K1250" i="1"/>
  <c r="K1251" i="1"/>
  <c r="K1252" i="1"/>
  <c r="K1253" i="1"/>
  <c r="K1254" i="1"/>
  <c r="K1255" i="1"/>
  <c r="K1256" i="1"/>
  <c r="K1257" i="1"/>
  <c r="K1270" i="1"/>
  <c r="K1259" i="1"/>
  <c r="K1260" i="1"/>
  <c r="K1261" i="1"/>
  <c r="K1262" i="1"/>
  <c r="K1263" i="1"/>
  <c r="K1264" i="1"/>
  <c r="K1265" i="1"/>
  <c r="K1266" i="1"/>
  <c r="K1267" i="1"/>
  <c r="K1268" i="1"/>
  <c r="I1268" i="1"/>
  <c r="I1267" i="1"/>
  <c r="I1266" i="1"/>
  <c r="I1265" i="1"/>
  <c r="I1264" i="1"/>
  <c r="I1263" i="1"/>
  <c r="I1262" i="1"/>
  <c r="I1261" i="1"/>
  <c r="I1260" i="1"/>
  <c r="I1259" i="1"/>
  <c r="I1270" i="1"/>
  <c r="I1257" i="1"/>
  <c r="I1256" i="1"/>
  <c r="I1255" i="1"/>
  <c r="I1254" i="1"/>
  <c r="I1253" i="1"/>
  <c r="I1252" i="1"/>
  <c r="I1251" i="1"/>
  <c r="I1250" i="1"/>
  <c r="I1249" i="1"/>
  <c r="I1248" i="1"/>
  <c r="I1247" i="1"/>
  <c r="I1258" i="1"/>
  <c r="I1246" i="1"/>
  <c r="I1245" i="1"/>
  <c r="I1244" i="1"/>
  <c r="I1243" i="1"/>
  <c r="I1242" i="1"/>
  <c r="B5" i="10"/>
  <c r="B4" i="10"/>
  <c r="N1166" i="1" a="1"/>
  <c r="N1166" i="1" s="1"/>
  <c r="N1167" i="1" a="1"/>
  <c r="N1167" i="1" s="1"/>
  <c r="N1168" i="1" a="1"/>
  <c r="N1168" i="1" s="1"/>
  <c r="N1169" i="1" a="1"/>
  <c r="N1169" i="1" s="1"/>
  <c r="N1170" i="1" a="1"/>
  <c r="N1170" i="1" s="1"/>
  <c r="N1171" i="1" a="1"/>
  <c r="N1171" i="1" s="1"/>
  <c r="N1172" i="1" a="1"/>
  <c r="N1172" i="1" s="1"/>
  <c r="N1173" i="1" a="1"/>
  <c r="N1173" i="1" s="1"/>
  <c r="N1174" i="1" a="1"/>
  <c r="N1174" i="1" s="1"/>
  <c r="N1175" i="1" a="1"/>
  <c r="N1175" i="1" s="1"/>
  <c r="N1176" i="1" a="1"/>
  <c r="N1176" i="1" s="1"/>
  <c r="N1177" i="1" a="1"/>
  <c r="N1177" i="1" s="1"/>
  <c r="N1178" i="1" a="1"/>
  <c r="N1178" i="1" s="1"/>
  <c r="N1179" i="1" a="1"/>
  <c r="N1179" i="1" s="1"/>
  <c r="N1180" i="1" a="1"/>
  <c r="N1180" i="1" s="1"/>
  <c r="N1181" i="1" a="1"/>
  <c r="N1181" i="1" s="1"/>
  <c r="N1182" i="1" a="1"/>
  <c r="N1182" i="1" s="1"/>
  <c r="N1183" i="1" a="1"/>
  <c r="N1183" i="1" s="1"/>
  <c r="N1184" i="1" a="1"/>
  <c r="N1184" i="1" s="1"/>
  <c r="N1185" i="1" a="1"/>
  <c r="N1185" i="1" s="1"/>
  <c r="N1186" i="1" a="1"/>
  <c r="N1186" i="1" s="1"/>
  <c r="N1187" i="1" a="1"/>
  <c r="N1187" i="1" s="1"/>
  <c r="N1188" i="1" a="1"/>
  <c r="N1188" i="1" s="1"/>
  <c r="N1189" i="1" a="1"/>
  <c r="N1189" i="1" s="1"/>
  <c r="N1190" i="1" a="1"/>
  <c r="N1190" i="1" s="1"/>
  <c r="N1191" i="1" a="1"/>
  <c r="N1191" i="1" s="1"/>
  <c r="K1226" i="1"/>
  <c r="K1227" i="1"/>
  <c r="K1228" i="1"/>
  <c r="K1229" i="1"/>
  <c r="K1230" i="1"/>
  <c r="K1231" i="1"/>
  <c r="K1232" i="1"/>
  <c r="K1233" i="1"/>
  <c r="I1226" i="1"/>
  <c r="I1227" i="1"/>
  <c r="I1228" i="1"/>
  <c r="I1229" i="1"/>
  <c r="I1230" i="1"/>
  <c r="I1231" i="1"/>
  <c r="I1232" i="1"/>
  <c r="I1233" i="1"/>
  <c r="B3" i="10"/>
  <c r="N1104" i="1" a="1"/>
  <c r="N1104" i="1" s="1"/>
  <c r="N1105" i="1" a="1"/>
  <c r="N1105" i="1" s="1"/>
  <c r="N1106" i="1" a="1"/>
  <c r="N1106" i="1" s="1"/>
  <c r="N1107" i="1" a="1"/>
  <c r="N1107" i="1" s="1"/>
  <c r="N1108" i="1" a="1"/>
  <c r="N1108" i="1" s="1"/>
  <c r="N1109" i="1" a="1"/>
  <c r="N1109" i="1" s="1"/>
  <c r="N1110" i="1" a="1"/>
  <c r="N1110" i="1" s="1"/>
  <c r="N1111" i="1" a="1"/>
  <c r="N1111" i="1" s="1"/>
  <c r="N1112" i="1" a="1"/>
  <c r="N1112" i="1" s="1"/>
  <c r="N1113" i="1" a="1"/>
  <c r="N1113" i="1" s="1"/>
  <c r="N1114" i="1" a="1"/>
  <c r="N1114" i="1" s="1"/>
  <c r="N1115" i="1" a="1"/>
  <c r="N1115" i="1" s="1"/>
  <c r="N1116" i="1" a="1"/>
  <c r="N1116" i="1" s="1"/>
  <c r="N1117" i="1" a="1"/>
  <c r="N1117" i="1" s="1"/>
  <c r="N1118" i="1" a="1"/>
  <c r="N1118" i="1" s="1"/>
  <c r="N1119" i="1" a="1"/>
  <c r="N1119" i="1" s="1"/>
  <c r="N1120" i="1" a="1"/>
  <c r="N1120" i="1" s="1"/>
  <c r="N1121" i="1" a="1"/>
  <c r="N1121" i="1" s="1"/>
  <c r="N1122" i="1" a="1"/>
  <c r="N1122" i="1" s="1"/>
  <c r="N1123" i="1" a="1"/>
  <c r="N1123" i="1" s="1"/>
  <c r="N1124" i="1" a="1"/>
  <c r="N1124" i="1" s="1"/>
  <c r="N1125" i="1" a="1"/>
  <c r="N1125" i="1" s="1"/>
  <c r="N1126" i="1" a="1"/>
  <c r="N1126" i="1" s="1"/>
  <c r="N1127" i="1" a="1"/>
  <c r="N1127" i="1" s="1"/>
  <c r="N1128" i="1" a="1"/>
  <c r="N1128" i="1" s="1"/>
  <c r="N1129" i="1" a="1"/>
  <c r="N1129" i="1" s="1"/>
  <c r="N1130" i="1" a="1"/>
  <c r="N1130" i="1" s="1"/>
  <c r="N1131" i="1" a="1"/>
  <c r="N1131" i="1" s="1"/>
  <c r="N1132" i="1" a="1"/>
  <c r="N1132" i="1" s="1"/>
  <c r="N1133" i="1" a="1"/>
  <c r="N1133" i="1" s="1"/>
  <c r="N1134" i="1" a="1"/>
  <c r="N1134" i="1" s="1"/>
  <c r="N1135" i="1" a="1"/>
  <c r="N1135" i="1" s="1"/>
  <c r="N1136" i="1" a="1"/>
  <c r="N1136" i="1" s="1"/>
  <c r="N1137" i="1" a="1"/>
  <c r="N1137" i="1" s="1"/>
  <c r="N1138" i="1" a="1"/>
  <c r="N1138" i="1" s="1"/>
  <c r="N1139" i="1" a="1"/>
  <c r="N1139" i="1" s="1"/>
  <c r="N1140" i="1" a="1"/>
  <c r="N1140" i="1" s="1"/>
  <c r="N1141" i="1" a="1"/>
  <c r="N1141" i="1" s="1"/>
  <c r="N1142" i="1" a="1"/>
  <c r="N1142" i="1" s="1"/>
  <c r="N1143" i="1" a="1"/>
  <c r="N1143" i="1" s="1"/>
  <c r="N1144" i="1" a="1"/>
  <c r="N1144" i="1" s="1"/>
  <c r="N1145" i="1" a="1"/>
  <c r="N1145" i="1" s="1"/>
  <c r="N1146" i="1" a="1"/>
  <c r="N1146" i="1" s="1"/>
  <c r="N1147" i="1" a="1"/>
  <c r="N1147" i="1" s="1"/>
  <c r="N1148" i="1" a="1"/>
  <c r="N1148" i="1" s="1"/>
  <c r="N1149" i="1" a="1"/>
  <c r="N1149" i="1" s="1"/>
  <c r="N1150" i="1" a="1"/>
  <c r="N1150" i="1" s="1"/>
  <c r="N1151" i="1" a="1"/>
  <c r="N1151" i="1" s="1"/>
  <c r="N1152" i="1" a="1"/>
  <c r="N1152" i="1" s="1"/>
  <c r="N1153" i="1" a="1"/>
  <c r="N1153" i="1" s="1"/>
  <c r="N1154" i="1" a="1"/>
  <c r="N1154" i="1" s="1"/>
  <c r="N1155" i="1" a="1"/>
  <c r="N1155" i="1" s="1"/>
  <c r="N1156" i="1" a="1"/>
  <c r="N1156" i="1" s="1"/>
  <c r="N1157" i="1" a="1"/>
  <c r="N1157" i="1" s="1"/>
  <c r="N1158" i="1" a="1"/>
  <c r="N1158" i="1" s="1"/>
  <c r="N1159" i="1" a="1"/>
  <c r="N1159" i="1" s="1"/>
  <c r="N1160" i="1" a="1"/>
  <c r="N1160" i="1" s="1"/>
  <c r="N1161" i="1" a="1"/>
  <c r="N1161" i="1" s="1"/>
  <c r="N1162" i="1" a="1"/>
  <c r="N1162" i="1" s="1"/>
  <c r="N1163" i="1" a="1"/>
  <c r="N1163" i="1" s="1"/>
  <c r="N1164" i="1" a="1"/>
  <c r="N1164" i="1" s="1"/>
  <c r="N1165" i="1" a="1"/>
  <c r="N1165" i="1" s="1"/>
  <c r="K1143" i="1"/>
  <c r="K1114" i="1"/>
  <c r="K1115" i="1"/>
  <c r="K1116" i="1"/>
  <c r="K1117" i="1"/>
  <c r="K1118" i="1"/>
  <c r="K1119" i="1"/>
  <c r="K1120" i="1"/>
  <c r="K1121" i="1"/>
  <c r="K1145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6" i="1"/>
  <c r="K1147" i="1"/>
  <c r="K1148" i="1"/>
  <c r="K1149" i="1"/>
  <c r="K1150" i="1"/>
  <c r="K1151" i="1"/>
  <c r="K1152" i="1"/>
  <c r="K1153" i="1"/>
  <c r="K1154" i="1"/>
  <c r="K1161" i="1"/>
  <c r="K1155" i="1"/>
  <c r="K1162" i="1"/>
  <c r="K1156" i="1"/>
  <c r="K1157" i="1"/>
  <c r="K1158" i="1"/>
  <c r="K1163" i="1"/>
  <c r="K1159" i="1"/>
  <c r="K1160" i="1"/>
  <c r="K1164" i="1"/>
  <c r="K1165" i="1"/>
  <c r="K1166" i="1"/>
  <c r="K1167" i="1"/>
  <c r="K1189" i="1"/>
  <c r="K1190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91" i="1"/>
  <c r="K1192" i="1"/>
  <c r="K1113" i="1"/>
  <c r="I1113" i="1"/>
  <c r="I1143" i="1"/>
  <c r="I1114" i="1"/>
  <c r="I1115" i="1"/>
  <c r="I1116" i="1"/>
  <c r="I1117" i="1"/>
  <c r="I1118" i="1"/>
  <c r="I1119" i="1"/>
  <c r="I1120" i="1"/>
  <c r="I1121" i="1"/>
  <c r="I1145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6" i="1"/>
  <c r="I1147" i="1"/>
  <c r="I1148" i="1"/>
  <c r="I1149" i="1"/>
  <c r="I1150" i="1"/>
  <c r="I1151" i="1"/>
  <c r="I1152" i="1"/>
  <c r="I1153" i="1"/>
  <c r="I1154" i="1"/>
  <c r="I1161" i="1"/>
  <c r="I1155" i="1"/>
  <c r="I1162" i="1"/>
  <c r="I1156" i="1"/>
  <c r="I1157" i="1"/>
  <c r="I1158" i="1"/>
  <c r="I1163" i="1"/>
  <c r="I1159" i="1"/>
  <c r="I1160" i="1"/>
  <c r="I1164" i="1"/>
  <c r="I1165" i="1"/>
  <c r="I1166" i="1"/>
  <c r="I1167" i="1"/>
  <c r="I1189" i="1"/>
  <c r="I1190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91" i="1"/>
  <c r="I1192" i="1"/>
  <c r="O44" i="4" l="1"/>
  <c r="P54" i="4"/>
  <c r="O50" i="4"/>
  <c r="P43" i="4"/>
  <c r="F458" i="7"/>
  <c r="G110" i="17"/>
  <c r="O18" i="4"/>
  <c r="P16" i="4"/>
  <c r="S54" i="2"/>
  <c r="T54" i="2" s="1"/>
  <c r="G548" i="7"/>
  <c r="G613" i="7" s="1"/>
  <c r="U133" i="2"/>
  <c r="K53" i="4"/>
  <c r="L51" i="4"/>
  <c r="G401" i="7"/>
  <c r="Q12" i="5"/>
  <c r="P7" i="5"/>
  <c r="M9" i="5"/>
  <c r="P6" i="5"/>
  <c r="M8" i="5"/>
  <c r="P4" i="5"/>
  <c r="S12" i="5"/>
  <c r="R12" i="5" s="1"/>
  <c r="P11" i="5"/>
  <c r="E400" i="7"/>
  <c r="F399" i="7"/>
  <c r="E402" i="7"/>
  <c r="F400" i="7"/>
  <c r="E399" i="7"/>
  <c r="F405" i="7"/>
  <c r="F402" i="7"/>
  <c r="E398" i="7"/>
  <c r="P25" i="5"/>
  <c r="O25" i="5" s="1"/>
  <c r="F398" i="7"/>
  <c r="E405" i="7"/>
  <c r="F403" i="7"/>
  <c r="E401" i="7"/>
  <c r="E404" i="7"/>
  <c r="F404" i="7"/>
  <c r="F401" i="7"/>
  <c r="E403" i="7"/>
  <c r="P8" i="5"/>
  <c r="H85" i="17"/>
  <c r="H119" i="17" s="1"/>
  <c r="G406" i="7"/>
  <c r="E611" i="7"/>
  <c r="F92" i="17"/>
  <c r="F330" i="7"/>
  <c r="F321" i="7"/>
  <c r="S13" i="4"/>
  <c r="N17" i="4"/>
  <c r="S17" i="4"/>
  <c r="S22" i="4"/>
  <c r="S24" i="4" s="1"/>
  <c r="M51" i="4"/>
  <c r="P51" i="4" s="1"/>
  <c r="G93" i="17"/>
  <c r="G11" i="4"/>
  <c r="E101" i="17" s="1"/>
  <c r="C328" i="7"/>
  <c r="L4" i="4"/>
  <c r="K3" i="4"/>
  <c r="K34" i="4" s="1"/>
  <c r="N4" i="4"/>
  <c r="P6" i="6"/>
  <c r="F11" i="17"/>
  <c r="F12" i="17" s="1"/>
  <c r="E87" i="7"/>
  <c r="F46" i="7"/>
  <c r="O4" i="6"/>
  <c r="R11" i="6"/>
  <c r="H17" i="17"/>
  <c r="H18" i="17" s="1"/>
  <c r="F418" i="7"/>
  <c r="G129" i="17"/>
  <c r="I45" i="4"/>
  <c r="F129" i="17"/>
  <c r="G47" i="7"/>
  <c r="H23" i="17"/>
  <c r="H24" i="17" s="1"/>
  <c r="R13" i="6"/>
  <c r="E46" i="7"/>
  <c r="F87" i="7"/>
  <c r="L92" i="2"/>
  <c r="U139" i="2"/>
  <c r="T139" i="2"/>
  <c r="O6" i="2"/>
  <c r="L11" i="2"/>
  <c r="U10" i="2"/>
  <c r="U12" i="2"/>
  <c r="I111" i="2"/>
  <c r="F111" i="2"/>
  <c r="T12" i="2"/>
  <c r="Q15" i="2"/>
  <c r="U15" i="2"/>
  <c r="U111" i="2"/>
  <c r="U11" i="2"/>
  <c r="U73" i="2"/>
  <c r="U92" i="2"/>
  <c r="U6" i="2"/>
  <c r="P32" i="6"/>
  <c r="G43" i="7"/>
  <c r="U129" i="2"/>
  <c r="T129" i="2"/>
  <c r="T171" i="2"/>
  <c r="O4" i="16"/>
  <c r="O111" i="2"/>
  <c r="G333" i="7"/>
  <c r="R111" i="2"/>
  <c r="L111" i="2"/>
  <c r="K111" i="2"/>
  <c r="N111" i="2"/>
  <c r="K7" i="2"/>
  <c r="N7" i="2"/>
  <c r="Q10" i="6"/>
  <c r="G21" i="7"/>
  <c r="F20" i="7"/>
  <c r="L7" i="2"/>
  <c r="F7" i="2"/>
  <c r="O7" i="2"/>
  <c r="R6" i="2"/>
  <c r="I7" i="2"/>
  <c r="R7" i="2"/>
  <c r="Q7" i="2"/>
  <c r="F6" i="2"/>
  <c r="K6" i="2"/>
  <c r="K33" i="2"/>
  <c r="N6" i="2"/>
  <c r="N33" i="2"/>
  <c r="F411" i="7"/>
  <c r="I6" i="2"/>
  <c r="Q6" i="2"/>
  <c r="O11" i="2"/>
  <c r="R11" i="2"/>
  <c r="F11" i="2"/>
  <c r="I11" i="2"/>
  <c r="L6" i="2"/>
  <c r="F12" i="2"/>
  <c r="F92" i="2"/>
  <c r="O92" i="2"/>
  <c r="I12" i="2"/>
  <c r="O12" i="2"/>
  <c r="G3" i="7"/>
  <c r="R92" i="2"/>
  <c r="L12" i="2"/>
  <c r="R12" i="2"/>
  <c r="I92" i="2"/>
  <c r="G549" i="7"/>
  <c r="G612" i="7"/>
  <c r="G614" i="7" s="1"/>
  <c r="G615" i="7" s="1"/>
  <c r="R8" i="2"/>
  <c r="K11" i="2"/>
  <c r="K12" i="2"/>
  <c r="N12" i="2"/>
  <c r="N11" i="2"/>
  <c r="K10" i="2"/>
  <c r="K92" i="2"/>
  <c r="N80" i="2"/>
  <c r="N92" i="2"/>
  <c r="R73" i="2"/>
  <c r="N9" i="2"/>
  <c r="K9" i="2"/>
  <c r="F10" i="2"/>
  <c r="N81" i="2"/>
  <c r="K81" i="2"/>
  <c r="O10" i="2"/>
  <c r="L10" i="2"/>
  <c r="K80" i="2"/>
  <c r="R10" i="2"/>
  <c r="I10" i="2"/>
  <c r="Q10" i="2"/>
  <c r="N31" i="2"/>
  <c r="N10" i="2"/>
  <c r="P38" i="5"/>
  <c r="O38" i="5" s="1"/>
  <c r="M38" i="5"/>
  <c r="L38" i="5" s="1"/>
  <c r="M7" i="5"/>
  <c r="N12" i="5"/>
  <c r="P3" i="5"/>
  <c r="P5" i="5"/>
  <c r="M5" i="5"/>
  <c r="P10" i="5"/>
  <c r="F364" i="7"/>
  <c r="P54" i="2"/>
  <c r="K100" i="2"/>
  <c r="K32" i="2"/>
  <c r="K31" i="2"/>
  <c r="N134" i="2"/>
  <c r="R134" i="2"/>
  <c r="R143" i="2"/>
  <c r="R3" i="2"/>
  <c r="N32" i="2"/>
  <c r="M121" i="2"/>
  <c r="R121" i="2" s="1"/>
  <c r="R122" i="2"/>
  <c r="Q139" i="2"/>
  <c r="P171" i="2"/>
  <c r="H76" i="17" s="1"/>
  <c r="H81" i="17" s="1"/>
  <c r="H82" i="17" s="1"/>
  <c r="Q133" i="2"/>
  <c r="I68" i="12"/>
  <c r="M63" i="12"/>
  <c r="I67" i="12"/>
  <c r="I64" i="12"/>
  <c r="C97" i="12"/>
  <c r="E99" i="12"/>
  <c r="E91" i="12"/>
  <c r="G93" i="12"/>
  <c r="C96" i="12"/>
  <c r="E98" i="12"/>
  <c r="G92" i="12"/>
  <c r="C95" i="12"/>
  <c r="G99" i="12"/>
  <c r="E96" i="12"/>
  <c r="G98" i="12"/>
  <c r="C93" i="12"/>
  <c r="E95" i="12"/>
  <c r="G97" i="12"/>
  <c r="C98" i="12"/>
  <c r="E92" i="12"/>
  <c r="G94" i="12"/>
  <c r="C92" i="12"/>
  <c r="E94" i="12"/>
  <c r="G96" i="12"/>
  <c r="E97" i="12"/>
  <c r="G91" i="12"/>
  <c r="C94" i="12"/>
  <c r="C99" i="12"/>
  <c r="C91" i="12"/>
  <c r="E93" i="12"/>
  <c r="G95" i="12"/>
  <c r="I73" i="12"/>
  <c r="I65" i="12"/>
  <c r="I72" i="12"/>
  <c r="G68" i="12"/>
  <c r="E90" i="12"/>
  <c r="I71" i="12"/>
  <c r="C72" i="12"/>
  <c r="C90" i="12"/>
  <c r="I70" i="12"/>
  <c r="C71" i="12"/>
  <c r="G90" i="12"/>
  <c r="N51" i="4"/>
  <c r="F334" i="7"/>
  <c r="N36" i="4"/>
  <c r="N13" i="4"/>
  <c r="M18" i="4"/>
  <c r="H112" i="17" s="1"/>
  <c r="N52" i="4"/>
  <c r="Q21" i="6"/>
  <c r="H26" i="17" s="1"/>
  <c r="H27" i="17" s="1"/>
  <c r="O32" i="6"/>
  <c r="S32" i="6"/>
  <c r="O6" i="6"/>
  <c r="S6" i="6"/>
  <c r="S4" i="6"/>
  <c r="N164" i="2"/>
  <c r="N4" i="2"/>
  <c r="K148" i="2"/>
  <c r="E411" i="7"/>
  <c r="E412" i="7" s="1"/>
  <c r="E413" i="7" s="1"/>
  <c r="N148" i="2"/>
  <c r="N156" i="2"/>
  <c r="O3" i="2"/>
  <c r="N135" i="2"/>
  <c r="K83" i="2"/>
  <c r="N3" i="14"/>
  <c r="F394" i="7"/>
  <c r="F22" i="7"/>
  <c r="F166" i="7"/>
  <c r="F3" i="7"/>
  <c r="E70" i="12"/>
  <c r="G64" i="12"/>
  <c r="G66" i="12"/>
  <c r="E68" i="12"/>
  <c r="C70" i="12"/>
  <c r="E69" i="12"/>
  <c r="G73" i="12"/>
  <c r="G65" i="12"/>
  <c r="E67" i="12"/>
  <c r="C69" i="12"/>
  <c r="G67" i="12"/>
  <c r="G72" i="12"/>
  <c r="E64" i="12"/>
  <c r="E66" i="12"/>
  <c r="C68" i="12"/>
  <c r="G71" i="12"/>
  <c r="E73" i="12"/>
  <c r="E65" i="12"/>
  <c r="C67" i="12"/>
  <c r="G70" i="12"/>
  <c r="E72" i="12"/>
  <c r="C64" i="12"/>
  <c r="C66" i="12"/>
  <c r="C73" i="12"/>
  <c r="C59" i="12"/>
  <c r="K73" i="12"/>
  <c r="B76" i="12"/>
  <c r="D76" i="12"/>
  <c r="K59" i="12"/>
  <c r="I56" i="12"/>
  <c r="F76" i="12"/>
  <c r="I59" i="12"/>
  <c r="I49" i="12"/>
  <c r="I57" i="12"/>
  <c r="I51" i="12"/>
  <c r="G59" i="12"/>
  <c r="K58" i="12"/>
  <c r="E59" i="12"/>
  <c r="K56" i="12"/>
  <c r="C63" i="12"/>
  <c r="E63" i="12"/>
  <c r="G63" i="12"/>
  <c r="I52" i="12"/>
  <c r="G58" i="12"/>
  <c r="G57" i="12"/>
  <c r="G56" i="12"/>
  <c r="G55" i="12"/>
  <c r="G54" i="12"/>
  <c r="G53" i="12"/>
  <c r="G52" i="12"/>
  <c r="G51" i="12"/>
  <c r="G50" i="12"/>
  <c r="E58" i="12"/>
  <c r="E57" i="12"/>
  <c r="E56" i="12"/>
  <c r="E55" i="12"/>
  <c r="E54" i="12"/>
  <c r="E53" i="12"/>
  <c r="E52" i="12"/>
  <c r="E51" i="12"/>
  <c r="E50" i="12"/>
  <c r="C58" i="12"/>
  <c r="C57" i="12"/>
  <c r="C56" i="12"/>
  <c r="C55" i="12"/>
  <c r="C54" i="12"/>
  <c r="C53" i="12"/>
  <c r="C52" i="12"/>
  <c r="C51" i="12"/>
  <c r="C50" i="12"/>
  <c r="C49" i="12"/>
  <c r="E49" i="12"/>
  <c r="G49" i="12"/>
  <c r="E608" i="7"/>
  <c r="F608" i="7"/>
  <c r="K55" i="12"/>
  <c r="P4" i="6"/>
  <c r="K64" i="12"/>
  <c r="K99" i="12"/>
  <c r="K98" i="12"/>
  <c r="K97" i="12"/>
  <c r="K96" i="12"/>
  <c r="K95" i="12"/>
  <c r="K94" i="12"/>
  <c r="K93" i="12"/>
  <c r="K92" i="12"/>
  <c r="K91" i="12"/>
  <c r="J76" i="12"/>
  <c r="K90" i="12"/>
  <c r="I99" i="12"/>
  <c r="I98" i="12"/>
  <c r="I97" i="12"/>
  <c r="I96" i="12"/>
  <c r="I95" i="12"/>
  <c r="I94" i="12"/>
  <c r="I93" i="12"/>
  <c r="I92" i="12"/>
  <c r="I91" i="12"/>
  <c r="H76" i="12"/>
  <c r="I90" i="12"/>
  <c r="I83" i="2"/>
  <c r="L83" i="2"/>
  <c r="O83" i="2"/>
  <c r="F83" i="2"/>
  <c r="N83" i="2"/>
  <c r="I63" i="12"/>
  <c r="K70" i="12"/>
  <c r="K69" i="12"/>
  <c r="K71" i="12"/>
  <c r="K68" i="12"/>
  <c r="K67" i="12"/>
  <c r="K66" i="12"/>
  <c r="K63" i="12"/>
  <c r="K65" i="12"/>
  <c r="K72" i="12"/>
  <c r="K57" i="12"/>
  <c r="K54" i="12"/>
  <c r="K53" i="12"/>
  <c r="K52" i="12"/>
  <c r="K49" i="12"/>
  <c r="K51" i="12"/>
  <c r="I58" i="12"/>
  <c r="I50" i="12"/>
  <c r="I55" i="12"/>
  <c r="I54" i="12"/>
  <c r="I53" i="12"/>
  <c r="O144" i="2"/>
  <c r="M87" i="2"/>
  <c r="J87" i="2"/>
  <c r="K87" i="2" s="1"/>
  <c r="L36" i="4"/>
  <c r="L22" i="4"/>
  <c r="S5" i="6"/>
  <c r="O141" i="2"/>
  <c r="O149" i="2"/>
  <c r="I34" i="4"/>
  <c r="K32" i="4" s="1"/>
  <c r="K42" i="4"/>
  <c r="E416" i="7"/>
  <c r="E320" i="7"/>
  <c r="L13" i="4"/>
  <c r="I27" i="4"/>
  <c r="L24" i="4"/>
  <c r="I53" i="4"/>
  <c r="L53" i="4" s="1"/>
  <c r="L52" i="4"/>
  <c r="K7" i="4"/>
  <c r="G97" i="17" s="1"/>
  <c r="K27" i="4"/>
  <c r="K54" i="4"/>
  <c r="N54" i="4" s="1"/>
  <c r="K45" i="4"/>
  <c r="N45" i="4" s="1"/>
  <c r="L32" i="6"/>
  <c r="E166" i="7"/>
  <c r="E418" i="7"/>
  <c r="I54" i="4"/>
  <c r="M139" i="2"/>
  <c r="N139" i="2" s="1"/>
  <c r="M54" i="2"/>
  <c r="O151" i="2"/>
  <c r="O66" i="2"/>
  <c r="O120" i="2"/>
  <c r="O152" i="2"/>
  <c r="O156" i="2"/>
  <c r="O52" i="2"/>
  <c r="O153" i="2"/>
  <c r="O8" i="2"/>
  <c r="O125" i="2"/>
  <c r="O142" i="2"/>
  <c r="O68" i="2"/>
  <c r="O115" i="2"/>
  <c r="O128" i="2"/>
  <c r="O51" i="2"/>
  <c r="O96" i="2"/>
  <c r="M129" i="2"/>
  <c r="O134" i="2"/>
  <c r="M127" i="2"/>
  <c r="N96" i="2"/>
  <c r="O140" i="2"/>
  <c r="N52" i="2"/>
  <c r="O131" i="2"/>
  <c r="O73" i="2"/>
  <c r="N68" i="2"/>
  <c r="N115" i="2"/>
  <c r="N142" i="2"/>
  <c r="N73" i="2"/>
  <c r="N131" i="2"/>
  <c r="N119" i="2"/>
  <c r="N143" i="2"/>
  <c r="N3" i="2"/>
  <c r="N154" i="2"/>
  <c r="N140" i="2"/>
  <c r="O98" i="2"/>
  <c r="N151" i="2"/>
  <c r="O164" i="2"/>
  <c r="O148" i="2"/>
  <c r="N162" i="2"/>
  <c r="N66" i="2"/>
  <c r="O100" i="2"/>
  <c r="O119" i="2"/>
  <c r="N122" i="2"/>
  <c r="N130" i="2"/>
  <c r="M133" i="2"/>
  <c r="R133" i="2" s="1"/>
  <c r="O135" i="2"/>
  <c r="N149" i="2"/>
  <c r="O154" i="2"/>
  <c r="O162" i="2"/>
  <c r="N98" i="2"/>
  <c r="O122" i="2"/>
  <c r="N125" i="2"/>
  <c r="O130" i="2"/>
  <c r="N141" i="2"/>
  <c r="N144" i="2"/>
  <c r="N152" i="2"/>
  <c r="N8" i="2"/>
  <c r="N120" i="2"/>
  <c r="N128" i="2"/>
  <c r="N100" i="2"/>
  <c r="N51" i="2"/>
  <c r="N153" i="2"/>
  <c r="E330" i="7"/>
  <c r="E22" i="7"/>
  <c r="H11" i="4"/>
  <c r="F11" i="4"/>
  <c r="K156" i="2"/>
  <c r="J54" i="2"/>
  <c r="L6" i="6"/>
  <c r="I43" i="4"/>
  <c r="J129" i="2"/>
  <c r="K129" i="2" s="1"/>
  <c r="J133" i="2"/>
  <c r="K133" i="2" s="1"/>
  <c r="K164" i="2"/>
  <c r="K119" i="2"/>
  <c r="K151" i="2"/>
  <c r="K120" i="2"/>
  <c r="J139" i="2"/>
  <c r="K139" i="2" s="1"/>
  <c r="K149" i="2"/>
  <c r="K134" i="2"/>
  <c r="K135" i="2"/>
  <c r="K128" i="2"/>
  <c r="J127" i="2"/>
  <c r="K8" i="2"/>
  <c r="K121" i="2"/>
  <c r="K143" i="2"/>
  <c r="K73" i="2"/>
  <c r="K4" i="2"/>
  <c r="K68" i="2"/>
  <c r="K115" i="2"/>
  <c r="K140" i="2"/>
  <c r="K154" i="2"/>
  <c r="K162" i="2"/>
  <c r="K52" i="2"/>
  <c r="K66" i="2"/>
  <c r="K122" i="2"/>
  <c r="K130" i="2"/>
  <c r="K152" i="2"/>
  <c r="K98" i="2"/>
  <c r="K125" i="2"/>
  <c r="K141" i="2"/>
  <c r="K144" i="2"/>
  <c r="K51" i="2"/>
  <c r="K96" i="2"/>
  <c r="K131" i="2"/>
  <c r="K142" i="2"/>
  <c r="K153" i="2"/>
  <c r="K3" i="2"/>
  <c r="K25" i="5"/>
  <c r="M16" i="5"/>
  <c r="M4" i="5"/>
  <c r="M17" i="5"/>
  <c r="M6" i="5"/>
  <c r="M19" i="5"/>
  <c r="M10" i="5"/>
  <c r="M23" i="5"/>
  <c r="M11" i="5"/>
  <c r="M24" i="5"/>
  <c r="B1" i="10"/>
  <c r="B19" i="10"/>
  <c r="B20" i="10" s="1"/>
  <c r="D606" i="7"/>
  <c r="C606" i="7"/>
  <c r="B606" i="7"/>
  <c r="D607" i="7"/>
  <c r="C607" i="7"/>
  <c r="B607" i="7"/>
  <c r="A607" i="7"/>
  <c r="H59" i="4"/>
  <c r="F59" i="4"/>
  <c r="D59" i="4"/>
  <c r="J36" i="6"/>
  <c r="J35" i="6"/>
  <c r="J34" i="6"/>
  <c r="J33" i="6"/>
  <c r="J30" i="6"/>
  <c r="J29" i="6"/>
  <c r="J27" i="6"/>
  <c r="J26" i="6"/>
  <c r="J24" i="6"/>
  <c r="J22" i="6"/>
  <c r="J9" i="6"/>
  <c r="J8" i="6"/>
  <c r="J7" i="6"/>
  <c r="J4" i="6"/>
  <c r="J3" i="6"/>
  <c r="E12" i="6"/>
  <c r="C12" i="6"/>
  <c r="A602" i="7"/>
  <c r="B599" i="7"/>
  <c r="A599" i="7"/>
  <c r="A595" i="7"/>
  <c r="C589" i="7"/>
  <c r="D589" i="7"/>
  <c r="B589" i="7"/>
  <c r="D163" i="7"/>
  <c r="D162" i="7"/>
  <c r="D160" i="7"/>
  <c r="D159" i="7"/>
  <c r="D157" i="7"/>
  <c r="D86" i="7"/>
  <c r="C508" i="7"/>
  <c r="D508" i="7"/>
  <c r="B508" i="7"/>
  <c r="D20" i="7"/>
  <c r="C396" i="7"/>
  <c r="D396" i="7"/>
  <c r="B396" i="7"/>
  <c r="C383" i="7"/>
  <c r="D383" i="7"/>
  <c r="B383" i="7"/>
  <c r="D392" i="7"/>
  <c r="C392" i="7"/>
  <c r="B392" i="7"/>
  <c r="D391" i="7"/>
  <c r="C391" i="7"/>
  <c r="B391" i="7"/>
  <c r="D390" i="7"/>
  <c r="C390" i="7"/>
  <c r="B390" i="7"/>
  <c r="D389" i="7"/>
  <c r="C389" i="7"/>
  <c r="B389" i="7"/>
  <c r="D388" i="7"/>
  <c r="C388" i="7"/>
  <c r="B388" i="7"/>
  <c r="D387" i="7"/>
  <c r="C387" i="7"/>
  <c r="B387" i="7"/>
  <c r="D386" i="7"/>
  <c r="C386" i="7"/>
  <c r="B386" i="7"/>
  <c r="D385" i="7"/>
  <c r="C385" i="7"/>
  <c r="B385" i="7"/>
  <c r="D384" i="7"/>
  <c r="C384" i="7"/>
  <c r="B384" i="7"/>
  <c r="A384" i="7"/>
  <c r="A32" i="5"/>
  <c r="A388" i="7" s="1"/>
  <c r="A33" i="5"/>
  <c r="A389" i="7" s="1"/>
  <c r="A34" i="5"/>
  <c r="A390" i="7" s="1"/>
  <c r="A35" i="5"/>
  <c r="A391" i="7" s="1"/>
  <c r="A36" i="5"/>
  <c r="A392" i="7" s="1"/>
  <c r="A37" i="5"/>
  <c r="A31" i="5"/>
  <c r="A387" i="7" s="1"/>
  <c r="A30" i="5"/>
  <c r="A386" i="7" s="1"/>
  <c r="A29" i="5"/>
  <c r="A385" i="7" s="1"/>
  <c r="A356" i="7"/>
  <c r="A405" i="7"/>
  <c r="A404" i="7"/>
  <c r="A403" i="7"/>
  <c r="A402" i="7"/>
  <c r="A401" i="7"/>
  <c r="A400" i="7"/>
  <c r="A399" i="7"/>
  <c r="A398" i="7"/>
  <c r="D397" i="7"/>
  <c r="C397" i="7"/>
  <c r="B397" i="7"/>
  <c r="A397" i="7"/>
  <c r="I11" i="5"/>
  <c r="I10" i="5"/>
  <c r="I9" i="5"/>
  <c r="I8" i="5"/>
  <c r="I7" i="5"/>
  <c r="I6" i="5"/>
  <c r="I5" i="5"/>
  <c r="I4" i="5"/>
  <c r="I3" i="5"/>
  <c r="F11" i="5"/>
  <c r="F10" i="5"/>
  <c r="F9" i="5"/>
  <c r="F8" i="5"/>
  <c r="F7" i="5"/>
  <c r="F6" i="5"/>
  <c r="F5" i="5"/>
  <c r="F4" i="5"/>
  <c r="F3" i="5"/>
  <c r="C6" i="5"/>
  <c r="C7" i="5"/>
  <c r="C8" i="5"/>
  <c r="C9" i="5"/>
  <c r="C10" i="5"/>
  <c r="C11" i="5"/>
  <c r="C5" i="5"/>
  <c r="C4" i="5"/>
  <c r="C3" i="5"/>
  <c r="H9" i="5"/>
  <c r="H8" i="5"/>
  <c r="H7" i="5"/>
  <c r="H5" i="5"/>
  <c r="E11" i="5"/>
  <c r="E10" i="5"/>
  <c r="E9" i="5"/>
  <c r="E8" i="5"/>
  <c r="E7" i="5"/>
  <c r="E6" i="5"/>
  <c r="E5" i="5"/>
  <c r="E4" i="5"/>
  <c r="E3" i="5"/>
  <c r="B11" i="5"/>
  <c r="B10" i="5"/>
  <c r="B9" i="5"/>
  <c r="B8" i="5"/>
  <c r="B7" i="5"/>
  <c r="B6" i="5"/>
  <c r="B5" i="5"/>
  <c r="B4" i="5"/>
  <c r="B3" i="5"/>
  <c r="B1" i="5"/>
  <c r="N980" i="1" a="1"/>
  <c r="N980" i="1" s="1"/>
  <c r="N981" i="1" a="1"/>
  <c r="N981" i="1" s="1"/>
  <c r="N982" i="1" a="1"/>
  <c r="N982" i="1" s="1"/>
  <c r="N983" i="1" a="1"/>
  <c r="N983" i="1" s="1"/>
  <c r="N984" i="1" a="1"/>
  <c r="N984" i="1" s="1"/>
  <c r="N985" i="1" a="1"/>
  <c r="N985" i="1" s="1"/>
  <c r="N986" i="1" a="1"/>
  <c r="N986" i="1" s="1"/>
  <c r="N987" i="1" a="1"/>
  <c r="N987" i="1" s="1"/>
  <c r="N988" i="1" a="1"/>
  <c r="N988" i="1" s="1"/>
  <c r="N989" i="1" a="1"/>
  <c r="N989" i="1" s="1"/>
  <c r="N990" i="1" a="1"/>
  <c r="N990" i="1" s="1"/>
  <c r="N991" i="1" a="1"/>
  <c r="N991" i="1" s="1"/>
  <c r="K1027" i="1"/>
  <c r="N853" i="1" a="1"/>
  <c r="N853" i="1" s="1"/>
  <c r="K876" i="1"/>
  <c r="I876" i="1"/>
  <c r="N1097" i="1" a="1"/>
  <c r="N1097" i="1" s="1"/>
  <c r="N1098" i="1" a="1"/>
  <c r="N1098" i="1" s="1"/>
  <c r="N1099" i="1" a="1"/>
  <c r="N1099" i="1" s="1"/>
  <c r="N1100" i="1" a="1"/>
  <c r="N1100" i="1" s="1"/>
  <c r="N1101" i="1" a="1"/>
  <c r="N1101" i="1" s="1"/>
  <c r="N1102" i="1" a="1"/>
  <c r="N1102" i="1" s="1"/>
  <c r="N1103" i="1" a="1"/>
  <c r="N1103" i="1" s="1"/>
  <c r="K1025" i="1"/>
  <c r="K1026" i="1"/>
  <c r="K1028" i="1"/>
  <c r="K1029" i="1"/>
  <c r="K1030" i="1"/>
  <c r="K1031" i="1"/>
  <c r="K1032" i="1"/>
  <c r="K1033" i="1"/>
  <c r="K1034" i="1"/>
  <c r="K1035" i="1"/>
  <c r="K1036" i="1"/>
  <c r="K1037" i="1"/>
  <c r="K1042" i="1"/>
  <c r="K1038" i="1"/>
  <c r="K1039" i="1"/>
  <c r="K1040" i="1"/>
  <c r="K1041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42" i="1"/>
  <c r="I1038" i="1"/>
  <c r="I1039" i="1"/>
  <c r="I1040" i="1"/>
  <c r="I1041" i="1"/>
  <c r="P690" i="1"/>
  <c r="N1082" i="1" a="1"/>
  <c r="N1082" i="1" s="1"/>
  <c r="N1083" i="1" a="1"/>
  <c r="N1083" i="1" s="1"/>
  <c r="N1084" i="1" a="1"/>
  <c r="N1084" i="1" s="1"/>
  <c r="N1085" i="1" a="1"/>
  <c r="N1085" i="1" s="1"/>
  <c r="K1112" i="1"/>
  <c r="K1111" i="1"/>
  <c r="K1110" i="1"/>
  <c r="K1109" i="1"/>
  <c r="I1109" i="1"/>
  <c r="I1110" i="1"/>
  <c r="I1111" i="1"/>
  <c r="I1112" i="1"/>
  <c r="D45" i="7"/>
  <c r="D2" i="7"/>
  <c r="D299" i="7" s="1"/>
  <c r="I37" i="5"/>
  <c r="J37" i="5" s="1"/>
  <c r="I36" i="5"/>
  <c r="J36" i="5" s="1"/>
  <c r="I35" i="5"/>
  <c r="J35" i="5" s="1"/>
  <c r="I34" i="5"/>
  <c r="J34" i="5" s="1"/>
  <c r="I33" i="5"/>
  <c r="J33" i="5" s="1"/>
  <c r="I32" i="5"/>
  <c r="J32" i="5" s="1"/>
  <c r="I31" i="5"/>
  <c r="J31" i="5" s="1"/>
  <c r="I30" i="5"/>
  <c r="J30" i="5" s="1"/>
  <c r="I29" i="5"/>
  <c r="J29" i="5" s="1"/>
  <c r="F37" i="5"/>
  <c r="G37" i="5" s="1"/>
  <c r="F36" i="5"/>
  <c r="G36" i="5" s="1"/>
  <c r="F35" i="5"/>
  <c r="G35" i="5" s="1"/>
  <c r="F34" i="5"/>
  <c r="G34" i="5" s="1"/>
  <c r="F33" i="5"/>
  <c r="G33" i="5" s="1"/>
  <c r="F32" i="5"/>
  <c r="G32" i="5" s="1"/>
  <c r="F31" i="5"/>
  <c r="G31" i="5" s="1"/>
  <c r="F30" i="5"/>
  <c r="G30" i="5" s="1"/>
  <c r="F29" i="5"/>
  <c r="G29" i="5" s="1"/>
  <c r="C32" i="5"/>
  <c r="D32" i="5" s="1"/>
  <c r="C33" i="5"/>
  <c r="D33" i="5" s="1"/>
  <c r="C34" i="5"/>
  <c r="D34" i="5" s="1"/>
  <c r="C35" i="5"/>
  <c r="D35" i="5" s="1"/>
  <c r="C36" i="5"/>
  <c r="D36" i="5" s="1"/>
  <c r="C37" i="5"/>
  <c r="D37" i="5" s="1"/>
  <c r="C31" i="5"/>
  <c r="D31" i="5" s="1"/>
  <c r="C30" i="5"/>
  <c r="D30" i="5" s="1"/>
  <c r="C29" i="5"/>
  <c r="D29" i="5" s="1"/>
  <c r="B27" i="5"/>
  <c r="E38" i="5"/>
  <c r="C393" i="7" s="1"/>
  <c r="B38" i="5"/>
  <c r="B393" i="7" s="1"/>
  <c r="D567" i="7"/>
  <c r="B509" i="7"/>
  <c r="A509" i="7"/>
  <c r="G141" i="2"/>
  <c r="L141" i="2" s="1"/>
  <c r="A484" i="7"/>
  <c r="D483" i="7"/>
  <c r="C483" i="7"/>
  <c r="B483" i="7"/>
  <c r="D417" i="7"/>
  <c r="B417" i="7"/>
  <c r="A417" i="7"/>
  <c r="A506" i="7"/>
  <c r="A481" i="7"/>
  <c r="A480" i="7"/>
  <c r="A478" i="7"/>
  <c r="A477" i="7"/>
  <c r="C476" i="7"/>
  <c r="D476" i="7"/>
  <c r="B476" i="7"/>
  <c r="C457" i="7"/>
  <c r="D457" i="7"/>
  <c r="B457" i="7"/>
  <c r="A420" i="7"/>
  <c r="C458" i="7"/>
  <c r="B458" i="7"/>
  <c r="A458" i="7"/>
  <c r="A416" i="7"/>
  <c r="A571" i="7"/>
  <c r="G52" i="4"/>
  <c r="J52" i="4" s="1"/>
  <c r="E51" i="4"/>
  <c r="F51" i="4" s="1"/>
  <c r="C52" i="4"/>
  <c r="G47" i="4"/>
  <c r="E47" i="4"/>
  <c r="C47" i="4"/>
  <c r="C569" i="7"/>
  <c r="D569" i="7"/>
  <c r="B569" i="7"/>
  <c r="N1081" i="1" a="1"/>
  <c r="N1081" i="1" s="1"/>
  <c r="N1080" i="1" a="1"/>
  <c r="N1080" i="1" s="1"/>
  <c r="N1079" i="1" a="1"/>
  <c r="N1079" i="1" s="1"/>
  <c r="N1078" i="1" a="1"/>
  <c r="N1078" i="1" s="1"/>
  <c r="N1077" i="1" a="1"/>
  <c r="N1077" i="1" s="1"/>
  <c r="N1076" i="1" a="1"/>
  <c r="N1076" i="1" s="1"/>
  <c r="N1075" i="1" a="1"/>
  <c r="N1075" i="1" s="1"/>
  <c r="N1074" i="1" a="1"/>
  <c r="N1074" i="1" s="1"/>
  <c r="N1073" i="1" a="1"/>
  <c r="N1073" i="1" s="1"/>
  <c r="N1072" i="1" a="1"/>
  <c r="N1072" i="1" s="1"/>
  <c r="N1071" i="1" a="1"/>
  <c r="N1071" i="1" s="1"/>
  <c r="N1070" i="1" a="1"/>
  <c r="N1070" i="1" s="1"/>
  <c r="N1069" i="1" a="1"/>
  <c r="N1069" i="1" s="1"/>
  <c r="N1068" i="1" a="1"/>
  <c r="N1068" i="1" s="1"/>
  <c r="N1067" i="1" a="1"/>
  <c r="N1067" i="1" s="1"/>
  <c r="N1066" i="1" a="1"/>
  <c r="N1066" i="1" s="1"/>
  <c r="N1065" i="1" a="1"/>
  <c r="N1065" i="1" s="1"/>
  <c r="N1064" i="1" a="1"/>
  <c r="N1064" i="1" s="1"/>
  <c r="N1063" i="1" a="1"/>
  <c r="N1063" i="1" s="1"/>
  <c r="N1062" i="1" a="1"/>
  <c r="N1062" i="1" s="1"/>
  <c r="N1061" i="1" a="1"/>
  <c r="N1061" i="1" s="1"/>
  <c r="N1060" i="1" a="1"/>
  <c r="N1060" i="1" s="1"/>
  <c r="N1059" i="1" a="1"/>
  <c r="N1059" i="1" s="1"/>
  <c r="N1058" i="1" a="1"/>
  <c r="N1058" i="1" s="1"/>
  <c r="N1057" i="1" a="1"/>
  <c r="N1057" i="1" s="1"/>
  <c r="N1056" i="1" a="1"/>
  <c r="N1056" i="1" s="1"/>
  <c r="N1055" i="1" a="1"/>
  <c r="N1055" i="1" s="1"/>
  <c r="N1054" i="1" a="1"/>
  <c r="N1054" i="1" s="1"/>
  <c r="N1053" i="1" a="1"/>
  <c r="N1053" i="1" s="1"/>
  <c r="N1052" i="1" a="1"/>
  <c r="N1052" i="1" s="1"/>
  <c r="N1051" i="1" a="1"/>
  <c r="N1051" i="1" s="1"/>
  <c r="K1108" i="1"/>
  <c r="K1102" i="1"/>
  <c r="K1101" i="1"/>
  <c r="K1100" i="1"/>
  <c r="K1099" i="1"/>
  <c r="K1098" i="1"/>
  <c r="K1097" i="1"/>
  <c r="K1107" i="1"/>
  <c r="K1096" i="1"/>
  <c r="K1095" i="1"/>
  <c r="K1094" i="1"/>
  <c r="K1093" i="1"/>
  <c r="K1092" i="1"/>
  <c r="K1091" i="1"/>
  <c r="K1106" i="1"/>
  <c r="K1105" i="1"/>
  <c r="K1090" i="1"/>
  <c r="K1089" i="1"/>
  <c r="K1088" i="1"/>
  <c r="K1104" i="1"/>
  <c r="K1103" i="1"/>
  <c r="K1087" i="1"/>
  <c r="K1086" i="1"/>
  <c r="K1085" i="1"/>
  <c r="K1084" i="1"/>
  <c r="K1083" i="1"/>
  <c r="K1082" i="1"/>
  <c r="K1081" i="1"/>
  <c r="K1080" i="1"/>
  <c r="K1079" i="1"/>
  <c r="K1078" i="1"/>
  <c r="I1108" i="1"/>
  <c r="I1102" i="1"/>
  <c r="I1101" i="1"/>
  <c r="I1100" i="1"/>
  <c r="I1099" i="1"/>
  <c r="I1098" i="1"/>
  <c r="I1097" i="1"/>
  <c r="I1107" i="1"/>
  <c r="I1096" i="1"/>
  <c r="I1095" i="1"/>
  <c r="I1094" i="1"/>
  <c r="I1093" i="1"/>
  <c r="I1092" i="1"/>
  <c r="I1091" i="1"/>
  <c r="I1106" i="1"/>
  <c r="I1105" i="1"/>
  <c r="I1090" i="1"/>
  <c r="I1089" i="1"/>
  <c r="I1088" i="1"/>
  <c r="I1104" i="1"/>
  <c r="I1103" i="1"/>
  <c r="I1087" i="1"/>
  <c r="I1086" i="1"/>
  <c r="I1085" i="1"/>
  <c r="I1084" i="1"/>
  <c r="I1083" i="1"/>
  <c r="I1082" i="1"/>
  <c r="I1081" i="1"/>
  <c r="I1080" i="1"/>
  <c r="I1079" i="1"/>
  <c r="I1078" i="1"/>
  <c r="J18" i="5"/>
  <c r="J20" i="5"/>
  <c r="J21" i="5"/>
  <c r="J22" i="5"/>
  <c r="G17" i="4"/>
  <c r="E110" i="17" s="1"/>
  <c r="G36" i="4"/>
  <c r="E129" i="17" s="1"/>
  <c r="H24" i="5"/>
  <c r="H17" i="5"/>
  <c r="D357" i="7" s="1"/>
  <c r="H23" i="5"/>
  <c r="D363" i="7" s="1"/>
  <c r="H19" i="5"/>
  <c r="J19" i="5" s="1"/>
  <c r="H16" i="5"/>
  <c r="D356" i="7" s="1"/>
  <c r="G22" i="4"/>
  <c r="J22" i="4" s="1"/>
  <c r="C409" i="7"/>
  <c r="D409" i="7"/>
  <c r="B409" i="7"/>
  <c r="D410" i="7"/>
  <c r="C410" i="7"/>
  <c r="B410" i="7"/>
  <c r="A411" i="7"/>
  <c r="D331" i="7"/>
  <c r="D325" i="7"/>
  <c r="D323" i="7"/>
  <c r="D322" i="7"/>
  <c r="D321" i="7"/>
  <c r="K1015" i="1"/>
  <c r="I1015" i="1"/>
  <c r="N1088" i="1" a="1"/>
  <c r="N1088" i="1" s="1"/>
  <c r="K1016" i="1"/>
  <c r="I1016" i="1"/>
  <c r="D362" i="7"/>
  <c r="D361" i="7"/>
  <c r="D360" i="7"/>
  <c r="D358" i="7"/>
  <c r="D355" i="7"/>
  <c r="D419" i="7"/>
  <c r="D354" i="7"/>
  <c r="D335" i="7"/>
  <c r="D319" i="7"/>
  <c r="D243" i="7"/>
  <c r="D121" i="7"/>
  <c r="D85" i="7"/>
  <c r="D49" i="7"/>
  <c r="D23" i="7"/>
  <c r="G24" i="5"/>
  <c r="E25" i="5"/>
  <c r="D24" i="5"/>
  <c r="B25" i="5"/>
  <c r="G3" i="2"/>
  <c r="H111" i="2" s="1"/>
  <c r="I36" i="6"/>
  <c r="I35" i="6"/>
  <c r="I34" i="6"/>
  <c r="I33" i="6"/>
  <c r="H32" i="6"/>
  <c r="E59" i="17" s="1"/>
  <c r="E60" i="17" s="1"/>
  <c r="I30" i="6"/>
  <c r="I29" i="6"/>
  <c r="I27" i="6"/>
  <c r="I26" i="6"/>
  <c r="I24" i="6"/>
  <c r="I22" i="6"/>
  <c r="I12" i="6"/>
  <c r="I9" i="6"/>
  <c r="I8" i="6"/>
  <c r="I7" i="6"/>
  <c r="H6" i="6"/>
  <c r="E11" i="17" s="1"/>
  <c r="E12" i="17" s="1"/>
  <c r="I4" i="6"/>
  <c r="I3" i="6"/>
  <c r="M53" i="4" l="1"/>
  <c r="O49" i="4"/>
  <c r="P49" i="4" s="1"/>
  <c r="O41" i="4"/>
  <c r="P18" i="4"/>
  <c r="O19" i="4"/>
  <c r="G6" i="17"/>
  <c r="G10" i="5"/>
  <c r="D402" i="7"/>
  <c r="D403" i="7"/>
  <c r="D8" i="5"/>
  <c r="D404" i="7"/>
  <c r="P12" i="5"/>
  <c r="O12" i="5" s="1"/>
  <c r="B404" i="7"/>
  <c r="F406" i="7"/>
  <c r="G407" i="7" s="1"/>
  <c r="G85" i="17"/>
  <c r="G119" i="17" s="1"/>
  <c r="H117" i="17"/>
  <c r="C401" i="7"/>
  <c r="C402" i="7"/>
  <c r="B405" i="7"/>
  <c r="C404" i="7"/>
  <c r="B398" i="7"/>
  <c r="C405" i="7"/>
  <c r="B399" i="7"/>
  <c r="C398" i="7"/>
  <c r="G11" i="5"/>
  <c r="J5" i="5"/>
  <c r="F528" i="7"/>
  <c r="L3" i="4"/>
  <c r="F416" i="7"/>
  <c r="F320" i="7"/>
  <c r="N3" i="4"/>
  <c r="G92" i="17"/>
  <c r="S3" i="4"/>
  <c r="K43" i="4"/>
  <c r="N43" i="4" s="1"/>
  <c r="K16" i="4"/>
  <c r="G108" i="17" s="1"/>
  <c r="M42" i="4"/>
  <c r="F611" i="7"/>
  <c r="I11" i="4"/>
  <c r="F101" i="17" s="1"/>
  <c r="D328" i="7"/>
  <c r="G24" i="7"/>
  <c r="H14" i="17"/>
  <c r="H15" i="17" s="1"/>
  <c r="G48" i="7"/>
  <c r="B634" i="7"/>
  <c r="C20" i="17"/>
  <c r="C21" i="17" s="1"/>
  <c r="D46" i="7"/>
  <c r="D87" i="7"/>
  <c r="D20" i="17"/>
  <c r="D21" i="17" s="1"/>
  <c r="G44" i="7"/>
  <c r="P126" i="2"/>
  <c r="Q126" i="2" s="1"/>
  <c r="S126" i="2"/>
  <c r="G246" i="7"/>
  <c r="U171" i="2"/>
  <c r="Q54" i="2"/>
  <c r="U54" i="2"/>
  <c r="F412" i="7"/>
  <c r="F413" i="7" s="1"/>
  <c r="G602" i="7"/>
  <c r="G336" i="7"/>
  <c r="G506" i="7"/>
  <c r="H7" i="2"/>
  <c r="R10" i="6"/>
  <c r="J12" i="6"/>
  <c r="C634" i="7"/>
  <c r="G454" i="7"/>
  <c r="G50" i="7"/>
  <c r="H6" i="2"/>
  <c r="H33" i="2"/>
  <c r="F548" i="7"/>
  <c r="F613" i="7" s="1"/>
  <c r="G365" i="7"/>
  <c r="H12" i="2"/>
  <c r="H11" i="2"/>
  <c r="H9" i="2"/>
  <c r="H92" i="2"/>
  <c r="O121" i="2"/>
  <c r="H81" i="2"/>
  <c r="H10" i="2"/>
  <c r="H80" i="2"/>
  <c r="D6" i="5"/>
  <c r="G5" i="5"/>
  <c r="G3" i="5"/>
  <c r="D9" i="5"/>
  <c r="F547" i="7"/>
  <c r="D4" i="5"/>
  <c r="G9" i="5"/>
  <c r="N121" i="2"/>
  <c r="N127" i="2"/>
  <c r="R127" i="2"/>
  <c r="Q171" i="2"/>
  <c r="R139" i="2"/>
  <c r="N129" i="2"/>
  <c r="R129" i="2"/>
  <c r="N54" i="2"/>
  <c r="R54" i="2"/>
  <c r="N87" i="2"/>
  <c r="R87" i="2"/>
  <c r="H32" i="2"/>
  <c r="H31" i="2"/>
  <c r="M50" i="4"/>
  <c r="M49" i="4" s="1"/>
  <c r="L27" i="4"/>
  <c r="N27" i="4"/>
  <c r="M32" i="4"/>
  <c r="P32" i="4" s="1"/>
  <c r="N34" i="4"/>
  <c r="K57" i="4"/>
  <c r="N7" i="4"/>
  <c r="M20" i="4"/>
  <c r="P20" i="4" s="1"/>
  <c r="F324" i="7"/>
  <c r="R21" i="6"/>
  <c r="Q23" i="6"/>
  <c r="H32" i="17" s="1"/>
  <c r="H33" i="17" s="1"/>
  <c r="X3" i="14"/>
  <c r="S3" i="14"/>
  <c r="N10" i="6"/>
  <c r="G14" i="17" s="1"/>
  <c r="G15" i="17" s="1"/>
  <c r="F21" i="7"/>
  <c r="B608" i="7"/>
  <c r="C608" i="7"/>
  <c r="D608" i="7"/>
  <c r="L34" i="4"/>
  <c r="K31" i="4"/>
  <c r="L3" i="2"/>
  <c r="D411" i="7"/>
  <c r="D412" i="7" s="1"/>
  <c r="D413" i="7" s="1"/>
  <c r="H83" i="2"/>
  <c r="O87" i="2"/>
  <c r="E364" i="7"/>
  <c r="O5" i="6"/>
  <c r="P5" i="6"/>
  <c r="L45" i="4"/>
  <c r="K50" i="4"/>
  <c r="L54" i="4"/>
  <c r="D22" i="7"/>
  <c r="M6" i="6"/>
  <c r="M32" i="6"/>
  <c r="D166" i="7"/>
  <c r="M171" i="2"/>
  <c r="O127" i="2"/>
  <c r="J126" i="2"/>
  <c r="K126" i="2" s="1"/>
  <c r="M126" i="2"/>
  <c r="O139" i="2"/>
  <c r="K54" i="2"/>
  <c r="O54" i="2"/>
  <c r="O129" i="2"/>
  <c r="O133" i="2"/>
  <c r="N133" i="2"/>
  <c r="E3" i="7"/>
  <c r="E21" i="7"/>
  <c r="K10" i="6"/>
  <c r="D418" i="7"/>
  <c r="G54" i="4"/>
  <c r="L5" i="6"/>
  <c r="J36" i="4"/>
  <c r="D458" i="7"/>
  <c r="J17" i="4"/>
  <c r="J171" i="2"/>
  <c r="F76" i="17" s="1"/>
  <c r="F81" i="17" s="1"/>
  <c r="F82" i="17" s="1"/>
  <c r="K127" i="2"/>
  <c r="M25" i="5"/>
  <c r="L25" i="5" s="1"/>
  <c r="K12" i="5"/>
  <c r="M3" i="5"/>
  <c r="M12" i="5" s="1"/>
  <c r="J17" i="5"/>
  <c r="H4" i="5"/>
  <c r="J4" i="5" s="1"/>
  <c r="J24" i="5"/>
  <c r="H11" i="5"/>
  <c r="J11" i="5" s="1"/>
  <c r="B12" i="5"/>
  <c r="D7" i="5"/>
  <c r="B402" i="7"/>
  <c r="E12" i="5"/>
  <c r="D3" i="5"/>
  <c r="J7" i="5"/>
  <c r="D359" i="7"/>
  <c r="H10" i="5"/>
  <c r="H3" i="5"/>
  <c r="B400" i="7"/>
  <c r="D5" i="5"/>
  <c r="C400" i="7"/>
  <c r="G8" i="5"/>
  <c r="D11" i="5"/>
  <c r="J8" i="5"/>
  <c r="D10" i="5"/>
  <c r="B401" i="7"/>
  <c r="B403" i="7"/>
  <c r="H6" i="5"/>
  <c r="D400" i="7"/>
  <c r="G7" i="5"/>
  <c r="C399" i="7"/>
  <c r="C403" i="7"/>
  <c r="C394" i="7"/>
  <c r="J9" i="5"/>
  <c r="G6" i="5"/>
  <c r="G4" i="5"/>
  <c r="P691" i="1"/>
  <c r="G38" i="5"/>
  <c r="F38" i="5" s="1"/>
  <c r="J38" i="5"/>
  <c r="D38" i="5"/>
  <c r="C38" i="5" s="1"/>
  <c r="H38" i="5"/>
  <c r="D393" i="7" s="1"/>
  <c r="J23" i="5"/>
  <c r="C53" i="4"/>
  <c r="D52" i="4"/>
  <c r="D51" i="4"/>
  <c r="I32" i="6"/>
  <c r="M5" i="6"/>
  <c r="I6" i="6"/>
  <c r="H25" i="5"/>
  <c r="N1023" i="1" a="1"/>
  <c r="N1023" i="1" s="1"/>
  <c r="K1051" i="1"/>
  <c r="S101" i="2" s="1"/>
  <c r="K1052" i="1"/>
  <c r="K1053" i="1"/>
  <c r="K1054" i="1"/>
  <c r="K1055" i="1"/>
  <c r="K1073" i="1"/>
  <c r="K1056" i="1"/>
  <c r="K1074" i="1"/>
  <c r="K1057" i="1"/>
  <c r="K1075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6" i="1"/>
  <c r="K1077" i="1"/>
  <c r="K1071" i="1"/>
  <c r="K1072" i="1"/>
  <c r="K1043" i="1"/>
  <c r="K1044" i="1"/>
  <c r="K1045" i="1"/>
  <c r="K1046" i="1"/>
  <c r="K1047" i="1"/>
  <c r="K1048" i="1"/>
  <c r="K1049" i="1"/>
  <c r="K1050" i="1"/>
  <c r="N1050" i="1" a="1"/>
  <c r="N1050" i="1" s="1"/>
  <c r="N1049" i="1" a="1"/>
  <c r="N1049" i="1" s="1"/>
  <c r="N1048" i="1" a="1"/>
  <c r="N1048" i="1" s="1"/>
  <c r="N1047" i="1" a="1"/>
  <c r="N1047" i="1" s="1"/>
  <c r="N1046" i="1" a="1"/>
  <c r="N1046" i="1" s="1"/>
  <c r="N1045" i="1" a="1"/>
  <c r="N1045" i="1" s="1"/>
  <c r="N1044" i="1" a="1"/>
  <c r="N1044" i="1" s="1"/>
  <c r="N1043" i="1" a="1"/>
  <c r="N1043" i="1" s="1"/>
  <c r="N1042" i="1" a="1"/>
  <c r="N1042" i="1" s="1"/>
  <c r="N1041" i="1" a="1"/>
  <c r="N1041" i="1" s="1"/>
  <c r="N1040" i="1" a="1"/>
  <c r="N1040" i="1" s="1"/>
  <c r="N1039" i="1" a="1"/>
  <c r="N1039" i="1" s="1"/>
  <c r="N1038" i="1" a="1"/>
  <c r="N1038" i="1" s="1"/>
  <c r="N1037" i="1" a="1"/>
  <c r="N1037" i="1" s="1"/>
  <c r="N1036" i="1" a="1"/>
  <c r="N1036" i="1" s="1"/>
  <c r="N1035" i="1" a="1"/>
  <c r="N1035" i="1" s="1"/>
  <c r="N1034" i="1" a="1"/>
  <c r="N1034" i="1" s="1"/>
  <c r="N1033" i="1" a="1"/>
  <c r="N1033" i="1" s="1"/>
  <c r="N1032" i="1" a="1"/>
  <c r="N1032" i="1" s="1"/>
  <c r="N1031" i="1" a="1"/>
  <c r="N1031" i="1" s="1"/>
  <c r="N1030" i="1" a="1"/>
  <c r="N1030" i="1" s="1"/>
  <c r="N1029" i="1" a="1"/>
  <c r="N1029" i="1" s="1"/>
  <c r="N1028" i="1" a="1"/>
  <c r="N1028" i="1" s="1"/>
  <c r="N1027" i="1" a="1"/>
  <c r="N1027" i="1" s="1"/>
  <c r="N1026" i="1" a="1"/>
  <c r="N1026" i="1" s="1"/>
  <c r="N1025" i="1" a="1"/>
  <c r="N1025" i="1" s="1"/>
  <c r="N1024" i="1" a="1"/>
  <c r="N1024" i="1" s="1"/>
  <c r="I1072" i="1"/>
  <c r="I1071" i="1"/>
  <c r="I1077" i="1"/>
  <c r="I1076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75" i="1"/>
  <c r="I1057" i="1"/>
  <c r="I1074" i="1"/>
  <c r="I1056" i="1"/>
  <c r="I1073" i="1"/>
  <c r="I1055" i="1"/>
  <c r="I1054" i="1"/>
  <c r="I1053" i="1"/>
  <c r="I1052" i="1"/>
  <c r="I1051" i="1"/>
  <c r="I1050" i="1"/>
  <c r="I1049" i="1"/>
  <c r="I1048" i="1"/>
  <c r="I1047" i="1"/>
  <c r="I1043" i="1"/>
  <c r="I1044" i="1"/>
  <c r="I1045" i="1"/>
  <c r="I1046" i="1"/>
  <c r="G164" i="2"/>
  <c r="L164" i="2" s="1"/>
  <c r="G156" i="2"/>
  <c r="L156" i="2" s="1"/>
  <c r="G148" i="2"/>
  <c r="L148" i="2" s="1"/>
  <c r="G149" i="2"/>
  <c r="L149" i="2" s="1"/>
  <c r="G151" i="2"/>
  <c r="L151" i="2" s="1"/>
  <c r="G152" i="2"/>
  <c r="L152" i="2" s="1"/>
  <c r="G153" i="2"/>
  <c r="L153" i="2" s="1"/>
  <c r="G154" i="2"/>
  <c r="L154" i="2" s="1"/>
  <c r="G140" i="2"/>
  <c r="L140" i="2" s="1"/>
  <c r="G144" i="2"/>
  <c r="L144" i="2" s="1"/>
  <c r="G134" i="2"/>
  <c r="L134" i="2" s="1"/>
  <c r="G135" i="2"/>
  <c r="L135" i="2" s="1"/>
  <c r="G130" i="2"/>
  <c r="L130" i="2" s="1"/>
  <c r="G131" i="2"/>
  <c r="L131" i="2" s="1"/>
  <c r="G128" i="2"/>
  <c r="L128" i="2" s="1"/>
  <c r="G125" i="2"/>
  <c r="L125" i="2" s="1"/>
  <c r="G126" i="2"/>
  <c r="G122" i="2"/>
  <c r="L122" i="2" s="1"/>
  <c r="G115" i="2"/>
  <c r="L115" i="2" s="1"/>
  <c r="G119" i="2"/>
  <c r="L119" i="2" s="1"/>
  <c r="G120" i="2"/>
  <c r="L120" i="2" s="1"/>
  <c r="G100" i="2"/>
  <c r="L100" i="2" s="1"/>
  <c r="G96" i="2"/>
  <c r="L96" i="2" s="1"/>
  <c r="G98" i="2"/>
  <c r="L98" i="2" s="1"/>
  <c r="G87" i="2"/>
  <c r="L87" i="2" s="1"/>
  <c r="G73" i="2"/>
  <c r="L73" i="2" s="1"/>
  <c r="G66" i="2"/>
  <c r="L66" i="2" s="1"/>
  <c r="G68" i="2"/>
  <c r="L68" i="2" s="1"/>
  <c r="G51" i="2"/>
  <c r="L51" i="2" s="1"/>
  <c r="G52" i="2"/>
  <c r="L52" i="2" s="1"/>
  <c r="G54" i="2"/>
  <c r="L54" i="2" s="1"/>
  <c r="G8" i="2"/>
  <c r="K899" i="1"/>
  <c r="N961" i="1" a="1"/>
  <c r="N961" i="1" s="1"/>
  <c r="K1024" i="1"/>
  <c r="I1024" i="1"/>
  <c r="N963" i="1" a="1"/>
  <c r="N963" i="1" s="1"/>
  <c r="N964" i="1" a="1"/>
  <c r="N964" i="1" s="1"/>
  <c r="N965" i="1" a="1"/>
  <c r="N965" i="1" s="1"/>
  <c r="N966" i="1" a="1"/>
  <c r="N966" i="1" s="1"/>
  <c r="N967" i="1" a="1"/>
  <c r="N967" i="1" s="1"/>
  <c r="N968" i="1" a="1"/>
  <c r="N968" i="1" s="1"/>
  <c r="N969" i="1" a="1"/>
  <c r="N969" i="1" s="1"/>
  <c r="N970" i="1" a="1"/>
  <c r="N970" i="1" s="1"/>
  <c r="N971" i="1" a="1"/>
  <c r="N971" i="1" s="1"/>
  <c r="N972" i="1" a="1"/>
  <c r="N972" i="1" s="1"/>
  <c r="N973" i="1" a="1"/>
  <c r="N973" i="1" s="1"/>
  <c r="N974" i="1" a="1"/>
  <c r="N974" i="1" s="1"/>
  <c r="N975" i="1" a="1"/>
  <c r="N975" i="1" s="1"/>
  <c r="N976" i="1" a="1"/>
  <c r="N976" i="1" s="1"/>
  <c r="N977" i="1" a="1"/>
  <c r="N977" i="1" s="1"/>
  <c r="N978" i="1" a="1"/>
  <c r="N978" i="1" s="1"/>
  <c r="N979" i="1" a="1"/>
  <c r="N979" i="1" s="1"/>
  <c r="N1086" i="1" a="1"/>
  <c r="N1086" i="1" s="1"/>
  <c r="N1089" i="1" a="1"/>
  <c r="N1089" i="1" s="1"/>
  <c r="N1090" i="1" a="1"/>
  <c r="N1090" i="1" s="1"/>
  <c r="N1091" i="1" a="1"/>
  <c r="N1091" i="1" s="1"/>
  <c r="N1092" i="1" a="1"/>
  <c r="N1092" i="1" s="1"/>
  <c r="N1093" i="1" a="1"/>
  <c r="N1093" i="1" s="1"/>
  <c r="N1094" i="1" a="1"/>
  <c r="N1094" i="1" s="1"/>
  <c r="N1095" i="1" a="1"/>
  <c r="N1095" i="1" s="1"/>
  <c r="N1096" i="1" a="1"/>
  <c r="N1096" i="1" s="1"/>
  <c r="N992" i="1" a="1"/>
  <c r="N992" i="1" s="1"/>
  <c r="N993" i="1" a="1"/>
  <c r="N993" i="1" s="1"/>
  <c r="N994" i="1" a="1"/>
  <c r="N994" i="1" s="1"/>
  <c r="N995" i="1" a="1"/>
  <c r="N995" i="1" s="1"/>
  <c r="N996" i="1" a="1"/>
  <c r="N996" i="1" s="1"/>
  <c r="N997" i="1" a="1"/>
  <c r="N997" i="1" s="1"/>
  <c r="N998" i="1" a="1"/>
  <c r="N998" i="1" s="1"/>
  <c r="N999" i="1" a="1"/>
  <c r="N999" i="1" s="1"/>
  <c r="N1000" i="1" a="1"/>
  <c r="N1000" i="1" s="1"/>
  <c r="N1001" i="1" a="1"/>
  <c r="N1001" i="1" s="1"/>
  <c r="N1002" i="1" a="1"/>
  <c r="N1002" i="1" s="1"/>
  <c r="N1003" i="1" a="1"/>
  <c r="N1003" i="1" s="1"/>
  <c r="N1004" i="1" a="1"/>
  <c r="N1004" i="1" s="1"/>
  <c r="N1005" i="1" a="1"/>
  <c r="N1005" i="1" s="1"/>
  <c r="N1006" i="1" a="1"/>
  <c r="N1006" i="1" s="1"/>
  <c r="N1007" i="1" a="1"/>
  <c r="N1007" i="1" s="1"/>
  <c r="N1008" i="1" a="1"/>
  <c r="N1008" i="1" s="1"/>
  <c r="N1009" i="1" a="1"/>
  <c r="N1009" i="1" s="1"/>
  <c r="N1010" i="1" a="1"/>
  <c r="N1010" i="1" s="1"/>
  <c r="N1011" i="1" a="1"/>
  <c r="N1011" i="1" s="1"/>
  <c r="N1012" i="1" a="1"/>
  <c r="N1012" i="1" s="1"/>
  <c r="N1013" i="1" a="1"/>
  <c r="N1013" i="1" s="1"/>
  <c r="N1014" i="1" a="1"/>
  <c r="N1014" i="1" s="1"/>
  <c r="N1015" i="1" a="1"/>
  <c r="N1015" i="1" s="1"/>
  <c r="N1016" i="1" a="1"/>
  <c r="N1016" i="1" s="1"/>
  <c r="N1017" i="1" a="1"/>
  <c r="N1017" i="1" s="1"/>
  <c r="N1018" i="1" a="1"/>
  <c r="N1018" i="1" s="1"/>
  <c r="N1019" i="1" a="1"/>
  <c r="N1019" i="1" s="1"/>
  <c r="N1020" i="1" a="1"/>
  <c r="N1020" i="1" s="1"/>
  <c r="N1021" i="1" a="1"/>
  <c r="N1021" i="1" s="1"/>
  <c r="N1022" i="1" a="1"/>
  <c r="N1022" i="1" s="1"/>
  <c r="K904" i="1"/>
  <c r="K905" i="1"/>
  <c r="K908" i="1"/>
  <c r="K909" i="1"/>
  <c r="K906" i="1"/>
  <c r="K907" i="1"/>
  <c r="K910" i="1"/>
  <c r="K911" i="1"/>
  <c r="K912" i="1"/>
  <c r="K913" i="1"/>
  <c r="K914" i="1"/>
  <c r="K915" i="1"/>
  <c r="K916" i="1"/>
  <c r="K917" i="1"/>
  <c r="K918" i="1"/>
  <c r="K930" i="1"/>
  <c r="K931" i="1"/>
  <c r="K932" i="1"/>
  <c r="K933" i="1"/>
  <c r="K934" i="1"/>
  <c r="K954" i="1"/>
  <c r="K955" i="1"/>
  <c r="K935" i="1"/>
  <c r="K936" i="1"/>
  <c r="K937" i="1"/>
  <c r="K938" i="1"/>
  <c r="K939" i="1"/>
  <c r="K940" i="1"/>
  <c r="K941" i="1"/>
  <c r="K942" i="1"/>
  <c r="K943" i="1"/>
  <c r="K944" i="1"/>
  <c r="K956" i="1"/>
  <c r="K945" i="1"/>
  <c r="K946" i="1"/>
  <c r="K947" i="1"/>
  <c r="K948" i="1"/>
  <c r="K949" i="1"/>
  <c r="K950" i="1"/>
  <c r="K951" i="1"/>
  <c r="S110" i="2" s="1"/>
  <c r="K952" i="1"/>
  <c r="K953" i="1"/>
  <c r="K957" i="1"/>
  <c r="K958" i="1"/>
  <c r="K959" i="1"/>
  <c r="K960" i="1"/>
  <c r="K961" i="1"/>
  <c r="K962" i="1"/>
  <c r="K963" i="1"/>
  <c r="K964" i="1"/>
  <c r="K965" i="1"/>
  <c r="K969" i="1"/>
  <c r="K966" i="1"/>
  <c r="K967" i="1"/>
  <c r="K968" i="1"/>
  <c r="K970" i="1"/>
  <c r="G162" i="2" s="1"/>
  <c r="L162" i="2" s="1"/>
  <c r="K971" i="1"/>
  <c r="K972" i="1"/>
  <c r="K973" i="1"/>
  <c r="K974" i="1"/>
  <c r="K975" i="1"/>
  <c r="K976" i="1"/>
  <c r="S102" i="2" s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S59" i="2" s="1"/>
  <c r="K1014" i="1"/>
  <c r="K1017" i="1"/>
  <c r="K1018" i="1"/>
  <c r="K1019" i="1"/>
  <c r="K1020" i="1"/>
  <c r="K1021" i="1"/>
  <c r="K1022" i="1"/>
  <c r="K1023" i="1"/>
  <c r="I1023" i="1"/>
  <c r="I1022" i="1"/>
  <c r="I1021" i="1"/>
  <c r="I1020" i="1"/>
  <c r="I1019" i="1"/>
  <c r="I1018" i="1"/>
  <c r="I1017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8" i="1"/>
  <c r="I967" i="1"/>
  <c r="I966" i="1"/>
  <c r="I969" i="1"/>
  <c r="I965" i="1"/>
  <c r="I964" i="1"/>
  <c r="I963" i="1"/>
  <c r="I962" i="1"/>
  <c r="I961" i="1"/>
  <c r="I960" i="1"/>
  <c r="I959" i="1"/>
  <c r="I958" i="1"/>
  <c r="I957" i="1"/>
  <c r="I953" i="1"/>
  <c r="I952" i="1"/>
  <c r="I951" i="1"/>
  <c r="I950" i="1"/>
  <c r="I949" i="1"/>
  <c r="I948" i="1"/>
  <c r="I947" i="1"/>
  <c r="I946" i="1"/>
  <c r="I945" i="1"/>
  <c r="I956" i="1"/>
  <c r="I944" i="1"/>
  <c r="I943" i="1"/>
  <c r="I942" i="1"/>
  <c r="I941" i="1"/>
  <c r="I940" i="1"/>
  <c r="I939" i="1"/>
  <c r="I938" i="1"/>
  <c r="I937" i="1"/>
  <c r="I936" i="1"/>
  <c r="I935" i="1"/>
  <c r="I955" i="1"/>
  <c r="I954" i="1"/>
  <c r="I934" i="1"/>
  <c r="I933" i="1"/>
  <c r="I932" i="1"/>
  <c r="I931" i="1"/>
  <c r="I930" i="1"/>
  <c r="I918" i="1"/>
  <c r="I917" i="1"/>
  <c r="I916" i="1"/>
  <c r="I915" i="1"/>
  <c r="I914" i="1"/>
  <c r="I913" i="1"/>
  <c r="I912" i="1"/>
  <c r="I911" i="1"/>
  <c r="I910" i="1"/>
  <c r="I907" i="1"/>
  <c r="I906" i="1"/>
  <c r="I909" i="1"/>
  <c r="I908" i="1"/>
  <c r="I905" i="1"/>
  <c r="I904" i="1"/>
  <c r="N763" i="1" a="1"/>
  <c r="N763" i="1" s="1"/>
  <c r="N764" i="1" a="1"/>
  <c r="N764" i="1" s="1"/>
  <c r="N765" i="1" a="1"/>
  <c r="N765" i="1" s="1"/>
  <c r="N766" i="1" a="1"/>
  <c r="N766" i="1" s="1"/>
  <c r="N767" i="1" a="1"/>
  <c r="N767" i="1" s="1"/>
  <c r="N768" i="1" a="1"/>
  <c r="N768" i="1" s="1"/>
  <c r="N769" i="1" a="1"/>
  <c r="N769" i="1" s="1"/>
  <c r="N770" i="1" a="1"/>
  <c r="N770" i="1" s="1"/>
  <c r="N771" i="1" a="1"/>
  <c r="N771" i="1" s="1"/>
  <c r="N772" i="1" a="1"/>
  <c r="N772" i="1" s="1"/>
  <c r="N773" i="1" a="1"/>
  <c r="N773" i="1" s="1"/>
  <c r="N774" i="1" a="1"/>
  <c r="N774" i="1" s="1"/>
  <c r="N775" i="1" a="1"/>
  <c r="N775" i="1" s="1"/>
  <c r="N776" i="1" a="1"/>
  <c r="N776" i="1" s="1"/>
  <c r="N777" i="1" a="1"/>
  <c r="N777" i="1" s="1"/>
  <c r="N778" i="1" a="1"/>
  <c r="N778" i="1" s="1"/>
  <c r="N779" i="1" a="1"/>
  <c r="N779" i="1" s="1"/>
  <c r="N780" i="1" a="1"/>
  <c r="N780" i="1" s="1"/>
  <c r="N781" i="1" a="1"/>
  <c r="N781" i="1" s="1"/>
  <c r="N782" i="1" a="1"/>
  <c r="N782" i="1" s="1"/>
  <c r="N783" i="1" a="1"/>
  <c r="N783" i="1" s="1"/>
  <c r="N784" i="1" a="1"/>
  <c r="N784" i="1" s="1"/>
  <c r="N785" i="1" a="1"/>
  <c r="N785" i="1" s="1"/>
  <c r="N786" i="1" a="1"/>
  <c r="N786" i="1" s="1"/>
  <c r="N787" i="1" a="1"/>
  <c r="N787" i="1" s="1"/>
  <c r="N788" i="1" a="1"/>
  <c r="N788" i="1" s="1"/>
  <c r="N789" i="1" a="1"/>
  <c r="N789" i="1" s="1"/>
  <c r="N790" i="1" a="1"/>
  <c r="N790" i="1" s="1"/>
  <c r="N791" i="1" a="1"/>
  <c r="N791" i="1" s="1"/>
  <c r="N792" i="1" a="1"/>
  <c r="N792" i="1" s="1"/>
  <c r="N793" i="1" a="1"/>
  <c r="N793" i="1" s="1"/>
  <c r="N794" i="1" a="1"/>
  <c r="N794" i="1" s="1"/>
  <c r="N795" i="1" a="1"/>
  <c r="N795" i="1" s="1"/>
  <c r="N796" i="1" a="1"/>
  <c r="N796" i="1" s="1"/>
  <c r="N797" i="1" a="1"/>
  <c r="N797" i="1" s="1"/>
  <c r="N798" i="1" a="1"/>
  <c r="N798" i="1" s="1"/>
  <c r="N799" i="1" a="1"/>
  <c r="N799" i="1" s="1"/>
  <c r="N800" i="1" a="1"/>
  <c r="N800" i="1" s="1"/>
  <c r="N801" i="1" a="1"/>
  <c r="N801" i="1" s="1"/>
  <c r="N802" i="1" a="1"/>
  <c r="N802" i="1" s="1"/>
  <c r="N803" i="1" a="1"/>
  <c r="N803" i="1" s="1"/>
  <c r="N804" i="1" a="1"/>
  <c r="N804" i="1" s="1"/>
  <c r="N805" i="1" a="1"/>
  <c r="N805" i="1" s="1"/>
  <c r="N806" i="1" a="1"/>
  <c r="N806" i="1" s="1"/>
  <c r="N807" i="1" a="1"/>
  <c r="N807" i="1" s="1"/>
  <c r="N808" i="1" a="1"/>
  <c r="N808" i="1" s="1"/>
  <c r="N809" i="1" a="1"/>
  <c r="N809" i="1" s="1"/>
  <c r="N810" i="1" a="1"/>
  <c r="N810" i="1" s="1"/>
  <c r="N811" i="1" a="1"/>
  <c r="N811" i="1" s="1"/>
  <c r="N812" i="1" a="1"/>
  <c r="N812" i="1" s="1"/>
  <c r="N813" i="1" a="1"/>
  <c r="N813" i="1" s="1"/>
  <c r="N814" i="1" a="1"/>
  <c r="N814" i="1" s="1"/>
  <c r="N815" i="1" a="1"/>
  <c r="N815" i="1" s="1"/>
  <c r="N816" i="1" a="1"/>
  <c r="N816" i="1" s="1"/>
  <c r="N817" i="1" a="1"/>
  <c r="N817" i="1" s="1"/>
  <c r="N818" i="1" a="1"/>
  <c r="N818" i="1" s="1"/>
  <c r="N819" i="1" a="1"/>
  <c r="N819" i="1" s="1"/>
  <c r="N820" i="1" a="1"/>
  <c r="N820" i="1" s="1"/>
  <c r="N821" i="1" a="1"/>
  <c r="N821" i="1" s="1"/>
  <c r="N822" i="1" a="1"/>
  <c r="N822" i="1" s="1"/>
  <c r="N823" i="1" a="1"/>
  <c r="N823" i="1" s="1"/>
  <c r="N824" i="1" a="1"/>
  <c r="N824" i="1" s="1"/>
  <c r="N825" i="1" a="1"/>
  <c r="N825" i="1" s="1"/>
  <c r="N826" i="1" a="1"/>
  <c r="N826" i="1" s="1"/>
  <c r="N827" i="1" a="1"/>
  <c r="N827" i="1" s="1"/>
  <c r="N828" i="1" a="1"/>
  <c r="N828" i="1" s="1"/>
  <c r="N829" i="1" a="1"/>
  <c r="N829" i="1" s="1"/>
  <c r="N830" i="1" a="1"/>
  <c r="N830" i="1" s="1"/>
  <c r="N831" i="1" a="1"/>
  <c r="N831" i="1" s="1"/>
  <c r="N832" i="1" a="1"/>
  <c r="N832" i="1" s="1"/>
  <c r="N833" i="1" a="1"/>
  <c r="N833" i="1" s="1"/>
  <c r="N834" i="1" a="1"/>
  <c r="N834" i="1" s="1"/>
  <c r="N835" i="1" a="1"/>
  <c r="N835" i="1" s="1"/>
  <c r="N836" i="1" a="1"/>
  <c r="N836" i="1" s="1"/>
  <c r="N837" i="1" a="1"/>
  <c r="N837" i="1" s="1"/>
  <c r="N838" i="1" a="1"/>
  <c r="N838" i="1" s="1"/>
  <c r="N839" i="1" a="1"/>
  <c r="N839" i="1" s="1"/>
  <c r="N840" i="1" a="1"/>
  <c r="N840" i="1" s="1"/>
  <c r="N841" i="1" a="1"/>
  <c r="N841" i="1" s="1"/>
  <c r="N842" i="1" a="1"/>
  <c r="N842" i="1" s="1"/>
  <c r="N843" i="1" a="1"/>
  <c r="N843" i="1" s="1"/>
  <c r="N844" i="1" a="1"/>
  <c r="N844" i="1" s="1"/>
  <c r="N845" i="1" a="1"/>
  <c r="N845" i="1" s="1"/>
  <c r="N846" i="1" a="1"/>
  <c r="N846" i="1" s="1"/>
  <c r="N847" i="1" a="1"/>
  <c r="N847" i="1" s="1"/>
  <c r="N848" i="1" a="1"/>
  <c r="N848" i="1" s="1"/>
  <c r="N849" i="1" a="1"/>
  <c r="N849" i="1" s="1"/>
  <c r="N850" i="1" a="1"/>
  <c r="N850" i="1" s="1"/>
  <c r="N851" i="1" a="1"/>
  <c r="N851" i="1" s="1"/>
  <c r="N852" i="1" a="1"/>
  <c r="N852" i="1" s="1"/>
  <c r="N854" i="1" a="1"/>
  <c r="N854" i="1" s="1"/>
  <c r="N855" i="1" a="1"/>
  <c r="N855" i="1" s="1"/>
  <c r="N856" i="1" a="1"/>
  <c r="N856" i="1" s="1"/>
  <c r="N857" i="1" a="1"/>
  <c r="N857" i="1" s="1"/>
  <c r="N858" i="1" a="1"/>
  <c r="N858" i="1" s="1"/>
  <c r="N859" i="1" a="1"/>
  <c r="N859" i="1" s="1"/>
  <c r="N860" i="1" a="1"/>
  <c r="N860" i="1" s="1"/>
  <c r="N861" i="1" a="1"/>
  <c r="N861" i="1" s="1"/>
  <c r="N862" i="1" a="1"/>
  <c r="N862" i="1" s="1"/>
  <c r="N863" i="1" a="1"/>
  <c r="N863" i="1" s="1"/>
  <c r="N864" i="1" a="1"/>
  <c r="N864" i="1" s="1"/>
  <c r="N865" i="1" a="1"/>
  <c r="N865" i="1" s="1"/>
  <c r="N866" i="1" a="1"/>
  <c r="N866" i="1" s="1"/>
  <c r="N867" i="1" a="1"/>
  <c r="N867" i="1" s="1"/>
  <c r="N868" i="1" a="1"/>
  <c r="N868" i="1" s="1"/>
  <c r="N869" i="1" a="1"/>
  <c r="N869" i="1" s="1"/>
  <c r="N870" i="1" a="1"/>
  <c r="N870" i="1" s="1"/>
  <c r="N871" i="1" a="1"/>
  <c r="N871" i="1" s="1"/>
  <c r="N872" i="1" a="1"/>
  <c r="N872" i="1" s="1"/>
  <c r="N873" i="1" a="1"/>
  <c r="N873" i="1" s="1"/>
  <c r="N874" i="1" a="1"/>
  <c r="N874" i="1" s="1"/>
  <c r="N875" i="1" a="1"/>
  <c r="N875" i="1" s="1"/>
  <c r="N876" i="1" a="1"/>
  <c r="N876" i="1" s="1"/>
  <c r="N877" i="1" a="1"/>
  <c r="N877" i="1" s="1"/>
  <c r="N878" i="1" a="1"/>
  <c r="N878" i="1" s="1"/>
  <c r="N879" i="1" a="1"/>
  <c r="N879" i="1" s="1"/>
  <c r="N880" i="1" a="1"/>
  <c r="N880" i="1" s="1"/>
  <c r="N881" i="1" a="1"/>
  <c r="N881" i="1" s="1"/>
  <c r="N882" i="1" a="1"/>
  <c r="N882" i="1" s="1"/>
  <c r="N883" i="1" a="1"/>
  <c r="N883" i="1" s="1"/>
  <c r="N884" i="1" a="1"/>
  <c r="N884" i="1" s="1"/>
  <c r="N885" i="1" a="1"/>
  <c r="N885" i="1" s="1"/>
  <c r="N886" i="1" a="1"/>
  <c r="N886" i="1" s="1"/>
  <c r="N887" i="1" a="1"/>
  <c r="N887" i="1" s="1"/>
  <c r="N888" i="1" a="1"/>
  <c r="N888" i="1" s="1"/>
  <c r="N889" i="1" a="1"/>
  <c r="N889" i="1" s="1"/>
  <c r="N890" i="1" a="1"/>
  <c r="N890" i="1" s="1"/>
  <c r="N891" i="1" a="1"/>
  <c r="N891" i="1" s="1"/>
  <c r="N892" i="1" a="1"/>
  <c r="N892" i="1" s="1"/>
  <c r="N893" i="1" a="1"/>
  <c r="N893" i="1" s="1"/>
  <c r="N894" i="1" a="1"/>
  <c r="N894" i="1" s="1"/>
  <c r="N895" i="1" a="1"/>
  <c r="N895" i="1" s="1"/>
  <c r="N896" i="1" a="1"/>
  <c r="N896" i="1" s="1"/>
  <c r="N897" i="1" a="1"/>
  <c r="N897" i="1" s="1"/>
  <c r="N898" i="1" a="1"/>
  <c r="N898" i="1" s="1"/>
  <c r="N899" i="1" a="1"/>
  <c r="N899" i="1" s="1"/>
  <c r="N900" i="1" a="1"/>
  <c r="N900" i="1" s="1"/>
  <c r="N901" i="1" a="1"/>
  <c r="N901" i="1" s="1"/>
  <c r="N902" i="1" a="1"/>
  <c r="N902" i="1" s="1"/>
  <c r="N903" i="1" a="1"/>
  <c r="N903" i="1" s="1"/>
  <c r="N904" i="1" a="1"/>
  <c r="N904" i="1" s="1"/>
  <c r="N905" i="1" a="1"/>
  <c r="N905" i="1" s="1"/>
  <c r="N906" i="1" a="1"/>
  <c r="N906" i="1" s="1"/>
  <c r="N907" i="1" a="1"/>
  <c r="N907" i="1" s="1"/>
  <c r="N908" i="1" a="1"/>
  <c r="N908" i="1" s="1"/>
  <c r="N909" i="1" a="1"/>
  <c r="N909" i="1" s="1"/>
  <c r="N910" i="1" a="1"/>
  <c r="N910" i="1" s="1"/>
  <c r="N911" i="1" a="1"/>
  <c r="N911" i="1" s="1"/>
  <c r="N912" i="1" a="1"/>
  <c r="N912" i="1" s="1"/>
  <c r="N913" i="1" a="1"/>
  <c r="N913" i="1" s="1"/>
  <c r="N914" i="1" a="1"/>
  <c r="N914" i="1" s="1"/>
  <c r="N915" i="1" a="1"/>
  <c r="N915" i="1" s="1"/>
  <c r="N916" i="1" a="1"/>
  <c r="N916" i="1" s="1"/>
  <c r="N917" i="1" a="1"/>
  <c r="N917" i="1" s="1"/>
  <c r="N918" i="1" a="1"/>
  <c r="N918" i="1" s="1"/>
  <c r="N919" i="1" a="1"/>
  <c r="N919" i="1" s="1"/>
  <c r="N920" i="1" a="1"/>
  <c r="N920" i="1" s="1"/>
  <c r="N921" i="1" a="1"/>
  <c r="N921" i="1" s="1"/>
  <c r="N922" i="1" a="1"/>
  <c r="N922" i="1" s="1"/>
  <c r="N923" i="1" a="1"/>
  <c r="N923" i="1" s="1"/>
  <c r="N924" i="1" a="1"/>
  <c r="N924" i="1" s="1"/>
  <c r="N925" i="1" a="1"/>
  <c r="N925" i="1" s="1"/>
  <c r="N926" i="1" a="1"/>
  <c r="N926" i="1" s="1"/>
  <c r="N927" i="1" a="1"/>
  <c r="N927" i="1" s="1"/>
  <c r="N928" i="1" a="1"/>
  <c r="N928" i="1" s="1"/>
  <c r="N929" i="1" a="1"/>
  <c r="N929" i="1" s="1"/>
  <c r="N930" i="1" a="1"/>
  <c r="N930" i="1" s="1"/>
  <c r="N931" i="1" a="1"/>
  <c r="N931" i="1" s="1"/>
  <c r="N932" i="1" a="1"/>
  <c r="N932" i="1" s="1"/>
  <c r="N933" i="1" a="1"/>
  <c r="N933" i="1" s="1"/>
  <c r="N934" i="1" a="1"/>
  <c r="N934" i="1" s="1"/>
  <c r="N935" i="1" a="1"/>
  <c r="N935" i="1" s="1"/>
  <c r="N936" i="1" a="1"/>
  <c r="N936" i="1" s="1"/>
  <c r="N937" i="1" a="1"/>
  <c r="N937" i="1" s="1"/>
  <c r="N938" i="1" a="1"/>
  <c r="N938" i="1" s="1"/>
  <c r="N939" i="1" a="1"/>
  <c r="N939" i="1" s="1"/>
  <c r="N940" i="1" a="1"/>
  <c r="N940" i="1" s="1"/>
  <c r="N941" i="1" a="1"/>
  <c r="N941" i="1" s="1"/>
  <c r="N942" i="1" a="1"/>
  <c r="N942" i="1" s="1"/>
  <c r="N943" i="1" a="1"/>
  <c r="N943" i="1" s="1"/>
  <c r="N944" i="1" a="1"/>
  <c r="N944" i="1" s="1"/>
  <c r="N945" i="1" a="1"/>
  <c r="N945" i="1" s="1"/>
  <c r="N946" i="1" a="1"/>
  <c r="N946" i="1" s="1"/>
  <c r="N947" i="1" a="1"/>
  <c r="N947" i="1" s="1"/>
  <c r="N948" i="1" a="1"/>
  <c r="N948" i="1" s="1"/>
  <c r="N949" i="1" a="1"/>
  <c r="N949" i="1" s="1"/>
  <c r="N950" i="1" a="1"/>
  <c r="N950" i="1" s="1"/>
  <c r="N951" i="1" a="1"/>
  <c r="N951" i="1" s="1"/>
  <c r="N952" i="1" a="1"/>
  <c r="N952" i="1" s="1"/>
  <c r="N953" i="1" a="1"/>
  <c r="N953" i="1" s="1"/>
  <c r="N954" i="1" a="1"/>
  <c r="N954" i="1" s="1"/>
  <c r="N955" i="1" a="1"/>
  <c r="N955" i="1" s="1"/>
  <c r="N956" i="1" a="1"/>
  <c r="N956" i="1" s="1"/>
  <c r="N957" i="1" a="1"/>
  <c r="N957" i="1" s="1"/>
  <c r="N958" i="1" a="1"/>
  <c r="N958" i="1" s="1"/>
  <c r="N959" i="1" a="1"/>
  <c r="N959" i="1" s="1"/>
  <c r="N960" i="1" a="1"/>
  <c r="N960" i="1" s="1"/>
  <c r="N962" i="1" a="1"/>
  <c r="N962" i="1" s="1"/>
  <c r="J16" i="5"/>
  <c r="K903" i="1"/>
  <c r="K902" i="1"/>
  <c r="K901" i="1"/>
  <c r="K900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5" i="1"/>
  <c r="K874" i="1"/>
  <c r="K873" i="1"/>
  <c r="K872" i="1"/>
  <c r="K871" i="1"/>
  <c r="K870" i="1"/>
  <c r="K869" i="1"/>
  <c r="K868" i="1"/>
  <c r="K867" i="1"/>
  <c r="K861" i="1"/>
  <c r="K866" i="1"/>
  <c r="K860" i="1"/>
  <c r="K859" i="1"/>
  <c r="K858" i="1"/>
  <c r="K857" i="1"/>
  <c r="K865" i="1"/>
  <c r="K856" i="1"/>
  <c r="K855" i="1"/>
  <c r="K864" i="1"/>
  <c r="K854" i="1"/>
  <c r="K853" i="1"/>
  <c r="K852" i="1"/>
  <c r="K863" i="1"/>
  <c r="K851" i="1"/>
  <c r="K850" i="1"/>
  <c r="K849" i="1"/>
  <c r="K848" i="1"/>
  <c r="K847" i="1"/>
  <c r="K846" i="1"/>
  <c r="K845" i="1"/>
  <c r="S116" i="2" s="1"/>
  <c r="K844" i="1"/>
  <c r="K843" i="1"/>
  <c r="K842" i="1"/>
  <c r="K841" i="1"/>
  <c r="K840" i="1"/>
  <c r="K839" i="1"/>
  <c r="K838" i="1"/>
  <c r="K837" i="1"/>
  <c r="K862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0" i="1"/>
  <c r="K799" i="1"/>
  <c r="K798" i="1"/>
  <c r="K807" i="1"/>
  <c r="K806" i="1"/>
  <c r="K805" i="1"/>
  <c r="K797" i="1"/>
  <c r="K796" i="1"/>
  <c r="K795" i="1"/>
  <c r="K804" i="1"/>
  <c r="K794" i="1"/>
  <c r="K803" i="1"/>
  <c r="K802" i="1"/>
  <c r="K801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75" i="1"/>
  <c r="K774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73" i="1"/>
  <c r="K772" i="1"/>
  <c r="K740" i="1"/>
  <c r="K739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38" i="1"/>
  <c r="K720" i="1"/>
  <c r="K719" i="1"/>
  <c r="K718" i="1"/>
  <c r="K717" i="1"/>
  <c r="K716" i="1"/>
  <c r="K715" i="1"/>
  <c r="K714" i="1"/>
  <c r="K713" i="1"/>
  <c r="K712" i="1"/>
  <c r="K711" i="1"/>
  <c r="K710" i="1"/>
  <c r="I764" i="1"/>
  <c r="I765" i="1"/>
  <c r="I766" i="1"/>
  <c r="I767" i="1"/>
  <c r="I768" i="1"/>
  <c r="I769" i="1"/>
  <c r="I770" i="1"/>
  <c r="I771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801" i="1"/>
  <c r="I802" i="1"/>
  <c r="I803" i="1"/>
  <c r="I794" i="1"/>
  <c r="I804" i="1"/>
  <c r="I795" i="1"/>
  <c r="I796" i="1"/>
  <c r="I797" i="1"/>
  <c r="I805" i="1"/>
  <c r="I806" i="1"/>
  <c r="I807" i="1"/>
  <c r="I798" i="1"/>
  <c r="I799" i="1"/>
  <c r="I800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62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63" i="1"/>
  <c r="I852" i="1"/>
  <c r="I853" i="1"/>
  <c r="I854" i="1"/>
  <c r="I864" i="1"/>
  <c r="I855" i="1"/>
  <c r="I856" i="1"/>
  <c r="I865" i="1"/>
  <c r="I857" i="1"/>
  <c r="I858" i="1"/>
  <c r="I859" i="1"/>
  <c r="I860" i="1"/>
  <c r="I866" i="1"/>
  <c r="I861" i="1"/>
  <c r="I867" i="1"/>
  <c r="I868" i="1"/>
  <c r="I869" i="1"/>
  <c r="I870" i="1"/>
  <c r="I871" i="1"/>
  <c r="I872" i="1"/>
  <c r="I873" i="1"/>
  <c r="I874" i="1"/>
  <c r="I875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H6" i="4"/>
  <c r="F6" i="4"/>
  <c r="G56" i="4"/>
  <c r="G38" i="4"/>
  <c r="H33" i="4"/>
  <c r="G29" i="4"/>
  <c r="H25" i="4"/>
  <c r="G24" i="4"/>
  <c r="J24" i="4" s="1"/>
  <c r="H14" i="4"/>
  <c r="H10" i="4"/>
  <c r="H8" i="4"/>
  <c r="H5" i="4"/>
  <c r="G3" i="4"/>
  <c r="A327" i="7"/>
  <c r="C335" i="7"/>
  <c r="B335" i="7"/>
  <c r="C121" i="7"/>
  <c r="B121" i="7"/>
  <c r="C49" i="7"/>
  <c r="B49" i="7"/>
  <c r="G17" i="5"/>
  <c r="G18" i="5"/>
  <c r="G19" i="5"/>
  <c r="G20" i="5"/>
  <c r="G21" i="5"/>
  <c r="G22" i="5"/>
  <c r="G23" i="5"/>
  <c r="D17" i="5"/>
  <c r="D18" i="5"/>
  <c r="D19" i="5"/>
  <c r="D20" i="5"/>
  <c r="D21" i="5"/>
  <c r="D22" i="5"/>
  <c r="D23" i="5"/>
  <c r="C3" i="4"/>
  <c r="M44" i="4" l="1"/>
  <c r="P44" i="4" s="1"/>
  <c r="P42" i="4"/>
  <c r="O40" i="4"/>
  <c r="P50" i="4"/>
  <c r="N53" i="4"/>
  <c r="P53" i="4"/>
  <c r="N42" i="4"/>
  <c r="K44" i="4"/>
  <c r="N44" i="4" s="1"/>
  <c r="L12" i="5"/>
  <c r="G117" i="17"/>
  <c r="D405" i="7"/>
  <c r="E406" i="7"/>
  <c r="F407" i="7" s="1"/>
  <c r="F85" i="17"/>
  <c r="C406" i="7"/>
  <c r="C407" i="7" s="1"/>
  <c r="D85" i="17"/>
  <c r="D399" i="7"/>
  <c r="B406" i="7"/>
  <c r="C85" i="17"/>
  <c r="C117" i="17" s="1"/>
  <c r="H65" i="17"/>
  <c r="H121" i="17"/>
  <c r="H115" i="17"/>
  <c r="G599" i="7"/>
  <c r="G509" i="7"/>
  <c r="C92" i="17"/>
  <c r="F333" i="7"/>
  <c r="S16" i="4"/>
  <c r="N16" i="4"/>
  <c r="L43" i="4"/>
  <c r="E92" i="17"/>
  <c r="E328" i="7"/>
  <c r="L11" i="4"/>
  <c r="J11" i="4"/>
  <c r="Q40" i="6"/>
  <c r="E24" i="7"/>
  <c r="F14" i="17"/>
  <c r="F15" i="17" s="1"/>
  <c r="G571" i="7"/>
  <c r="H127" i="17"/>
  <c r="R171" i="2"/>
  <c r="G76" i="17"/>
  <c r="G81" i="17" s="1"/>
  <c r="G82" i="17" s="1"/>
  <c r="R126" i="2"/>
  <c r="S117" i="2"/>
  <c r="T117" i="2" s="1"/>
  <c r="P157" i="2"/>
  <c r="Q157" i="2" s="1"/>
  <c r="S157" i="2"/>
  <c r="T116" i="2"/>
  <c r="T59" i="2"/>
  <c r="T102" i="2"/>
  <c r="T110" i="2"/>
  <c r="T101" i="2"/>
  <c r="U126" i="2"/>
  <c r="T126" i="2"/>
  <c r="G122" i="7"/>
  <c r="Q39" i="6"/>
  <c r="G455" i="7"/>
  <c r="G51" i="7"/>
  <c r="G110" i="2"/>
  <c r="P110" i="2"/>
  <c r="U110" i="2" s="1"/>
  <c r="D110" i="2"/>
  <c r="B110" i="2"/>
  <c r="M110" i="2"/>
  <c r="J110" i="2"/>
  <c r="F612" i="7"/>
  <c r="F614" i="7" s="1"/>
  <c r="F615" i="7" s="1"/>
  <c r="F189" i="7"/>
  <c r="I14" i="6"/>
  <c r="L8" i="2"/>
  <c r="F549" i="7"/>
  <c r="N50" i="4"/>
  <c r="P117" i="2"/>
  <c r="M116" i="2"/>
  <c r="N116" i="2" s="1"/>
  <c r="P116" i="2"/>
  <c r="M59" i="2"/>
  <c r="N59" i="2" s="1"/>
  <c r="P59" i="2"/>
  <c r="M102" i="2"/>
  <c r="N102" i="2" s="1"/>
  <c r="P102" i="2"/>
  <c r="M112" i="2"/>
  <c r="N112" i="2" s="1"/>
  <c r="P112" i="2"/>
  <c r="G101" i="2"/>
  <c r="P101" i="2"/>
  <c r="U101" i="2" s="1"/>
  <c r="B416" i="7"/>
  <c r="B611" i="7"/>
  <c r="N32" i="4"/>
  <c r="N31" i="4"/>
  <c r="D611" i="7"/>
  <c r="F24" i="7"/>
  <c r="G25" i="7" s="1"/>
  <c r="S10" i="6"/>
  <c r="Q25" i="6"/>
  <c r="R23" i="6"/>
  <c r="F365" i="7"/>
  <c r="E547" i="7"/>
  <c r="M117" i="2"/>
  <c r="J117" i="2"/>
  <c r="G117" i="2"/>
  <c r="D117" i="2"/>
  <c r="B117" i="2"/>
  <c r="N171" i="2"/>
  <c r="G300" i="7" s="1"/>
  <c r="G301" i="7" s="1"/>
  <c r="F246" i="7"/>
  <c r="F300" i="7" s="1"/>
  <c r="F301" i="7" s="1"/>
  <c r="E548" i="7"/>
  <c r="O10" i="6"/>
  <c r="P10" i="6"/>
  <c r="K18" i="4"/>
  <c r="G112" i="17" s="1"/>
  <c r="K49" i="4"/>
  <c r="O171" i="2"/>
  <c r="M118" i="2"/>
  <c r="J157" i="2"/>
  <c r="K157" i="2" s="1"/>
  <c r="M157" i="2"/>
  <c r="L126" i="2"/>
  <c r="J101" i="2"/>
  <c r="M101" i="2"/>
  <c r="N126" i="2"/>
  <c r="O126" i="2"/>
  <c r="D394" i="7"/>
  <c r="E394" i="7"/>
  <c r="L10" i="6"/>
  <c r="J118" i="2"/>
  <c r="K118" i="2" s="1"/>
  <c r="K171" i="2"/>
  <c r="E246" i="7"/>
  <c r="E300" i="7" s="1"/>
  <c r="E301" i="7" s="1"/>
  <c r="G116" i="2"/>
  <c r="J116" i="2"/>
  <c r="K116" i="2" s="1"/>
  <c r="G59" i="2"/>
  <c r="J59" i="2"/>
  <c r="K59" i="2" s="1"/>
  <c r="G102" i="2"/>
  <c r="J102" i="2"/>
  <c r="K102" i="2" s="1"/>
  <c r="G112" i="2"/>
  <c r="J112" i="2"/>
  <c r="I42" i="4"/>
  <c r="L42" i="4" s="1"/>
  <c r="J3" i="4"/>
  <c r="D53" i="4"/>
  <c r="D364" i="7"/>
  <c r="D12" i="5"/>
  <c r="C12" i="5" s="1"/>
  <c r="H12" i="5"/>
  <c r="J25" i="5"/>
  <c r="I25" i="5" s="1"/>
  <c r="J6" i="5"/>
  <c r="D401" i="7"/>
  <c r="D398" i="7"/>
  <c r="J3" i="5"/>
  <c r="G12" i="5"/>
  <c r="F12" i="5" s="1"/>
  <c r="J10" i="5"/>
  <c r="H10" i="6"/>
  <c r="E14" i="17" s="1"/>
  <c r="E15" i="17" s="1"/>
  <c r="D21" i="7"/>
  <c r="P692" i="1"/>
  <c r="I38" i="5"/>
  <c r="D320" i="7"/>
  <c r="D416" i="7"/>
  <c r="I5" i="6"/>
  <c r="G13" i="4"/>
  <c r="E104" i="17" s="1"/>
  <c r="D332" i="7"/>
  <c r="H17" i="4"/>
  <c r="D334" i="7"/>
  <c r="B112" i="2"/>
  <c r="D112" i="2"/>
  <c r="G118" i="2"/>
  <c r="G157" i="2"/>
  <c r="B157" i="2"/>
  <c r="D157" i="2"/>
  <c r="G43" i="4"/>
  <c r="J43" i="4" s="1"/>
  <c r="G34" i="4"/>
  <c r="C34" i="4"/>
  <c r="E32" i="4" s="1"/>
  <c r="E4" i="4"/>
  <c r="C85" i="7"/>
  <c r="B85" i="7"/>
  <c r="C23" i="7"/>
  <c r="B23" i="7"/>
  <c r="A570" i="7"/>
  <c r="C419" i="7"/>
  <c r="C334" i="7"/>
  <c r="C331" i="7"/>
  <c r="C325" i="7"/>
  <c r="C323" i="7"/>
  <c r="C322" i="7"/>
  <c r="G35" i="6"/>
  <c r="F35" i="6"/>
  <c r="D35" i="6"/>
  <c r="D162" i="2"/>
  <c r="N362" i="1" a="1"/>
  <c r="N362" i="1" s="1"/>
  <c r="N363" i="1" a="1"/>
  <c r="N363" i="1" s="1"/>
  <c r="N364" i="1" a="1"/>
  <c r="N364" i="1" s="1"/>
  <c r="N365" i="1" a="1"/>
  <c r="N365" i="1" s="1"/>
  <c r="N366" i="1" a="1"/>
  <c r="N366" i="1" s="1"/>
  <c r="N367" i="1" a="1"/>
  <c r="N367" i="1" s="1"/>
  <c r="N368" i="1" a="1"/>
  <c r="N368" i="1" s="1"/>
  <c r="N369" i="1" a="1"/>
  <c r="N369" i="1" s="1"/>
  <c r="N370" i="1" a="1"/>
  <c r="N370" i="1" s="1"/>
  <c r="N371" i="1" a="1"/>
  <c r="N371" i="1" s="1"/>
  <c r="N372" i="1" a="1"/>
  <c r="N372" i="1" s="1"/>
  <c r="N373" i="1" a="1"/>
  <c r="N373" i="1" s="1"/>
  <c r="N374" i="1" a="1"/>
  <c r="N374" i="1" s="1"/>
  <c r="N375" i="1" a="1"/>
  <c r="N375" i="1" s="1"/>
  <c r="N376" i="1" a="1"/>
  <c r="N376" i="1" s="1"/>
  <c r="N377" i="1" a="1"/>
  <c r="N377" i="1" s="1"/>
  <c r="N378" i="1" a="1"/>
  <c r="N378" i="1" s="1"/>
  <c r="N379" i="1" a="1"/>
  <c r="N379" i="1" s="1"/>
  <c r="N380" i="1" a="1"/>
  <c r="N380" i="1" s="1"/>
  <c r="N381" i="1" a="1"/>
  <c r="N381" i="1" s="1"/>
  <c r="N382" i="1" a="1"/>
  <c r="N382" i="1" s="1"/>
  <c r="N383" i="1" a="1"/>
  <c r="N383" i="1" s="1"/>
  <c r="N384" i="1" a="1"/>
  <c r="N384" i="1" s="1"/>
  <c r="N385" i="1" a="1"/>
  <c r="N385" i="1" s="1"/>
  <c r="N386" i="1" a="1"/>
  <c r="N386" i="1" s="1"/>
  <c r="N387" i="1" a="1"/>
  <c r="N387" i="1" s="1"/>
  <c r="N388" i="1" a="1"/>
  <c r="N388" i="1" s="1"/>
  <c r="N389" i="1" a="1"/>
  <c r="N389" i="1" s="1"/>
  <c r="N390" i="1" a="1"/>
  <c r="N390" i="1" s="1"/>
  <c r="N391" i="1" a="1"/>
  <c r="N391" i="1" s="1"/>
  <c r="N392" i="1" a="1"/>
  <c r="N392" i="1" s="1"/>
  <c r="N393" i="1" a="1"/>
  <c r="N393" i="1" s="1"/>
  <c r="N394" i="1" a="1"/>
  <c r="N394" i="1" s="1"/>
  <c r="N395" i="1" a="1"/>
  <c r="N395" i="1" s="1"/>
  <c r="N396" i="1" a="1"/>
  <c r="N396" i="1" s="1"/>
  <c r="N397" i="1" a="1"/>
  <c r="N397" i="1" s="1"/>
  <c r="N398" i="1" a="1"/>
  <c r="N398" i="1" s="1"/>
  <c r="N399" i="1" a="1"/>
  <c r="N399" i="1" s="1"/>
  <c r="N400" i="1" a="1"/>
  <c r="N400" i="1" s="1"/>
  <c r="N401" i="1" a="1"/>
  <c r="N401" i="1" s="1"/>
  <c r="N402" i="1" a="1"/>
  <c r="N402" i="1" s="1"/>
  <c r="N403" i="1" a="1"/>
  <c r="N403" i="1" s="1"/>
  <c r="N404" i="1" a="1"/>
  <c r="N404" i="1" s="1"/>
  <c r="N405" i="1" a="1"/>
  <c r="N405" i="1" s="1"/>
  <c r="N406" i="1" a="1"/>
  <c r="N406" i="1" s="1"/>
  <c r="N407" i="1" a="1"/>
  <c r="N407" i="1" s="1"/>
  <c r="N408" i="1" a="1"/>
  <c r="N408" i="1" s="1"/>
  <c r="N409" i="1" a="1"/>
  <c r="N409" i="1" s="1"/>
  <c r="N410" i="1" a="1"/>
  <c r="N410" i="1" s="1"/>
  <c r="N411" i="1" a="1"/>
  <c r="N411" i="1" s="1"/>
  <c r="N412" i="1" a="1"/>
  <c r="N412" i="1" s="1"/>
  <c r="N413" i="1" a="1"/>
  <c r="N413" i="1" s="1"/>
  <c r="N414" i="1" a="1"/>
  <c r="N414" i="1" s="1"/>
  <c r="N415" i="1" a="1"/>
  <c r="N415" i="1" s="1"/>
  <c r="N416" i="1" a="1"/>
  <c r="N416" i="1" s="1"/>
  <c r="N417" i="1" a="1"/>
  <c r="N417" i="1" s="1"/>
  <c r="N418" i="1" a="1"/>
  <c r="N418" i="1" s="1"/>
  <c r="N419" i="1" a="1"/>
  <c r="N419" i="1" s="1"/>
  <c r="N420" i="1" a="1"/>
  <c r="N420" i="1" s="1"/>
  <c r="N421" i="1" a="1"/>
  <c r="N421" i="1" s="1"/>
  <c r="N422" i="1" a="1"/>
  <c r="N422" i="1" s="1"/>
  <c r="N423" i="1" a="1"/>
  <c r="N423" i="1" s="1"/>
  <c r="N424" i="1" a="1"/>
  <c r="N424" i="1" s="1"/>
  <c r="N425" i="1" a="1"/>
  <c r="N425" i="1" s="1"/>
  <c r="N426" i="1" a="1"/>
  <c r="N426" i="1" s="1"/>
  <c r="N427" i="1" a="1"/>
  <c r="N427" i="1" s="1"/>
  <c r="N428" i="1" a="1"/>
  <c r="N428" i="1" s="1"/>
  <c r="N429" i="1" a="1"/>
  <c r="N429" i="1" s="1"/>
  <c r="N430" i="1" a="1"/>
  <c r="N430" i="1" s="1"/>
  <c r="N431" i="1" a="1"/>
  <c r="N431" i="1" s="1"/>
  <c r="N432" i="1" a="1"/>
  <c r="N432" i="1" s="1"/>
  <c r="N433" i="1" a="1"/>
  <c r="N433" i="1" s="1"/>
  <c r="N434" i="1" a="1"/>
  <c r="N434" i="1" s="1"/>
  <c r="N435" i="1" a="1"/>
  <c r="N435" i="1" s="1"/>
  <c r="N436" i="1" a="1"/>
  <c r="N436" i="1" s="1"/>
  <c r="N437" i="1" a="1"/>
  <c r="N437" i="1" s="1"/>
  <c r="N438" i="1" a="1"/>
  <c r="N438" i="1" s="1"/>
  <c r="N439" i="1" a="1"/>
  <c r="N439" i="1" s="1"/>
  <c r="N440" i="1" a="1"/>
  <c r="N440" i="1" s="1"/>
  <c r="N441" i="1" a="1"/>
  <c r="N441" i="1" s="1"/>
  <c r="N442" i="1" a="1"/>
  <c r="N442" i="1" s="1"/>
  <c r="N443" i="1" a="1"/>
  <c r="N443" i="1" s="1"/>
  <c r="N444" i="1" a="1"/>
  <c r="N444" i="1" s="1"/>
  <c r="N445" i="1" a="1"/>
  <c r="N445" i="1" s="1"/>
  <c r="N446" i="1" a="1"/>
  <c r="N446" i="1" s="1"/>
  <c r="N447" i="1" a="1"/>
  <c r="N447" i="1" s="1"/>
  <c r="N448" i="1" a="1"/>
  <c r="N448" i="1" s="1"/>
  <c r="N449" i="1" a="1"/>
  <c r="N449" i="1" s="1"/>
  <c r="N450" i="1" a="1"/>
  <c r="N450" i="1" s="1"/>
  <c r="N451" i="1" a="1"/>
  <c r="N451" i="1" s="1"/>
  <c r="N452" i="1" a="1"/>
  <c r="N452" i="1" s="1"/>
  <c r="N453" i="1" a="1"/>
  <c r="N453" i="1" s="1"/>
  <c r="N454" i="1" a="1"/>
  <c r="N454" i="1" s="1"/>
  <c r="N455" i="1" a="1"/>
  <c r="N455" i="1" s="1"/>
  <c r="N456" i="1" a="1"/>
  <c r="N456" i="1" s="1"/>
  <c r="N457" i="1" a="1"/>
  <c r="N457" i="1" s="1"/>
  <c r="N458" i="1" a="1"/>
  <c r="N458" i="1" s="1"/>
  <c r="N459" i="1" a="1"/>
  <c r="N459" i="1" s="1"/>
  <c r="N460" i="1" a="1"/>
  <c r="N460" i="1" s="1"/>
  <c r="N461" i="1" a="1"/>
  <c r="N461" i="1" s="1"/>
  <c r="N462" i="1" a="1"/>
  <c r="N462" i="1" s="1"/>
  <c r="N463" i="1" a="1"/>
  <c r="N463" i="1" s="1"/>
  <c r="N464" i="1" a="1"/>
  <c r="N464" i="1" s="1"/>
  <c r="N465" i="1" a="1"/>
  <c r="N465" i="1" s="1"/>
  <c r="N466" i="1" a="1"/>
  <c r="N466" i="1" s="1"/>
  <c r="N467" i="1" a="1"/>
  <c r="N467" i="1" s="1"/>
  <c r="N468" i="1" a="1"/>
  <c r="N468" i="1" s="1"/>
  <c r="N469" i="1" a="1"/>
  <c r="N469" i="1" s="1"/>
  <c r="N470" i="1" a="1"/>
  <c r="N470" i="1" s="1"/>
  <c r="N471" i="1" a="1"/>
  <c r="N471" i="1" s="1"/>
  <c r="N472" i="1" a="1"/>
  <c r="N472" i="1" s="1"/>
  <c r="N473" i="1" a="1"/>
  <c r="N473" i="1" s="1"/>
  <c r="N474" i="1" a="1"/>
  <c r="N474" i="1" s="1"/>
  <c r="N475" i="1" a="1"/>
  <c r="N475" i="1" s="1"/>
  <c r="N476" i="1" a="1"/>
  <c r="N476" i="1" s="1"/>
  <c r="N477" i="1" a="1"/>
  <c r="N477" i="1" s="1"/>
  <c r="N478" i="1" a="1"/>
  <c r="N478" i="1" s="1"/>
  <c r="N479" i="1" a="1"/>
  <c r="N479" i="1" s="1"/>
  <c r="N480" i="1" a="1"/>
  <c r="N480" i="1" s="1"/>
  <c r="N481" i="1" a="1"/>
  <c r="N481" i="1" s="1"/>
  <c r="N482" i="1" a="1"/>
  <c r="N482" i="1" s="1"/>
  <c r="N483" i="1" a="1"/>
  <c r="N483" i="1" s="1"/>
  <c r="N484" i="1" a="1"/>
  <c r="N484" i="1" s="1"/>
  <c r="N485" i="1" a="1"/>
  <c r="N485" i="1" s="1"/>
  <c r="N486" i="1" a="1"/>
  <c r="N486" i="1" s="1"/>
  <c r="N487" i="1" a="1"/>
  <c r="N487" i="1" s="1"/>
  <c r="N488" i="1" a="1"/>
  <c r="N488" i="1" s="1"/>
  <c r="N489" i="1" a="1"/>
  <c r="N489" i="1" s="1"/>
  <c r="N490" i="1" a="1"/>
  <c r="N490" i="1" s="1"/>
  <c r="N491" i="1" a="1"/>
  <c r="N491" i="1" s="1"/>
  <c r="N492" i="1" a="1"/>
  <c r="N492" i="1" s="1"/>
  <c r="N493" i="1" a="1"/>
  <c r="N493" i="1" s="1"/>
  <c r="N494" i="1" a="1"/>
  <c r="N494" i="1" s="1"/>
  <c r="N495" i="1" a="1"/>
  <c r="N495" i="1" s="1"/>
  <c r="N496" i="1" a="1"/>
  <c r="N496" i="1" s="1"/>
  <c r="N497" i="1" a="1"/>
  <c r="N497" i="1" s="1"/>
  <c r="N498" i="1" a="1"/>
  <c r="N498" i="1" s="1"/>
  <c r="N499" i="1" a="1"/>
  <c r="N499" i="1" s="1"/>
  <c r="N500" i="1" a="1"/>
  <c r="N500" i="1" s="1"/>
  <c r="N501" i="1" a="1"/>
  <c r="N501" i="1" s="1"/>
  <c r="N502" i="1" a="1"/>
  <c r="N502" i="1" s="1"/>
  <c r="N503" i="1" a="1"/>
  <c r="N503" i="1" s="1"/>
  <c r="N504" i="1" a="1"/>
  <c r="N504" i="1" s="1"/>
  <c r="N505" i="1" a="1"/>
  <c r="N505" i="1" s="1"/>
  <c r="N506" i="1" a="1"/>
  <c r="N506" i="1" s="1"/>
  <c r="N507" i="1" a="1"/>
  <c r="N507" i="1" s="1"/>
  <c r="N508" i="1" a="1"/>
  <c r="N508" i="1" s="1"/>
  <c r="N509" i="1" a="1"/>
  <c r="N509" i="1" s="1"/>
  <c r="N510" i="1" a="1"/>
  <c r="N510" i="1" s="1"/>
  <c r="N511" i="1" a="1"/>
  <c r="N511" i="1" s="1"/>
  <c r="N512" i="1" a="1"/>
  <c r="N512" i="1" s="1"/>
  <c r="N513" i="1" a="1"/>
  <c r="N513" i="1" s="1"/>
  <c r="N514" i="1" a="1"/>
  <c r="N514" i="1" s="1"/>
  <c r="N515" i="1" a="1"/>
  <c r="N515" i="1" s="1"/>
  <c r="N516" i="1" a="1"/>
  <c r="N516" i="1" s="1"/>
  <c r="N517" i="1" a="1"/>
  <c r="N517" i="1" s="1"/>
  <c r="N518" i="1" a="1"/>
  <c r="N518" i="1" s="1"/>
  <c r="N519" i="1" a="1"/>
  <c r="N519" i="1" s="1"/>
  <c r="N520" i="1" a="1"/>
  <c r="N520" i="1" s="1"/>
  <c r="N521" i="1" a="1"/>
  <c r="N521" i="1" s="1"/>
  <c r="N522" i="1" a="1"/>
  <c r="N522" i="1" s="1"/>
  <c r="N523" i="1" a="1"/>
  <c r="N523" i="1" s="1"/>
  <c r="N524" i="1" a="1"/>
  <c r="N524" i="1" s="1"/>
  <c r="N525" i="1" a="1"/>
  <c r="N525" i="1" s="1"/>
  <c r="N526" i="1" a="1"/>
  <c r="N526" i="1" s="1"/>
  <c r="N527" i="1" a="1"/>
  <c r="N527" i="1" s="1"/>
  <c r="N528" i="1" a="1"/>
  <c r="N528" i="1" s="1"/>
  <c r="N529" i="1" a="1"/>
  <c r="N529" i="1" s="1"/>
  <c r="N530" i="1" a="1"/>
  <c r="N530" i="1" s="1"/>
  <c r="N531" i="1" a="1"/>
  <c r="N531" i="1" s="1"/>
  <c r="N532" i="1" a="1"/>
  <c r="N532" i="1" s="1"/>
  <c r="N533" i="1" a="1"/>
  <c r="N533" i="1" s="1"/>
  <c r="N534" i="1" a="1"/>
  <c r="N534" i="1" s="1"/>
  <c r="N535" i="1" a="1"/>
  <c r="N535" i="1" s="1"/>
  <c r="N536" i="1" a="1"/>
  <c r="N536" i="1" s="1"/>
  <c r="N537" i="1" a="1"/>
  <c r="N537" i="1" s="1"/>
  <c r="N538" i="1" a="1"/>
  <c r="N538" i="1" s="1"/>
  <c r="N539" i="1" a="1"/>
  <c r="N539" i="1" s="1"/>
  <c r="N540" i="1" a="1"/>
  <c r="N540" i="1" s="1"/>
  <c r="N541" i="1" a="1"/>
  <c r="N541" i="1" s="1"/>
  <c r="N542" i="1" a="1"/>
  <c r="N542" i="1" s="1"/>
  <c r="N543" i="1" a="1"/>
  <c r="N543" i="1" s="1"/>
  <c r="N544" i="1" a="1"/>
  <c r="N544" i="1" s="1"/>
  <c r="N545" i="1" a="1"/>
  <c r="N545" i="1" s="1"/>
  <c r="N546" i="1" a="1"/>
  <c r="N546" i="1" s="1"/>
  <c r="N547" i="1" a="1"/>
  <c r="N547" i="1" s="1"/>
  <c r="N548" i="1" a="1"/>
  <c r="N548" i="1" s="1"/>
  <c r="N549" i="1" a="1"/>
  <c r="N549" i="1" s="1"/>
  <c r="N550" i="1" a="1"/>
  <c r="N550" i="1" s="1"/>
  <c r="N551" i="1" a="1"/>
  <c r="N551" i="1" s="1"/>
  <c r="N552" i="1" a="1"/>
  <c r="N552" i="1" s="1"/>
  <c r="N553" i="1" a="1"/>
  <c r="N553" i="1" s="1"/>
  <c r="N554" i="1" a="1"/>
  <c r="N554" i="1" s="1"/>
  <c r="N555" i="1" a="1"/>
  <c r="N555" i="1" s="1"/>
  <c r="N556" i="1" a="1"/>
  <c r="N556" i="1" s="1"/>
  <c r="N557" i="1" a="1"/>
  <c r="N557" i="1" s="1"/>
  <c r="N558" i="1" a="1"/>
  <c r="N558" i="1" s="1"/>
  <c r="N559" i="1" a="1"/>
  <c r="N559" i="1" s="1"/>
  <c r="N560" i="1" a="1"/>
  <c r="N560" i="1" s="1"/>
  <c r="N561" i="1" a="1"/>
  <c r="N561" i="1" s="1"/>
  <c r="N562" i="1" a="1"/>
  <c r="N562" i="1" s="1"/>
  <c r="N563" i="1" a="1"/>
  <c r="N563" i="1" s="1"/>
  <c r="N564" i="1" a="1"/>
  <c r="N564" i="1" s="1"/>
  <c r="N565" i="1" a="1"/>
  <c r="N565" i="1" s="1"/>
  <c r="N566" i="1" a="1"/>
  <c r="N566" i="1" s="1"/>
  <c r="N567" i="1" a="1"/>
  <c r="N567" i="1" s="1"/>
  <c r="N568" i="1" a="1"/>
  <c r="N568" i="1" s="1"/>
  <c r="N569" i="1" a="1"/>
  <c r="N569" i="1" s="1"/>
  <c r="N570" i="1" a="1"/>
  <c r="N570" i="1" s="1"/>
  <c r="N571" i="1" a="1"/>
  <c r="N571" i="1" s="1"/>
  <c r="N572" i="1" a="1"/>
  <c r="N572" i="1" s="1"/>
  <c r="N573" i="1" a="1"/>
  <c r="N573" i="1" s="1"/>
  <c r="N574" i="1" a="1"/>
  <c r="N574" i="1" s="1"/>
  <c r="N575" i="1" a="1"/>
  <c r="N575" i="1" s="1"/>
  <c r="N576" i="1" a="1"/>
  <c r="N576" i="1" s="1"/>
  <c r="N577" i="1" a="1"/>
  <c r="N577" i="1" s="1"/>
  <c r="N578" i="1" a="1"/>
  <c r="N578" i="1" s="1"/>
  <c r="N579" i="1" a="1"/>
  <c r="N579" i="1" s="1"/>
  <c r="N580" i="1" a="1"/>
  <c r="N580" i="1" s="1"/>
  <c r="N581" i="1" a="1"/>
  <c r="N581" i="1" s="1"/>
  <c r="N582" i="1" a="1"/>
  <c r="N582" i="1" s="1"/>
  <c r="N583" i="1" a="1"/>
  <c r="N583" i="1" s="1"/>
  <c r="N584" i="1" a="1"/>
  <c r="N584" i="1" s="1"/>
  <c r="N585" i="1" a="1"/>
  <c r="N585" i="1" s="1"/>
  <c r="N586" i="1" a="1"/>
  <c r="N586" i="1" s="1"/>
  <c r="N587" i="1" a="1"/>
  <c r="N587" i="1" s="1"/>
  <c r="N588" i="1" a="1"/>
  <c r="N588" i="1" s="1"/>
  <c r="N589" i="1" a="1"/>
  <c r="N589" i="1" s="1"/>
  <c r="N590" i="1" a="1"/>
  <c r="N590" i="1" s="1"/>
  <c r="N591" i="1" a="1"/>
  <c r="N591" i="1" s="1"/>
  <c r="N592" i="1" a="1"/>
  <c r="N592" i="1" s="1"/>
  <c r="N593" i="1" a="1"/>
  <c r="N593" i="1" s="1"/>
  <c r="N594" i="1" a="1"/>
  <c r="N594" i="1" s="1"/>
  <c r="N595" i="1" a="1"/>
  <c r="N595" i="1" s="1"/>
  <c r="N596" i="1" a="1"/>
  <c r="N596" i="1" s="1"/>
  <c r="N597" i="1" a="1"/>
  <c r="N597" i="1" s="1"/>
  <c r="N598" i="1" a="1"/>
  <c r="N598" i="1" s="1"/>
  <c r="N599" i="1" a="1"/>
  <c r="N599" i="1" s="1"/>
  <c r="N600" i="1" a="1"/>
  <c r="N600" i="1" s="1"/>
  <c r="N601" i="1" a="1"/>
  <c r="N601" i="1" s="1"/>
  <c r="N602" i="1" a="1"/>
  <c r="N602" i="1" s="1"/>
  <c r="N603" i="1" a="1"/>
  <c r="N603" i="1" s="1"/>
  <c r="N604" i="1" a="1"/>
  <c r="N604" i="1" s="1"/>
  <c r="N605" i="1" a="1"/>
  <c r="N605" i="1" s="1"/>
  <c r="N606" i="1" a="1"/>
  <c r="N606" i="1" s="1"/>
  <c r="N607" i="1" a="1"/>
  <c r="N607" i="1" s="1"/>
  <c r="N608" i="1" a="1"/>
  <c r="N608" i="1" s="1"/>
  <c r="N609" i="1" a="1"/>
  <c r="N609" i="1" s="1"/>
  <c r="N610" i="1" a="1"/>
  <c r="N610" i="1" s="1"/>
  <c r="N611" i="1" a="1"/>
  <c r="N611" i="1" s="1"/>
  <c r="N612" i="1" a="1"/>
  <c r="N612" i="1" s="1"/>
  <c r="N613" i="1" a="1"/>
  <c r="N613" i="1" s="1"/>
  <c r="N614" i="1" a="1"/>
  <c r="N614" i="1" s="1"/>
  <c r="N615" i="1" a="1"/>
  <c r="N615" i="1" s="1"/>
  <c r="N616" i="1" a="1"/>
  <c r="N616" i="1" s="1"/>
  <c r="N617" i="1" a="1"/>
  <c r="N617" i="1" s="1"/>
  <c r="N618" i="1" a="1"/>
  <c r="N618" i="1" s="1"/>
  <c r="N619" i="1" a="1"/>
  <c r="N619" i="1" s="1"/>
  <c r="N620" i="1" a="1"/>
  <c r="N620" i="1" s="1"/>
  <c r="N621" i="1" a="1"/>
  <c r="N621" i="1" s="1"/>
  <c r="N622" i="1" a="1"/>
  <c r="N622" i="1" s="1"/>
  <c r="N623" i="1" a="1"/>
  <c r="N623" i="1" s="1"/>
  <c r="N624" i="1" a="1"/>
  <c r="N624" i="1" s="1"/>
  <c r="N625" i="1" a="1"/>
  <c r="N625" i="1" s="1"/>
  <c r="N626" i="1" a="1"/>
  <c r="N626" i="1" s="1"/>
  <c r="N627" i="1" a="1"/>
  <c r="N627" i="1" s="1"/>
  <c r="N628" i="1" a="1"/>
  <c r="N628" i="1" s="1"/>
  <c r="N629" i="1" a="1"/>
  <c r="N629" i="1" s="1"/>
  <c r="N630" i="1" a="1"/>
  <c r="N630" i="1" s="1"/>
  <c r="N631" i="1" a="1"/>
  <c r="N631" i="1" s="1"/>
  <c r="N632" i="1" a="1"/>
  <c r="N632" i="1" s="1"/>
  <c r="N633" i="1" a="1"/>
  <c r="N633" i="1" s="1"/>
  <c r="N634" i="1" a="1"/>
  <c r="N634" i="1" s="1"/>
  <c r="N635" i="1" a="1"/>
  <c r="N635" i="1" s="1"/>
  <c r="N636" i="1" a="1"/>
  <c r="N636" i="1" s="1"/>
  <c r="N637" i="1" a="1"/>
  <c r="N637" i="1" s="1"/>
  <c r="N638" i="1" a="1"/>
  <c r="N638" i="1" s="1"/>
  <c r="N639" i="1" a="1"/>
  <c r="N639" i="1" s="1"/>
  <c r="N640" i="1" a="1"/>
  <c r="N640" i="1" s="1"/>
  <c r="N641" i="1" a="1"/>
  <c r="N641" i="1" s="1"/>
  <c r="N642" i="1" a="1"/>
  <c r="N642" i="1" s="1"/>
  <c r="N643" i="1" a="1"/>
  <c r="N643" i="1" s="1"/>
  <c r="N644" i="1" a="1"/>
  <c r="N644" i="1" s="1"/>
  <c r="N645" i="1" a="1"/>
  <c r="N645" i="1" s="1"/>
  <c r="N646" i="1" a="1"/>
  <c r="N646" i="1" s="1"/>
  <c r="N647" i="1" a="1"/>
  <c r="N647" i="1" s="1"/>
  <c r="N648" i="1" a="1"/>
  <c r="N648" i="1" s="1"/>
  <c r="N649" i="1" a="1"/>
  <c r="N649" i="1" s="1"/>
  <c r="N650" i="1" a="1"/>
  <c r="N650" i="1" s="1"/>
  <c r="N651" i="1" a="1"/>
  <c r="N651" i="1" s="1"/>
  <c r="N652" i="1" a="1"/>
  <c r="N652" i="1" s="1"/>
  <c r="N653" i="1" a="1"/>
  <c r="N653" i="1" s="1"/>
  <c r="N654" i="1" a="1"/>
  <c r="N654" i="1" s="1"/>
  <c r="N655" i="1" a="1"/>
  <c r="N655" i="1" s="1"/>
  <c r="N656" i="1" a="1"/>
  <c r="N656" i="1" s="1"/>
  <c r="N657" i="1" a="1"/>
  <c r="N657" i="1" s="1"/>
  <c r="N658" i="1" a="1"/>
  <c r="N658" i="1" s="1"/>
  <c r="N659" i="1" a="1"/>
  <c r="N659" i="1" s="1"/>
  <c r="N660" i="1" a="1"/>
  <c r="N660" i="1" s="1"/>
  <c r="N661" i="1" a="1"/>
  <c r="N661" i="1" s="1"/>
  <c r="N662" i="1" a="1"/>
  <c r="N662" i="1" s="1"/>
  <c r="N663" i="1" a="1"/>
  <c r="N663" i="1" s="1"/>
  <c r="N664" i="1" a="1"/>
  <c r="N664" i="1" s="1"/>
  <c r="N665" i="1" a="1"/>
  <c r="N665" i="1" s="1"/>
  <c r="N666" i="1" a="1"/>
  <c r="N666" i="1" s="1"/>
  <c r="N667" i="1" a="1"/>
  <c r="N667" i="1" s="1"/>
  <c r="N668" i="1" a="1"/>
  <c r="N668" i="1" s="1"/>
  <c r="N669" i="1" a="1"/>
  <c r="N669" i="1" s="1"/>
  <c r="N670" i="1" a="1"/>
  <c r="N670" i="1" s="1"/>
  <c r="N671" i="1" a="1"/>
  <c r="N671" i="1" s="1"/>
  <c r="N672" i="1" a="1"/>
  <c r="N672" i="1" s="1"/>
  <c r="N673" i="1" a="1"/>
  <c r="N673" i="1" s="1"/>
  <c r="N674" i="1" a="1"/>
  <c r="N674" i="1" s="1"/>
  <c r="N675" i="1" a="1"/>
  <c r="N675" i="1" s="1"/>
  <c r="N676" i="1" a="1"/>
  <c r="N676" i="1" s="1"/>
  <c r="N677" i="1" a="1"/>
  <c r="N677" i="1" s="1"/>
  <c r="N678" i="1" a="1"/>
  <c r="N678" i="1" s="1"/>
  <c r="N679" i="1" a="1"/>
  <c r="N679" i="1" s="1"/>
  <c r="N680" i="1" a="1"/>
  <c r="N680" i="1" s="1"/>
  <c r="N681" i="1" a="1"/>
  <c r="N681" i="1" s="1"/>
  <c r="N682" i="1" a="1"/>
  <c r="N682" i="1" s="1"/>
  <c r="N683" i="1" a="1"/>
  <c r="N683" i="1" s="1"/>
  <c r="N684" i="1" a="1"/>
  <c r="N684" i="1" s="1"/>
  <c r="N685" i="1" a="1"/>
  <c r="N685" i="1" s="1"/>
  <c r="N686" i="1" a="1"/>
  <c r="N686" i="1" s="1"/>
  <c r="N687" i="1" a="1"/>
  <c r="N687" i="1" s="1"/>
  <c r="N688" i="1" a="1"/>
  <c r="N688" i="1" s="1"/>
  <c r="N689" i="1" a="1"/>
  <c r="N689" i="1" s="1"/>
  <c r="N690" i="1" a="1"/>
  <c r="N690" i="1" s="1"/>
  <c r="N691" i="1" a="1"/>
  <c r="N691" i="1" s="1"/>
  <c r="N692" i="1" a="1"/>
  <c r="N692" i="1" s="1"/>
  <c r="N693" i="1" a="1"/>
  <c r="N693" i="1" s="1"/>
  <c r="N694" i="1" a="1"/>
  <c r="N694" i="1" s="1"/>
  <c r="N695" i="1" a="1"/>
  <c r="N695" i="1" s="1"/>
  <c r="N696" i="1" a="1"/>
  <c r="N696" i="1" s="1"/>
  <c r="N697" i="1" a="1"/>
  <c r="N697" i="1" s="1"/>
  <c r="N698" i="1" a="1"/>
  <c r="N698" i="1" s="1"/>
  <c r="N699" i="1" a="1"/>
  <c r="N699" i="1" s="1"/>
  <c r="N700" i="1" a="1"/>
  <c r="N700" i="1" s="1"/>
  <c r="N701" i="1" a="1"/>
  <c r="N701" i="1" s="1"/>
  <c r="N702" i="1" a="1"/>
  <c r="N702" i="1" s="1"/>
  <c r="N703" i="1" a="1"/>
  <c r="N703" i="1" s="1"/>
  <c r="N704" i="1" a="1"/>
  <c r="N704" i="1" s="1"/>
  <c r="N705" i="1" a="1"/>
  <c r="N705" i="1" s="1"/>
  <c r="N706" i="1" a="1"/>
  <c r="N706" i="1" s="1"/>
  <c r="N707" i="1" a="1"/>
  <c r="N707" i="1" s="1"/>
  <c r="N708" i="1" a="1"/>
  <c r="N708" i="1" s="1"/>
  <c r="N709" i="1" a="1"/>
  <c r="N709" i="1" s="1"/>
  <c r="N710" i="1" a="1"/>
  <c r="N710" i="1" s="1"/>
  <c r="N711" i="1" a="1"/>
  <c r="N711" i="1" s="1"/>
  <c r="N712" i="1" a="1"/>
  <c r="N712" i="1" s="1"/>
  <c r="N713" i="1" a="1"/>
  <c r="N713" i="1" s="1"/>
  <c r="N714" i="1" a="1"/>
  <c r="N714" i="1" s="1"/>
  <c r="N715" i="1" a="1"/>
  <c r="N715" i="1" s="1"/>
  <c r="N716" i="1" a="1"/>
  <c r="N716" i="1" s="1"/>
  <c r="N717" i="1" a="1"/>
  <c r="N717" i="1" s="1"/>
  <c r="N718" i="1" a="1"/>
  <c r="N718" i="1" s="1"/>
  <c r="N719" i="1" a="1"/>
  <c r="N719" i="1" s="1"/>
  <c r="N720" i="1" a="1"/>
  <c r="N720" i="1" s="1"/>
  <c r="N721" i="1" a="1"/>
  <c r="N721" i="1" s="1"/>
  <c r="N722" i="1" a="1"/>
  <c r="N722" i="1" s="1"/>
  <c r="N723" i="1" a="1"/>
  <c r="N723" i="1" s="1"/>
  <c r="N724" i="1" a="1"/>
  <c r="N724" i="1" s="1"/>
  <c r="N725" i="1" a="1"/>
  <c r="N725" i="1" s="1"/>
  <c r="N726" i="1" a="1"/>
  <c r="N726" i="1" s="1"/>
  <c r="N727" i="1" a="1"/>
  <c r="N727" i="1" s="1"/>
  <c r="N728" i="1" a="1"/>
  <c r="N728" i="1" s="1"/>
  <c r="N729" i="1" a="1"/>
  <c r="N729" i="1" s="1"/>
  <c r="N730" i="1" a="1"/>
  <c r="N730" i="1" s="1"/>
  <c r="N731" i="1" a="1"/>
  <c r="N731" i="1" s="1"/>
  <c r="N732" i="1" a="1"/>
  <c r="N732" i="1" s="1"/>
  <c r="N733" i="1" a="1"/>
  <c r="N733" i="1" s="1"/>
  <c r="N734" i="1" a="1"/>
  <c r="N734" i="1" s="1"/>
  <c r="N735" i="1" a="1"/>
  <c r="N735" i="1" s="1"/>
  <c r="N736" i="1" a="1"/>
  <c r="N736" i="1" s="1"/>
  <c r="N737" i="1" a="1"/>
  <c r="N737" i="1" s="1"/>
  <c r="N738" i="1" a="1"/>
  <c r="N738" i="1" s="1"/>
  <c r="N739" i="1" a="1"/>
  <c r="N739" i="1" s="1"/>
  <c r="N740" i="1" a="1"/>
  <c r="N740" i="1" s="1"/>
  <c r="N741" i="1" a="1"/>
  <c r="N741" i="1" s="1"/>
  <c r="N742" i="1" a="1"/>
  <c r="N742" i="1" s="1"/>
  <c r="N743" i="1" a="1"/>
  <c r="N743" i="1" s="1"/>
  <c r="N744" i="1" a="1"/>
  <c r="N744" i="1" s="1"/>
  <c r="N745" i="1" a="1"/>
  <c r="N745" i="1" s="1"/>
  <c r="N746" i="1" a="1"/>
  <c r="N746" i="1" s="1"/>
  <c r="N747" i="1" a="1"/>
  <c r="N747" i="1" s="1"/>
  <c r="N748" i="1" a="1"/>
  <c r="N748" i="1" s="1"/>
  <c r="N749" i="1" a="1"/>
  <c r="N749" i="1" s="1"/>
  <c r="N750" i="1" a="1"/>
  <c r="N750" i="1" s="1"/>
  <c r="N751" i="1" a="1"/>
  <c r="N751" i="1" s="1"/>
  <c r="N752" i="1" a="1"/>
  <c r="N752" i="1" s="1"/>
  <c r="N753" i="1" a="1"/>
  <c r="N753" i="1" s="1"/>
  <c r="N754" i="1" a="1"/>
  <c r="N754" i="1" s="1"/>
  <c r="N755" i="1" a="1"/>
  <c r="N755" i="1" s="1"/>
  <c r="N756" i="1" a="1"/>
  <c r="N756" i="1" s="1"/>
  <c r="N757" i="1" a="1"/>
  <c r="N757" i="1" s="1"/>
  <c r="N758" i="1" a="1"/>
  <c r="N758" i="1" s="1"/>
  <c r="N759" i="1" a="1"/>
  <c r="N759" i="1" s="1"/>
  <c r="N760" i="1" a="1"/>
  <c r="N760" i="1" s="1"/>
  <c r="N761" i="1" a="1"/>
  <c r="N761" i="1" s="1"/>
  <c r="N762" i="1" a="1"/>
  <c r="N762" i="1" s="1"/>
  <c r="D4" i="2"/>
  <c r="K689" i="1"/>
  <c r="I689" i="1"/>
  <c r="K688" i="1"/>
  <c r="I688" i="1"/>
  <c r="C355" i="7"/>
  <c r="K706" i="1"/>
  <c r="K707" i="1"/>
  <c r="K695" i="1"/>
  <c r="K708" i="1"/>
  <c r="K696" i="1"/>
  <c r="K709" i="1"/>
  <c r="K697" i="1"/>
  <c r="K698" i="1"/>
  <c r="K699" i="1"/>
  <c r="K700" i="1"/>
  <c r="K701" i="1"/>
  <c r="K702" i="1"/>
  <c r="K703" i="1"/>
  <c r="K704" i="1"/>
  <c r="K705" i="1"/>
  <c r="D164" i="2"/>
  <c r="I164" i="2" s="1"/>
  <c r="B164" i="2"/>
  <c r="E22" i="4"/>
  <c r="C22" i="4"/>
  <c r="C363" i="7"/>
  <c r="C362" i="7"/>
  <c r="C361" i="7"/>
  <c r="C360" i="7"/>
  <c r="C359" i="7"/>
  <c r="C358" i="7"/>
  <c r="C357" i="7"/>
  <c r="C356" i="7"/>
  <c r="C163" i="7"/>
  <c r="C162" i="7"/>
  <c r="C160" i="7"/>
  <c r="C159" i="7"/>
  <c r="C157" i="7"/>
  <c r="C86" i="7"/>
  <c r="C45" i="7"/>
  <c r="C20" i="7"/>
  <c r="C2" i="7"/>
  <c r="C299" i="7" s="1"/>
  <c r="C354" i="7"/>
  <c r="C319" i="7"/>
  <c r="C243" i="7"/>
  <c r="E15" i="4"/>
  <c r="D106" i="17" s="1"/>
  <c r="F10" i="4"/>
  <c r="D10" i="4"/>
  <c r="D141" i="2"/>
  <c r="E56" i="4"/>
  <c r="E38" i="4"/>
  <c r="E36" i="4"/>
  <c r="D129" i="17" s="1"/>
  <c r="F33" i="4"/>
  <c r="E29" i="4"/>
  <c r="F25" i="4"/>
  <c r="E24" i="4"/>
  <c r="H24" i="4" s="1"/>
  <c r="F14" i="4"/>
  <c r="F8" i="4"/>
  <c r="F5" i="4"/>
  <c r="K692" i="1"/>
  <c r="K694" i="1"/>
  <c r="K693" i="1"/>
  <c r="K691" i="1"/>
  <c r="K690" i="1"/>
  <c r="K684" i="1"/>
  <c r="K683" i="1"/>
  <c r="K687" i="1"/>
  <c r="K686" i="1"/>
  <c r="K682" i="1"/>
  <c r="K685" i="1"/>
  <c r="K681" i="1"/>
  <c r="K680" i="1"/>
  <c r="K679" i="1"/>
  <c r="K678" i="1"/>
  <c r="K675" i="1"/>
  <c r="K674" i="1"/>
  <c r="K673" i="1"/>
  <c r="K677" i="1"/>
  <c r="K676" i="1"/>
  <c r="K672" i="1"/>
  <c r="K671" i="1"/>
  <c r="K670" i="1"/>
  <c r="K669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68" i="1"/>
  <c r="K653" i="1"/>
  <c r="K652" i="1"/>
  <c r="K651" i="1"/>
  <c r="K650" i="1"/>
  <c r="K649" i="1"/>
  <c r="K648" i="1"/>
  <c r="K647" i="1"/>
  <c r="K646" i="1"/>
  <c r="K645" i="1"/>
  <c r="K644" i="1"/>
  <c r="K643" i="1"/>
  <c r="S29" i="2" s="1"/>
  <c r="K642" i="1"/>
  <c r="C364" i="7"/>
  <c r="C547" i="7" s="1"/>
  <c r="C189" i="7" s="1"/>
  <c r="G16" i="5"/>
  <c r="G25" i="5" s="1"/>
  <c r="D156" i="2"/>
  <c r="D154" i="2"/>
  <c r="D153" i="2"/>
  <c r="D152" i="2"/>
  <c r="D151" i="2"/>
  <c r="D149" i="2"/>
  <c r="D148" i="2"/>
  <c r="D135" i="2"/>
  <c r="D134" i="2"/>
  <c r="D131" i="2"/>
  <c r="D130" i="2"/>
  <c r="D128" i="2"/>
  <c r="D126" i="2"/>
  <c r="D125" i="2"/>
  <c r="D122" i="2"/>
  <c r="D120" i="2"/>
  <c r="D119" i="2"/>
  <c r="D118" i="2"/>
  <c r="D116" i="2"/>
  <c r="D115" i="2"/>
  <c r="D102" i="2"/>
  <c r="D101" i="2"/>
  <c r="D100" i="2"/>
  <c r="D98" i="2"/>
  <c r="D96" i="2"/>
  <c r="D87" i="2"/>
  <c r="D73" i="2"/>
  <c r="D68" i="2"/>
  <c r="D66" i="2"/>
  <c r="D59" i="2"/>
  <c r="D54" i="2"/>
  <c r="D52" i="2"/>
  <c r="D51" i="2"/>
  <c r="D8" i="2"/>
  <c r="B162" i="2"/>
  <c r="B156" i="2"/>
  <c r="B154" i="2"/>
  <c r="B153" i="2"/>
  <c r="B152" i="2"/>
  <c r="B151" i="2"/>
  <c r="B149" i="2"/>
  <c r="B148" i="2"/>
  <c r="B135" i="2"/>
  <c r="B134" i="2"/>
  <c r="B131" i="2"/>
  <c r="B130" i="2"/>
  <c r="B128" i="2"/>
  <c r="B126" i="2"/>
  <c r="B125" i="2"/>
  <c r="B122" i="2"/>
  <c r="B120" i="2"/>
  <c r="B119" i="2"/>
  <c r="B118" i="2"/>
  <c r="B116" i="2"/>
  <c r="B115" i="2"/>
  <c r="B98" i="2"/>
  <c r="B96" i="2"/>
  <c r="B102" i="2"/>
  <c r="B101" i="2"/>
  <c r="B100" i="2"/>
  <c r="B87" i="2"/>
  <c r="B73" i="2"/>
  <c r="B68" i="2"/>
  <c r="B66" i="2"/>
  <c r="B59" i="2"/>
  <c r="B54" i="2"/>
  <c r="B52" i="2"/>
  <c r="B51" i="2"/>
  <c r="B8" i="2"/>
  <c r="B357" i="7"/>
  <c r="B358" i="7"/>
  <c r="B359" i="7"/>
  <c r="B360" i="7"/>
  <c r="B361" i="7"/>
  <c r="B362" i="7"/>
  <c r="B363" i="7"/>
  <c r="B356" i="7"/>
  <c r="B355" i="7"/>
  <c r="A357" i="7"/>
  <c r="A358" i="7"/>
  <c r="A359" i="7"/>
  <c r="A360" i="7"/>
  <c r="A361" i="7"/>
  <c r="A362" i="7"/>
  <c r="A363" i="7"/>
  <c r="A355" i="7"/>
  <c r="A418" i="7"/>
  <c r="B419" i="7"/>
  <c r="A419" i="7"/>
  <c r="C36" i="4"/>
  <c r="C129" i="17" s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402" i="1"/>
  <c r="K405" i="1"/>
  <c r="K396" i="1"/>
  <c r="K406" i="1"/>
  <c r="K397" i="1"/>
  <c r="K407" i="1"/>
  <c r="K408" i="1"/>
  <c r="K398" i="1"/>
  <c r="K399" i="1"/>
  <c r="K400" i="1"/>
  <c r="K401" i="1"/>
  <c r="K409" i="1"/>
  <c r="K410" i="1"/>
  <c r="K411" i="1"/>
  <c r="K403" i="1"/>
  <c r="K404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32" i="1"/>
  <c r="K425" i="1"/>
  <c r="K433" i="1"/>
  <c r="K426" i="1"/>
  <c r="K427" i="1"/>
  <c r="K428" i="1"/>
  <c r="K429" i="1"/>
  <c r="K430" i="1"/>
  <c r="K431" i="1"/>
  <c r="K434" i="1"/>
  <c r="K435" i="1"/>
  <c r="K436" i="1"/>
  <c r="K437" i="1"/>
  <c r="K448" i="1"/>
  <c r="K438" i="1"/>
  <c r="K439" i="1"/>
  <c r="K440" i="1"/>
  <c r="K441" i="1"/>
  <c r="K442" i="1"/>
  <c r="K443" i="1"/>
  <c r="K444" i="1"/>
  <c r="K445" i="1"/>
  <c r="K446" i="1"/>
  <c r="K447" i="1"/>
  <c r="K449" i="1"/>
  <c r="K450" i="1"/>
  <c r="K451" i="1"/>
  <c r="K452" i="1"/>
  <c r="K456" i="1"/>
  <c r="K453" i="1"/>
  <c r="K454" i="1"/>
  <c r="K455" i="1"/>
  <c r="K457" i="1"/>
  <c r="K458" i="1"/>
  <c r="K459" i="1"/>
  <c r="K460" i="1"/>
  <c r="K461" i="1"/>
  <c r="K462" i="1"/>
  <c r="K463" i="1"/>
  <c r="K464" i="1"/>
  <c r="K465" i="1"/>
  <c r="K483" i="1"/>
  <c r="K466" i="1"/>
  <c r="K484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5" i="1"/>
  <c r="K486" i="1"/>
  <c r="K487" i="1"/>
  <c r="K488" i="1"/>
  <c r="K489" i="1"/>
  <c r="K490" i="1"/>
  <c r="K491" i="1"/>
  <c r="K492" i="1"/>
  <c r="K493" i="1"/>
  <c r="K494" i="1"/>
  <c r="S75" i="2" s="1"/>
  <c r="K495" i="1"/>
  <c r="K499" i="1"/>
  <c r="K496" i="1"/>
  <c r="K500" i="1"/>
  <c r="K497" i="1"/>
  <c r="K501" i="1"/>
  <c r="K498" i="1"/>
  <c r="K502" i="1"/>
  <c r="K503" i="1"/>
  <c r="K504" i="1"/>
  <c r="K505" i="1"/>
  <c r="K506" i="1"/>
  <c r="K507" i="1"/>
  <c r="S138" i="2" s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8" i="1"/>
  <c r="K539" i="1"/>
  <c r="K552" i="1"/>
  <c r="K540" i="1"/>
  <c r="K553" i="1"/>
  <c r="K541" i="1"/>
  <c r="K542" i="1"/>
  <c r="K543" i="1"/>
  <c r="K544" i="1"/>
  <c r="K545" i="1"/>
  <c r="K546" i="1"/>
  <c r="K547" i="1"/>
  <c r="K548" i="1"/>
  <c r="K549" i="1"/>
  <c r="K550" i="1"/>
  <c r="K551" i="1"/>
  <c r="K554" i="1"/>
  <c r="K555" i="1"/>
  <c r="K556" i="1"/>
  <c r="K557" i="1"/>
  <c r="K558" i="1"/>
  <c r="K559" i="1"/>
  <c r="K575" i="1"/>
  <c r="K576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7" i="1"/>
  <c r="K573" i="1"/>
  <c r="K574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S104" i="2" s="1"/>
  <c r="K608" i="1"/>
  <c r="S57" i="2" s="1"/>
  <c r="K609" i="1"/>
  <c r="K610" i="1"/>
  <c r="K611" i="1"/>
  <c r="K612" i="1"/>
  <c r="S103" i="2" s="1"/>
  <c r="K613" i="1"/>
  <c r="K614" i="1"/>
  <c r="K615" i="1"/>
  <c r="K616" i="1"/>
  <c r="K617" i="1"/>
  <c r="S163" i="2" s="1"/>
  <c r="K618" i="1"/>
  <c r="K619" i="1"/>
  <c r="K620" i="1"/>
  <c r="K621" i="1"/>
  <c r="K622" i="1"/>
  <c r="S55" i="2" s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4" i="1"/>
  <c r="I573" i="1"/>
  <c r="I577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76" i="1"/>
  <c r="I575" i="1"/>
  <c r="I559" i="1"/>
  <c r="I558" i="1"/>
  <c r="I557" i="1"/>
  <c r="I556" i="1"/>
  <c r="I555" i="1"/>
  <c r="I554" i="1"/>
  <c r="I551" i="1"/>
  <c r="I550" i="1"/>
  <c r="I549" i="1"/>
  <c r="I548" i="1"/>
  <c r="I547" i="1"/>
  <c r="I546" i="1"/>
  <c r="I545" i="1"/>
  <c r="I544" i="1"/>
  <c r="I543" i="1"/>
  <c r="I542" i="1"/>
  <c r="I541" i="1"/>
  <c r="I553" i="1"/>
  <c r="I540" i="1"/>
  <c r="I552" i="1"/>
  <c r="I539" i="1"/>
  <c r="I538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B354" i="7"/>
  <c r="B321" i="7"/>
  <c r="B322" i="7"/>
  <c r="B323" i="7"/>
  <c r="B325" i="7"/>
  <c r="B331" i="7"/>
  <c r="A321" i="7"/>
  <c r="A322" i="7"/>
  <c r="A323" i="7"/>
  <c r="A324" i="7"/>
  <c r="A325" i="7"/>
  <c r="A329" i="7"/>
  <c r="A330" i="7"/>
  <c r="A331" i="7"/>
  <c r="A332" i="7"/>
  <c r="A333" i="7"/>
  <c r="A334" i="7"/>
  <c r="A336" i="7"/>
  <c r="A320" i="7"/>
  <c r="B319" i="7"/>
  <c r="A246" i="7"/>
  <c r="A300" i="7" s="1"/>
  <c r="A247" i="7"/>
  <c r="A244" i="7"/>
  <c r="B243" i="7"/>
  <c r="B20" i="7"/>
  <c r="B45" i="7"/>
  <c r="B86" i="7"/>
  <c r="B157" i="7"/>
  <c r="B159" i="7"/>
  <c r="B160" i="7"/>
  <c r="B162" i="7"/>
  <c r="B163" i="7"/>
  <c r="B2" i="7"/>
  <c r="B299" i="7" s="1"/>
  <c r="A299" i="7"/>
  <c r="E32" i="6"/>
  <c r="G8" i="6"/>
  <c r="E6" i="6"/>
  <c r="D11" i="17" s="1"/>
  <c r="D12" i="17" s="1"/>
  <c r="D16" i="5"/>
  <c r="D25" i="5" s="1"/>
  <c r="M41" i="4" l="1"/>
  <c r="P41" i="4" s="1"/>
  <c r="K41" i="4"/>
  <c r="C119" i="17"/>
  <c r="D117" i="17"/>
  <c r="E119" i="17"/>
  <c r="F117" i="17"/>
  <c r="F119" i="17"/>
  <c r="C65" i="17"/>
  <c r="D406" i="7"/>
  <c r="E407" i="7" s="1"/>
  <c r="E85" i="17"/>
  <c r="G65" i="17"/>
  <c r="G121" i="17"/>
  <c r="F4" i="4"/>
  <c r="D93" i="17"/>
  <c r="S18" i="4"/>
  <c r="J32" i="6"/>
  <c r="D59" i="17"/>
  <c r="D60" i="17" s="1"/>
  <c r="G123" i="7"/>
  <c r="G158" i="7"/>
  <c r="H38" i="17"/>
  <c r="H39" i="17" s="1"/>
  <c r="G188" i="7"/>
  <c r="G190" i="7" s="1"/>
  <c r="H67" i="17"/>
  <c r="H68" i="17" s="1"/>
  <c r="F571" i="7"/>
  <c r="G127" i="17"/>
  <c r="H70" i="17"/>
  <c r="H71" i="17" s="1"/>
  <c r="G225" i="7"/>
  <c r="R157" i="2"/>
  <c r="T55" i="2"/>
  <c r="T163" i="2"/>
  <c r="T103" i="2"/>
  <c r="T57" i="2"/>
  <c r="T104" i="2"/>
  <c r="S86" i="2"/>
  <c r="P97" i="2"/>
  <c r="Q97" i="2" s="1"/>
  <c r="S97" i="2"/>
  <c r="T138" i="2"/>
  <c r="S137" i="2"/>
  <c r="T75" i="2"/>
  <c r="S27" i="2"/>
  <c r="T29" i="2"/>
  <c r="P67" i="2"/>
  <c r="P65" i="2" s="1"/>
  <c r="Q65" i="2" s="1"/>
  <c r="S67" i="2"/>
  <c r="P40" i="2"/>
  <c r="Q40" i="2" s="1"/>
  <c r="S40" i="2"/>
  <c r="P91" i="2"/>
  <c r="Q91" i="2" s="1"/>
  <c r="S91" i="2"/>
  <c r="P71" i="2"/>
  <c r="Q71" i="2" s="1"/>
  <c r="S71" i="2"/>
  <c r="P93" i="2"/>
  <c r="Q93" i="2" s="1"/>
  <c r="S93" i="2"/>
  <c r="S53" i="2"/>
  <c r="Q112" i="2"/>
  <c r="U112" i="2"/>
  <c r="Q102" i="2"/>
  <c r="U102" i="2"/>
  <c r="Q59" i="2"/>
  <c r="U59" i="2"/>
  <c r="Q116" i="2"/>
  <c r="U116" i="2"/>
  <c r="Q117" i="2"/>
  <c r="U117" i="2"/>
  <c r="U157" i="2"/>
  <c r="T157" i="2"/>
  <c r="F110" i="2"/>
  <c r="L110" i="2"/>
  <c r="K110" i="2"/>
  <c r="O110" i="2"/>
  <c r="N110" i="2"/>
  <c r="R110" i="2"/>
  <c r="Q110" i="2"/>
  <c r="I110" i="2"/>
  <c r="H110" i="2"/>
  <c r="E612" i="7"/>
  <c r="E189" i="7"/>
  <c r="I15" i="6"/>
  <c r="F25" i="7"/>
  <c r="O112" i="2"/>
  <c r="R101" i="2"/>
  <c r="R117" i="2"/>
  <c r="L101" i="2"/>
  <c r="M55" i="2"/>
  <c r="N55" i="2" s="1"/>
  <c r="P55" i="2"/>
  <c r="M163" i="2"/>
  <c r="N163" i="2" s="1"/>
  <c r="P163" i="2"/>
  <c r="U163" i="2" s="1"/>
  <c r="M103" i="2"/>
  <c r="N103" i="2" s="1"/>
  <c r="P103" i="2"/>
  <c r="M57" i="2"/>
  <c r="N57" i="2" s="1"/>
  <c r="P57" i="2"/>
  <c r="U57" i="2" s="1"/>
  <c r="M104" i="2"/>
  <c r="N104" i="2" s="1"/>
  <c r="P104" i="2"/>
  <c r="P86" i="2"/>
  <c r="M138" i="2"/>
  <c r="M137" i="2" s="1"/>
  <c r="P138" i="2"/>
  <c r="U138" i="2" s="1"/>
  <c r="M75" i="2"/>
  <c r="N75" i="2" s="1"/>
  <c r="P75" i="2"/>
  <c r="P27" i="2"/>
  <c r="Q27" i="2" s="1"/>
  <c r="M16" i="2"/>
  <c r="R16" i="2" s="1"/>
  <c r="P29" i="2"/>
  <c r="U29" i="2" s="1"/>
  <c r="M29" i="2"/>
  <c r="J29" i="2"/>
  <c r="G29" i="2"/>
  <c r="D29" i="2"/>
  <c r="B29" i="2"/>
  <c r="P53" i="2"/>
  <c r="Q53" i="2" s="1"/>
  <c r="Q101" i="2"/>
  <c r="R112" i="2"/>
  <c r="R102" i="2"/>
  <c r="R59" i="2"/>
  <c r="R116" i="2"/>
  <c r="N118" i="2"/>
  <c r="R118" i="2"/>
  <c r="M19" i="4"/>
  <c r="N18" i="4"/>
  <c r="C321" i="7"/>
  <c r="N49" i="4"/>
  <c r="R25" i="6"/>
  <c r="Q28" i="6"/>
  <c r="E365" i="7"/>
  <c r="D547" i="7"/>
  <c r="E613" i="7"/>
  <c r="F117" i="2"/>
  <c r="I117" i="2"/>
  <c r="H117" i="2"/>
  <c r="L117" i="2"/>
  <c r="K117" i="2"/>
  <c r="O117" i="2"/>
  <c r="N117" i="2"/>
  <c r="F506" i="7"/>
  <c r="F336" i="7"/>
  <c r="F602" i="7"/>
  <c r="G603" i="7" s="1"/>
  <c r="D548" i="7"/>
  <c r="E549" i="7"/>
  <c r="K40" i="4"/>
  <c r="L157" i="2"/>
  <c r="C22" i="7"/>
  <c r="J6" i="6"/>
  <c r="D24" i="7"/>
  <c r="E25" i="7" s="1"/>
  <c r="M10" i="6"/>
  <c r="N157" i="2"/>
  <c r="M86" i="2"/>
  <c r="O157" i="2"/>
  <c r="K101" i="2"/>
  <c r="O102" i="2"/>
  <c r="O59" i="2"/>
  <c r="O118" i="2"/>
  <c r="O116" i="2"/>
  <c r="M27" i="2"/>
  <c r="M53" i="2"/>
  <c r="J97" i="2"/>
  <c r="K97" i="2" s="1"/>
  <c r="M97" i="2"/>
  <c r="J67" i="2"/>
  <c r="J65" i="2" s="1"/>
  <c r="K65" i="2" s="1"/>
  <c r="M67" i="2"/>
  <c r="J40" i="2"/>
  <c r="K40" i="2" s="1"/>
  <c r="M40" i="2"/>
  <c r="J91" i="2"/>
  <c r="K91" i="2" s="1"/>
  <c r="M91" i="2"/>
  <c r="J71" i="2"/>
  <c r="K71" i="2" s="1"/>
  <c r="M71" i="2"/>
  <c r="J93" i="2"/>
  <c r="K93" i="2" s="1"/>
  <c r="M93" i="2"/>
  <c r="O101" i="2"/>
  <c r="N101" i="2"/>
  <c r="L118" i="2"/>
  <c r="C3" i="7"/>
  <c r="D3" i="7"/>
  <c r="E3" i="4"/>
  <c r="C320" i="7" s="1"/>
  <c r="G55" i="2"/>
  <c r="J55" i="2"/>
  <c r="K55" i="2" s="1"/>
  <c r="G163" i="2"/>
  <c r="J163" i="2"/>
  <c r="G103" i="2"/>
  <c r="J103" i="2"/>
  <c r="G57" i="2"/>
  <c r="J57" i="2"/>
  <c r="G104" i="2"/>
  <c r="J104" i="2"/>
  <c r="K104" i="2" s="1"/>
  <c r="J86" i="2"/>
  <c r="G138" i="2"/>
  <c r="J138" i="2"/>
  <c r="G75" i="2"/>
  <c r="J75" i="2"/>
  <c r="K75" i="2" s="1"/>
  <c r="J27" i="2"/>
  <c r="K27" i="2" s="1"/>
  <c r="G16" i="2"/>
  <c r="J16" i="2"/>
  <c r="J53" i="2"/>
  <c r="K53" i="2" s="1"/>
  <c r="K112" i="2"/>
  <c r="L112" i="2"/>
  <c r="L102" i="2"/>
  <c r="L59" i="2"/>
  <c r="L116" i="2"/>
  <c r="D330" i="7"/>
  <c r="J13" i="4"/>
  <c r="I50" i="4"/>
  <c r="L50" i="4" s="1"/>
  <c r="I32" i="4"/>
  <c r="L32" i="4" s="1"/>
  <c r="J34" i="4"/>
  <c r="I44" i="4"/>
  <c r="L44" i="4" s="1"/>
  <c r="J12" i="5"/>
  <c r="I12" i="5" s="1"/>
  <c r="I10" i="6"/>
  <c r="P693" i="1"/>
  <c r="H4" i="4"/>
  <c r="C417" i="7"/>
  <c r="E52" i="4"/>
  <c r="G51" i="4"/>
  <c r="J51" i="4" s="1"/>
  <c r="B418" i="7"/>
  <c r="C54" i="4"/>
  <c r="J54" i="4"/>
  <c r="E45" i="4"/>
  <c r="E54" i="4"/>
  <c r="F12" i="4"/>
  <c r="C612" i="7"/>
  <c r="D365" i="7"/>
  <c r="F157" i="2"/>
  <c r="I157" i="2"/>
  <c r="H157" i="2"/>
  <c r="E7" i="4"/>
  <c r="D97" i="17" s="1"/>
  <c r="E13" i="4"/>
  <c r="D104" i="17" s="1"/>
  <c r="H15" i="4"/>
  <c r="G42" i="4"/>
  <c r="J42" i="4" s="1"/>
  <c r="F5" i="6"/>
  <c r="G86" i="2"/>
  <c r="G27" i="2"/>
  <c r="G53" i="2"/>
  <c r="D97" i="2"/>
  <c r="G97" i="2"/>
  <c r="B67" i="2"/>
  <c r="G67" i="2"/>
  <c r="B40" i="2"/>
  <c r="G40" i="2"/>
  <c r="D91" i="2"/>
  <c r="G91" i="2"/>
  <c r="B71" i="2"/>
  <c r="G71" i="2"/>
  <c r="D93" i="2"/>
  <c r="G93" i="2"/>
  <c r="C166" i="7"/>
  <c r="C332" i="7"/>
  <c r="D53" i="2"/>
  <c r="D40" i="2"/>
  <c r="B53" i="2"/>
  <c r="F22" i="4"/>
  <c r="D67" i="2"/>
  <c r="F164" i="2"/>
  <c r="F36" i="4"/>
  <c r="C45" i="4"/>
  <c r="C418" i="7"/>
  <c r="F25" i="5"/>
  <c r="D75" i="2"/>
  <c r="B75" i="2"/>
  <c r="E27" i="4"/>
  <c r="B91" i="2"/>
  <c r="D16" i="2"/>
  <c r="B16" i="2"/>
  <c r="B97" i="2"/>
  <c r="D71" i="2"/>
  <c r="B93" i="2"/>
  <c r="D103" i="2"/>
  <c r="B103" i="2"/>
  <c r="D57" i="2"/>
  <c r="B57" i="2"/>
  <c r="D55" i="2"/>
  <c r="B55" i="2"/>
  <c r="D163" i="2"/>
  <c r="B163" i="2"/>
  <c r="D104" i="2"/>
  <c r="B104" i="2"/>
  <c r="D86" i="2"/>
  <c r="B86" i="2"/>
  <c r="D138" i="2"/>
  <c r="B138" i="2"/>
  <c r="D27" i="2"/>
  <c r="B27" i="2"/>
  <c r="D36" i="4"/>
  <c r="G7" i="6"/>
  <c r="G33" i="6"/>
  <c r="G9" i="6"/>
  <c r="C32" i="6"/>
  <c r="G26" i="6"/>
  <c r="G24" i="6"/>
  <c r="D8" i="6"/>
  <c r="D3" i="6"/>
  <c r="C6" i="6"/>
  <c r="C11" i="17" s="1"/>
  <c r="C12" i="17" s="1"/>
  <c r="F36" i="6"/>
  <c r="F34" i="6"/>
  <c r="F30" i="6"/>
  <c r="F33" i="6"/>
  <c r="F24" i="6"/>
  <c r="F3" i="6"/>
  <c r="F32" i="6"/>
  <c r="G3" i="6"/>
  <c r="F4" i="6"/>
  <c r="F6" i="6"/>
  <c r="D29" i="6"/>
  <c r="D26" i="6"/>
  <c r="D7" i="6"/>
  <c r="D9" i="6"/>
  <c r="D27" i="6"/>
  <c r="G29" i="6"/>
  <c r="F7" i="6"/>
  <c r="F8" i="6"/>
  <c r="F9" i="6"/>
  <c r="F29" i="6"/>
  <c r="D24" i="6"/>
  <c r="G27" i="6"/>
  <c r="F27" i="6"/>
  <c r="G34" i="6"/>
  <c r="D34" i="6"/>
  <c r="F26" i="6"/>
  <c r="D33" i="6"/>
  <c r="D36" i="6"/>
  <c r="G36" i="6"/>
  <c r="K216" i="1"/>
  <c r="S44" i="2" s="1"/>
  <c r="N190" i="1" a="1"/>
  <c r="N190" i="1" s="1"/>
  <c r="I216" i="1"/>
  <c r="N123" i="1" a="1"/>
  <c r="N123" i="1" s="1"/>
  <c r="K135" i="1"/>
  <c r="S64" i="2" s="1"/>
  <c r="I135" i="1"/>
  <c r="N100" i="1" a="1"/>
  <c r="N100" i="1" s="1"/>
  <c r="N101" i="1" a="1"/>
  <c r="N101" i="1" s="1"/>
  <c r="K113" i="1"/>
  <c r="I113" i="1"/>
  <c r="K111" i="1"/>
  <c r="I111" i="1"/>
  <c r="K171" i="1"/>
  <c r="S107" i="2" s="1"/>
  <c r="K189" i="1"/>
  <c r="K205" i="1"/>
  <c r="K206" i="1"/>
  <c r="K207" i="1"/>
  <c r="K214" i="1"/>
  <c r="K237" i="1"/>
  <c r="K261" i="1"/>
  <c r="S105" i="2" s="1"/>
  <c r="K262" i="1"/>
  <c r="S158" i="2" s="1"/>
  <c r="K263" i="1"/>
  <c r="S58" i="2" s="1"/>
  <c r="K293" i="1"/>
  <c r="K353" i="1"/>
  <c r="K364" i="1"/>
  <c r="K365" i="1"/>
  <c r="S159" i="2" s="1"/>
  <c r="K366" i="1"/>
  <c r="K367" i="1"/>
  <c r="K378" i="1"/>
  <c r="N344" i="1" a="1"/>
  <c r="N344" i="1" s="1"/>
  <c r="N345" i="1" a="1"/>
  <c r="N345" i="1" s="1"/>
  <c r="N346" i="1" a="1"/>
  <c r="N346" i="1" s="1"/>
  <c r="N347" i="1" a="1"/>
  <c r="N347" i="1" s="1"/>
  <c r="N348" i="1" a="1"/>
  <c r="N348" i="1" s="1"/>
  <c r="N349" i="1" a="1"/>
  <c r="N349" i="1" s="1"/>
  <c r="N350" i="1" a="1"/>
  <c r="N350" i="1" s="1"/>
  <c r="N351" i="1" a="1"/>
  <c r="N351" i="1" s="1"/>
  <c r="N352" i="1" a="1"/>
  <c r="N352" i="1" s="1"/>
  <c r="N353" i="1" a="1"/>
  <c r="N353" i="1" s="1"/>
  <c r="N354" i="1" a="1"/>
  <c r="N354" i="1" s="1"/>
  <c r="N355" i="1" a="1"/>
  <c r="N355" i="1" s="1"/>
  <c r="N356" i="1" a="1"/>
  <c r="N356" i="1" s="1"/>
  <c r="N357" i="1" a="1"/>
  <c r="N357" i="1" s="1"/>
  <c r="N358" i="1" a="1"/>
  <c r="N358" i="1" s="1"/>
  <c r="N359" i="1" a="1"/>
  <c r="N359" i="1" s="1"/>
  <c r="N360" i="1" a="1"/>
  <c r="N360" i="1" s="1"/>
  <c r="N361" i="1" a="1"/>
  <c r="N361" i="1" s="1"/>
  <c r="B4" i="2"/>
  <c r="N343" i="1" a="1"/>
  <c r="N343" i="1" s="1"/>
  <c r="N342" i="1" a="1"/>
  <c r="N342" i="1" s="1"/>
  <c r="N341" i="1" a="1"/>
  <c r="N341" i="1" s="1"/>
  <c r="N340" i="1" a="1"/>
  <c r="N340" i="1" s="1"/>
  <c r="N339" i="1" a="1"/>
  <c r="N339" i="1" s="1"/>
  <c r="N338" i="1" a="1"/>
  <c r="N338" i="1" s="1"/>
  <c r="N337" i="1" a="1"/>
  <c r="N337" i="1" s="1"/>
  <c r="N336" i="1" a="1"/>
  <c r="N336" i="1" s="1"/>
  <c r="N335" i="1" a="1"/>
  <c r="N335" i="1" s="1"/>
  <c r="N334" i="1" a="1"/>
  <c r="N334" i="1" s="1"/>
  <c r="N333" i="1" a="1"/>
  <c r="N333" i="1" s="1"/>
  <c r="N332" i="1" a="1"/>
  <c r="N332" i="1" s="1"/>
  <c r="N331" i="1" a="1"/>
  <c r="N331" i="1" s="1"/>
  <c r="N330" i="1" a="1"/>
  <c r="N330" i="1" s="1"/>
  <c r="N329" i="1" a="1"/>
  <c r="N329" i="1" s="1"/>
  <c r="N328" i="1" a="1"/>
  <c r="N328" i="1" s="1"/>
  <c r="N327" i="1" a="1"/>
  <c r="N327" i="1" s="1"/>
  <c r="N326" i="1" a="1"/>
  <c r="N326" i="1" s="1"/>
  <c r="N325" i="1" a="1"/>
  <c r="N325" i="1" s="1"/>
  <c r="N324" i="1" a="1"/>
  <c r="N324" i="1" s="1"/>
  <c r="N323" i="1" a="1"/>
  <c r="N323" i="1" s="1"/>
  <c r="N322" i="1" a="1"/>
  <c r="N322" i="1" s="1"/>
  <c r="N321" i="1" a="1"/>
  <c r="N321" i="1" s="1"/>
  <c r="N320" i="1" a="1"/>
  <c r="N320" i="1" s="1"/>
  <c r="N319" i="1" a="1"/>
  <c r="N319" i="1" s="1"/>
  <c r="N318" i="1" a="1"/>
  <c r="N318" i="1" s="1"/>
  <c r="N317" i="1" a="1"/>
  <c r="N317" i="1" s="1"/>
  <c r="N316" i="1" a="1"/>
  <c r="N316" i="1" s="1"/>
  <c r="N315" i="1" a="1"/>
  <c r="N315" i="1" s="1"/>
  <c r="N314" i="1" a="1"/>
  <c r="N314" i="1" s="1"/>
  <c r="N313" i="1" a="1"/>
  <c r="N313" i="1" s="1"/>
  <c r="N312" i="1" a="1"/>
  <c r="N312" i="1" s="1"/>
  <c r="N311" i="1" a="1"/>
  <c r="N311" i="1" s="1"/>
  <c r="N310" i="1" a="1"/>
  <c r="N310" i="1" s="1"/>
  <c r="N309" i="1" a="1"/>
  <c r="N309" i="1" s="1"/>
  <c r="N308" i="1" a="1"/>
  <c r="N308" i="1" s="1"/>
  <c r="N307" i="1" a="1"/>
  <c r="N307" i="1" s="1"/>
  <c r="N306" i="1" a="1"/>
  <c r="N306" i="1" s="1"/>
  <c r="N305" i="1" a="1"/>
  <c r="N305" i="1" s="1"/>
  <c r="N304" i="1" a="1"/>
  <c r="N304" i="1" s="1"/>
  <c r="N303" i="1" a="1"/>
  <c r="N303" i="1" s="1"/>
  <c r="N302" i="1" a="1"/>
  <c r="N302" i="1" s="1"/>
  <c r="N301" i="1" a="1"/>
  <c r="N301" i="1" s="1"/>
  <c r="N300" i="1" a="1"/>
  <c r="N300" i="1" s="1"/>
  <c r="N299" i="1" a="1"/>
  <c r="N299" i="1" s="1"/>
  <c r="N298" i="1" a="1"/>
  <c r="N298" i="1" s="1"/>
  <c r="N297" i="1" a="1"/>
  <c r="N297" i="1" s="1"/>
  <c r="N296" i="1" a="1"/>
  <c r="N296" i="1" s="1"/>
  <c r="N295" i="1" a="1"/>
  <c r="N295" i="1" s="1"/>
  <c r="N294" i="1" a="1"/>
  <c r="N294" i="1" s="1"/>
  <c r="N293" i="1" a="1"/>
  <c r="N293" i="1" s="1"/>
  <c r="N292" i="1" a="1"/>
  <c r="N292" i="1" s="1"/>
  <c r="N291" i="1" a="1"/>
  <c r="N291" i="1" s="1"/>
  <c r="N290" i="1" a="1"/>
  <c r="N290" i="1" s="1"/>
  <c r="N289" i="1" a="1"/>
  <c r="N289" i="1" s="1"/>
  <c r="N288" i="1" a="1"/>
  <c r="N288" i="1" s="1"/>
  <c r="N287" i="1" a="1"/>
  <c r="N287" i="1" s="1"/>
  <c r="N286" i="1" a="1"/>
  <c r="N286" i="1" s="1"/>
  <c r="N285" i="1" a="1"/>
  <c r="N285" i="1" s="1"/>
  <c r="N284" i="1" a="1"/>
  <c r="N284" i="1" s="1"/>
  <c r="N283" i="1" a="1"/>
  <c r="N283" i="1" s="1"/>
  <c r="N282" i="1" a="1"/>
  <c r="N282" i="1" s="1"/>
  <c r="N281" i="1" a="1"/>
  <c r="N281" i="1" s="1"/>
  <c r="N280" i="1" a="1"/>
  <c r="N280" i="1" s="1"/>
  <c r="N279" i="1" a="1"/>
  <c r="N279" i="1" s="1"/>
  <c r="N278" i="1" a="1"/>
  <c r="N278" i="1" s="1"/>
  <c r="N277" i="1" a="1"/>
  <c r="N277" i="1" s="1"/>
  <c r="N276" i="1" a="1"/>
  <c r="N276" i="1" s="1"/>
  <c r="N275" i="1" a="1"/>
  <c r="N275" i="1" s="1"/>
  <c r="N274" i="1" a="1"/>
  <c r="N274" i="1" s="1"/>
  <c r="N273" i="1" a="1"/>
  <c r="N273" i="1" s="1"/>
  <c r="N272" i="1" a="1"/>
  <c r="N272" i="1" s="1"/>
  <c r="N271" i="1" a="1"/>
  <c r="N271" i="1" s="1"/>
  <c r="N270" i="1" a="1"/>
  <c r="N270" i="1" s="1"/>
  <c r="N269" i="1" a="1"/>
  <c r="N269" i="1" s="1"/>
  <c r="N268" i="1" a="1"/>
  <c r="N268" i="1" s="1"/>
  <c r="N267" i="1" a="1"/>
  <c r="N267" i="1" s="1"/>
  <c r="N266" i="1" a="1"/>
  <c r="N266" i="1" s="1"/>
  <c r="N265" i="1" a="1"/>
  <c r="N265" i="1" s="1"/>
  <c r="N264" i="1" a="1"/>
  <c r="N264" i="1" s="1"/>
  <c r="N263" i="1" a="1"/>
  <c r="N263" i="1" s="1"/>
  <c r="N262" i="1" a="1"/>
  <c r="N262" i="1" s="1"/>
  <c r="N261" i="1" a="1"/>
  <c r="N261" i="1" s="1"/>
  <c r="N260" i="1" a="1"/>
  <c r="N260" i="1" s="1"/>
  <c r="N259" i="1" a="1"/>
  <c r="N259" i="1" s="1"/>
  <c r="N258" i="1" a="1"/>
  <c r="N258" i="1" s="1"/>
  <c r="N257" i="1" a="1"/>
  <c r="N257" i="1" s="1"/>
  <c r="N256" i="1" a="1"/>
  <c r="N256" i="1" s="1"/>
  <c r="N255" i="1" a="1"/>
  <c r="N255" i="1" s="1"/>
  <c r="N254" i="1" a="1"/>
  <c r="N254" i="1" s="1"/>
  <c r="N253" i="1" a="1"/>
  <c r="N253" i="1" s="1"/>
  <c r="N252" i="1" a="1"/>
  <c r="N252" i="1" s="1"/>
  <c r="N251" i="1" a="1"/>
  <c r="N251" i="1" s="1"/>
  <c r="N250" i="1" a="1"/>
  <c r="N250" i="1" s="1"/>
  <c r="N249" i="1" a="1"/>
  <c r="N249" i="1" s="1"/>
  <c r="N248" i="1" a="1"/>
  <c r="N248" i="1" s="1"/>
  <c r="N247" i="1" a="1"/>
  <c r="N247" i="1" s="1"/>
  <c r="N246" i="1" a="1"/>
  <c r="N246" i="1" s="1"/>
  <c r="N245" i="1" a="1"/>
  <c r="N245" i="1" s="1"/>
  <c r="N244" i="1" a="1"/>
  <c r="N244" i="1" s="1"/>
  <c r="N243" i="1" a="1"/>
  <c r="N243" i="1" s="1"/>
  <c r="N242" i="1" a="1"/>
  <c r="N242" i="1" s="1"/>
  <c r="N241" i="1" a="1"/>
  <c r="N241" i="1" s="1"/>
  <c r="N240" i="1" a="1"/>
  <c r="N240" i="1" s="1"/>
  <c r="N239" i="1" a="1"/>
  <c r="N239" i="1" s="1"/>
  <c r="N238" i="1" a="1"/>
  <c r="N238" i="1" s="1"/>
  <c r="N237" i="1" a="1"/>
  <c r="N237" i="1" s="1"/>
  <c r="N236" i="1" a="1"/>
  <c r="N236" i="1" s="1"/>
  <c r="N235" i="1" a="1"/>
  <c r="N235" i="1" s="1"/>
  <c r="N234" i="1" a="1"/>
  <c r="N234" i="1" s="1"/>
  <c r="N233" i="1" a="1"/>
  <c r="N233" i="1" s="1"/>
  <c r="N232" i="1" a="1"/>
  <c r="N232" i="1" s="1"/>
  <c r="N231" i="1" a="1"/>
  <c r="N231" i="1" s="1"/>
  <c r="N230" i="1" a="1"/>
  <c r="N230" i="1" s="1"/>
  <c r="N229" i="1" a="1"/>
  <c r="N229" i="1" s="1"/>
  <c r="N228" i="1" a="1"/>
  <c r="N228" i="1" s="1"/>
  <c r="N227" i="1" a="1"/>
  <c r="N227" i="1" s="1"/>
  <c r="N226" i="1" a="1"/>
  <c r="N226" i="1" s="1"/>
  <c r="N225" i="1" a="1"/>
  <c r="N225" i="1" s="1"/>
  <c r="N224" i="1" a="1"/>
  <c r="N224" i="1" s="1"/>
  <c r="N223" i="1" a="1"/>
  <c r="N223" i="1" s="1"/>
  <c r="N222" i="1" a="1"/>
  <c r="N222" i="1" s="1"/>
  <c r="N221" i="1" a="1"/>
  <c r="N221" i="1" s="1"/>
  <c r="N220" i="1" a="1"/>
  <c r="N220" i="1" s="1"/>
  <c r="N219" i="1" a="1"/>
  <c r="N219" i="1" s="1"/>
  <c r="N218" i="1" a="1"/>
  <c r="N218" i="1" s="1"/>
  <c r="N217" i="1" a="1"/>
  <c r="N217" i="1" s="1"/>
  <c r="N216" i="1" a="1"/>
  <c r="N216" i="1" s="1"/>
  <c r="N215" i="1" a="1"/>
  <c r="N215" i="1" s="1"/>
  <c r="N214" i="1" a="1"/>
  <c r="N214" i="1" s="1"/>
  <c r="N213" i="1" a="1"/>
  <c r="N213" i="1" s="1"/>
  <c r="N212" i="1" a="1"/>
  <c r="N212" i="1" s="1"/>
  <c r="N211" i="1" a="1"/>
  <c r="N211" i="1" s="1"/>
  <c r="N210" i="1" a="1"/>
  <c r="N210" i="1" s="1"/>
  <c r="N209" i="1" a="1"/>
  <c r="N209" i="1" s="1"/>
  <c r="N208" i="1" a="1"/>
  <c r="N208" i="1" s="1"/>
  <c r="N207" i="1" a="1"/>
  <c r="N207" i="1" s="1"/>
  <c r="N206" i="1" a="1"/>
  <c r="N206" i="1" s="1"/>
  <c r="N205" i="1" a="1"/>
  <c r="N205" i="1" s="1"/>
  <c r="N204" i="1" a="1"/>
  <c r="N204" i="1" s="1"/>
  <c r="N203" i="1" a="1"/>
  <c r="N203" i="1" s="1"/>
  <c r="N202" i="1" a="1"/>
  <c r="N202" i="1" s="1"/>
  <c r="N201" i="1" a="1"/>
  <c r="N201" i="1" s="1"/>
  <c r="N200" i="1" a="1"/>
  <c r="N200" i="1" s="1"/>
  <c r="N199" i="1" a="1"/>
  <c r="N199" i="1" s="1"/>
  <c r="N198" i="1" a="1"/>
  <c r="N198" i="1" s="1"/>
  <c r="N197" i="1" a="1"/>
  <c r="N197" i="1" s="1"/>
  <c r="N196" i="1" a="1"/>
  <c r="N196" i="1" s="1"/>
  <c r="N195" i="1" a="1"/>
  <c r="N195" i="1" s="1"/>
  <c r="N194" i="1" a="1"/>
  <c r="N194" i="1" s="1"/>
  <c r="N193" i="1" a="1"/>
  <c r="N193" i="1" s="1"/>
  <c r="N192" i="1" a="1"/>
  <c r="N192" i="1" s="1"/>
  <c r="N191" i="1" a="1"/>
  <c r="N191" i="1" s="1"/>
  <c r="N189" i="1" a="1"/>
  <c r="N189" i="1" s="1"/>
  <c r="N188" i="1" a="1"/>
  <c r="N188" i="1" s="1"/>
  <c r="N187" i="1" a="1"/>
  <c r="N187" i="1" s="1"/>
  <c r="N186" i="1" a="1"/>
  <c r="N186" i="1" s="1"/>
  <c r="N185" i="1" a="1"/>
  <c r="N185" i="1" s="1"/>
  <c r="N184" i="1" a="1"/>
  <c r="N184" i="1" s="1"/>
  <c r="N183" i="1" a="1"/>
  <c r="N183" i="1" s="1"/>
  <c r="N182" i="1" a="1"/>
  <c r="N182" i="1" s="1"/>
  <c r="N181" i="1" a="1"/>
  <c r="N181" i="1" s="1"/>
  <c r="N180" i="1" a="1"/>
  <c r="N180" i="1" s="1"/>
  <c r="N179" i="1" a="1"/>
  <c r="N179" i="1" s="1"/>
  <c r="N178" i="1" a="1"/>
  <c r="N178" i="1" s="1"/>
  <c r="N177" i="1" a="1"/>
  <c r="N177" i="1" s="1"/>
  <c r="N176" i="1" a="1"/>
  <c r="N176" i="1" s="1"/>
  <c r="N175" i="1" a="1"/>
  <c r="N175" i="1" s="1"/>
  <c r="N174" i="1" a="1"/>
  <c r="N174" i="1" s="1"/>
  <c r="N173" i="1" a="1"/>
  <c r="N173" i="1" s="1"/>
  <c r="N172" i="1" a="1"/>
  <c r="N172" i="1" s="1"/>
  <c r="N171" i="1" a="1"/>
  <c r="N171" i="1" s="1"/>
  <c r="N170" i="1" a="1"/>
  <c r="N170" i="1" s="1"/>
  <c r="N169" i="1" a="1"/>
  <c r="N169" i="1" s="1"/>
  <c r="N168" i="1" a="1"/>
  <c r="N168" i="1" s="1"/>
  <c r="N167" i="1" a="1"/>
  <c r="N167" i="1" s="1"/>
  <c r="N166" i="1" a="1"/>
  <c r="N166" i="1" s="1"/>
  <c r="N165" i="1" a="1"/>
  <c r="N165" i="1" s="1"/>
  <c r="N164" i="1" a="1"/>
  <c r="N164" i="1" s="1"/>
  <c r="N163" i="1" a="1"/>
  <c r="N163" i="1" s="1"/>
  <c r="N162" i="1" a="1"/>
  <c r="N162" i="1" s="1"/>
  <c r="N161" i="1" a="1"/>
  <c r="N161" i="1" s="1"/>
  <c r="N160" i="1" a="1"/>
  <c r="N160" i="1" s="1"/>
  <c r="N159" i="1" a="1"/>
  <c r="N159" i="1" s="1"/>
  <c r="N158" i="1" a="1"/>
  <c r="N158" i="1" s="1"/>
  <c r="N157" i="1" a="1"/>
  <c r="N157" i="1" s="1"/>
  <c r="N156" i="1" a="1"/>
  <c r="N156" i="1" s="1"/>
  <c r="N155" i="1" a="1"/>
  <c r="N155" i="1" s="1"/>
  <c r="N154" i="1" a="1"/>
  <c r="N154" i="1" s="1"/>
  <c r="N153" i="1" a="1"/>
  <c r="N153" i="1" s="1"/>
  <c r="N152" i="1" a="1"/>
  <c r="N152" i="1" s="1"/>
  <c r="N151" i="1" a="1"/>
  <c r="N151" i="1" s="1"/>
  <c r="N150" i="1" a="1"/>
  <c r="N150" i="1" s="1"/>
  <c r="N149" i="1" a="1"/>
  <c r="N149" i="1" s="1"/>
  <c r="N148" i="1" a="1"/>
  <c r="N148" i="1" s="1"/>
  <c r="N147" i="1" a="1"/>
  <c r="N147" i="1" s="1"/>
  <c r="N146" i="1" a="1"/>
  <c r="N146" i="1" s="1"/>
  <c r="N145" i="1" a="1"/>
  <c r="N145" i="1" s="1"/>
  <c r="N144" i="1" a="1"/>
  <c r="N144" i="1" s="1"/>
  <c r="N143" i="1" a="1"/>
  <c r="N143" i="1" s="1"/>
  <c r="N142" i="1" a="1"/>
  <c r="N142" i="1" s="1"/>
  <c r="N141" i="1" a="1"/>
  <c r="N141" i="1" s="1"/>
  <c r="N140" i="1" a="1"/>
  <c r="N140" i="1" s="1"/>
  <c r="N139" i="1" a="1"/>
  <c r="N139" i="1" s="1"/>
  <c r="N138" i="1" a="1"/>
  <c r="N138" i="1" s="1"/>
  <c r="N137" i="1" a="1"/>
  <c r="N137" i="1" s="1"/>
  <c r="N136" i="1" a="1"/>
  <c r="N136" i="1" s="1"/>
  <c r="N135" i="1" a="1"/>
  <c r="N135" i="1" s="1"/>
  <c r="N134" i="1" a="1"/>
  <c r="N134" i="1" s="1"/>
  <c r="N133" i="1" a="1"/>
  <c r="N133" i="1" s="1"/>
  <c r="N132" i="1" a="1"/>
  <c r="N132" i="1" s="1"/>
  <c r="N131" i="1" a="1"/>
  <c r="N131" i="1" s="1"/>
  <c r="N130" i="1" a="1"/>
  <c r="N130" i="1" s="1"/>
  <c r="N129" i="1" a="1"/>
  <c r="N129" i="1" s="1"/>
  <c r="N128" i="1" a="1"/>
  <c r="N128" i="1" s="1"/>
  <c r="N127" i="1" a="1"/>
  <c r="N127" i="1" s="1"/>
  <c r="N126" i="1" a="1"/>
  <c r="N126" i="1" s="1"/>
  <c r="N125" i="1" a="1"/>
  <c r="N125" i="1" s="1"/>
  <c r="N124" i="1" a="1"/>
  <c r="N124" i="1" s="1"/>
  <c r="N122" i="1" a="1"/>
  <c r="N122" i="1" s="1"/>
  <c r="N121" i="1" a="1"/>
  <c r="N121" i="1" s="1"/>
  <c r="N120" i="1" a="1"/>
  <c r="N120" i="1" s="1"/>
  <c r="N119" i="1" a="1"/>
  <c r="N119" i="1" s="1"/>
  <c r="N118" i="1" a="1"/>
  <c r="N118" i="1" s="1"/>
  <c r="N117" i="1" a="1"/>
  <c r="N117" i="1" s="1"/>
  <c r="N116" i="1" a="1"/>
  <c r="N116" i="1" s="1"/>
  <c r="N115" i="1" a="1"/>
  <c r="N115" i="1" s="1"/>
  <c r="N114" i="1" a="1"/>
  <c r="N114" i="1" s="1"/>
  <c r="N113" i="1" a="1"/>
  <c r="N113" i="1" s="1"/>
  <c r="N112" i="1" a="1"/>
  <c r="N112" i="1" s="1"/>
  <c r="N111" i="1" a="1"/>
  <c r="N111" i="1" s="1"/>
  <c r="N110" i="1" a="1"/>
  <c r="N110" i="1" s="1"/>
  <c r="N109" i="1" a="1"/>
  <c r="N109" i="1" s="1"/>
  <c r="N108" i="1" a="1"/>
  <c r="N108" i="1" s="1"/>
  <c r="N107" i="1" a="1"/>
  <c r="N107" i="1" s="1"/>
  <c r="N106" i="1" a="1"/>
  <c r="N106" i="1" s="1"/>
  <c r="N105" i="1" a="1"/>
  <c r="N105" i="1" s="1"/>
  <c r="N104" i="1" a="1"/>
  <c r="N104" i="1" s="1"/>
  <c r="N103" i="1" a="1"/>
  <c r="N103" i="1" s="1"/>
  <c r="N102" i="1" a="1"/>
  <c r="N102" i="1" s="1"/>
  <c r="N99" i="1" a="1"/>
  <c r="N99" i="1" s="1"/>
  <c r="N98" i="1" a="1"/>
  <c r="N98" i="1" s="1"/>
  <c r="N97" i="1" a="1"/>
  <c r="N97" i="1" s="1"/>
  <c r="N96" i="1" a="1"/>
  <c r="N96" i="1" s="1"/>
  <c r="N95" i="1" a="1"/>
  <c r="N95" i="1" s="1"/>
  <c r="N94" i="1" a="1"/>
  <c r="N94" i="1" s="1"/>
  <c r="N93" i="1" a="1"/>
  <c r="N93" i="1" s="1"/>
  <c r="N92" i="1" a="1"/>
  <c r="N92" i="1" s="1"/>
  <c r="N91" i="1" a="1"/>
  <c r="N91" i="1" s="1"/>
  <c r="N90" i="1" a="1"/>
  <c r="N90" i="1" s="1"/>
  <c r="N89" i="1" a="1"/>
  <c r="N89" i="1" s="1"/>
  <c r="N88" i="1" a="1"/>
  <c r="N88" i="1" s="1"/>
  <c r="N87" i="1" a="1"/>
  <c r="N87" i="1" s="1"/>
  <c r="N86" i="1" a="1"/>
  <c r="N86" i="1" s="1"/>
  <c r="N85" i="1" a="1"/>
  <c r="N85" i="1" s="1"/>
  <c r="N84" i="1" a="1"/>
  <c r="N84" i="1" s="1"/>
  <c r="N83" i="1" a="1"/>
  <c r="N83" i="1" s="1"/>
  <c r="N82" i="1" a="1"/>
  <c r="N82" i="1" s="1"/>
  <c r="N81" i="1" a="1"/>
  <c r="N81" i="1" s="1"/>
  <c r="N80" i="1" a="1"/>
  <c r="N80" i="1" s="1"/>
  <c r="N79" i="1" a="1"/>
  <c r="N79" i="1" s="1"/>
  <c r="N78" i="1" a="1"/>
  <c r="N78" i="1" s="1"/>
  <c r="N77" i="1" a="1"/>
  <c r="N77" i="1" s="1"/>
  <c r="N76" i="1" a="1"/>
  <c r="N76" i="1" s="1"/>
  <c r="N75" i="1" a="1"/>
  <c r="N75" i="1" s="1"/>
  <c r="N74" i="1" a="1"/>
  <c r="N74" i="1" s="1"/>
  <c r="N73" i="1" a="1"/>
  <c r="N73" i="1" s="1"/>
  <c r="N72" i="1" a="1"/>
  <c r="N72" i="1" s="1"/>
  <c r="N71" i="1" a="1"/>
  <c r="N71" i="1" s="1"/>
  <c r="N70" i="1" a="1"/>
  <c r="N70" i="1" s="1"/>
  <c r="N69" i="1" a="1"/>
  <c r="N69" i="1" s="1"/>
  <c r="N68" i="1" a="1"/>
  <c r="N68" i="1" s="1"/>
  <c r="N67" i="1" a="1"/>
  <c r="N67" i="1" s="1"/>
  <c r="N66" i="1" a="1"/>
  <c r="N66" i="1" s="1"/>
  <c r="N65" i="1" a="1"/>
  <c r="N65" i="1" s="1"/>
  <c r="N64" i="1" a="1"/>
  <c r="N64" i="1" s="1"/>
  <c r="N63" i="1" a="1"/>
  <c r="N63" i="1" s="1"/>
  <c r="N62" i="1" a="1"/>
  <c r="N62" i="1" s="1"/>
  <c r="N61" i="1" a="1"/>
  <c r="N61" i="1" s="1"/>
  <c r="N60" i="1" a="1"/>
  <c r="N60" i="1" s="1"/>
  <c r="N59" i="1" a="1"/>
  <c r="N59" i="1" s="1"/>
  <c r="N58" i="1" a="1"/>
  <c r="N58" i="1" s="1"/>
  <c r="N57" i="1" a="1"/>
  <c r="N57" i="1" s="1"/>
  <c r="N56" i="1" a="1"/>
  <c r="N56" i="1" s="1"/>
  <c r="N55" i="1" a="1"/>
  <c r="N55" i="1" s="1"/>
  <c r="N54" i="1" a="1"/>
  <c r="N54" i="1" s="1"/>
  <c r="N53" i="1" a="1"/>
  <c r="N53" i="1" s="1"/>
  <c r="N52" i="1" a="1"/>
  <c r="N52" i="1" s="1"/>
  <c r="N51" i="1" a="1"/>
  <c r="N51" i="1" s="1"/>
  <c r="N50" i="1" a="1"/>
  <c r="N50" i="1" s="1"/>
  <c r="N49" i="1" a="1"/>
  <c r="N49" i="1" s="1"/>
  <c r="N48" i="1" a="1"/>
  <c r="N48" i="1" s="1"/>
  <c r="N47" i="1" a="1"/>
  <c r="N47" i="1" s="1"/>
  <c r="N46" i="1" a="1"/>
  <c r="N46" i="1" s="1"/>
  <c r="N45" i="1" a="1"/>
  <c r="N45" i="1" s="1"/>
  <c r="N44" i="1" a="1"/>
  <c r="N44" i="1" s="1"/>
  <c r="N43" i="1" a="1"/>
  <c r="N43" i="1" s="1"/>
  <c r="N42" i="1" a="1"/>
  <c r="N42" i="1" s="1"/>
  <c r="N41" i="1" a="1"/>
  <c r="N41" i="1" s="1"/>
  <c r="N40" i="1" a="1"/>
  <c r="N40" i="1" s="1"/>
  <c r="N39" i="1" a="1"/>
  <c r="N39" i="1" s="1"/>
  <c r="N38" i="1" a="1"/>
  <c r="N38" i="1" s="1"/>
  <c r="N37" i="1" a="1"/>
  <c r="N37" i="1" s="1"/>
  <c r="N36" i="1" a="1"/>
  <c r="N36" i="1" s="1"/>
  <c r="N35" i="1" a="1"/>
  <c r="N35" i="1" s="1"/>
  <c r="N34" i="1" a="1"/>
  <c r="N34" i="1" s="1"/>
  <c r="N33" i="1" a="1"/>
  <c r="N33" i="1" s="1"/>
  <c r="K260" i="1"/>
  <c r="K373" i="1"/>
  <c r="I260" i="1"/>
  <c r="I373" i="1"/>
  <c r="K64" i="1"/>
  <c r="K190" i="1"/>
  <c r="K342" i="1"/>
  <c r="I64" i="1"/>
  <c r="I190" i="1"/>
  <c r="I342" i="1"/>
  <c r="G129" i="2"/>
  <c r="L129" i="2" s="1"/>
  <c r="D129" i="2"/>
  <c r="B129" i="2"/>
  <c r="K95" i="1"/>
  <c r="S74" i="2" s="1"/>
  <c r="I95" i="1"/>
  <c r="K314" i="1"/>
  <c r="I314" i="1"/>
  <c r="K300" i="1"/>
  <c r="S72" i="2" s="1"/>
  <c r="K301" i="1"/>
  <c r="I301" i="1"/>
  <c r="I300" i="1"/>
  <c r="I290" i="1"/>
  <c r="E34" i="4" l="1"/>
  <c r="G32" i="4" s="1"/>
  <c r="H32" i="4" s="1"/>
  <c r="E43" i="4"/>
  <c r="H43" i="4" s="1"/>
  <c r="C416" i="7"/>
  <c r="M40" i="4"/>
  <c r="H3" i="4"/>
  <c r="N41" i="4"/>
  <c r="R91" i="2"/>
  <c r="D407" i="7"/>
  <c r="C121" i="17"/>
  <c r="F65" i="17"/>
  <c r="F121" i="17"/>
  <c r="E117" i="17"/>
  <c r="D119" i="17"/>
  <c r="C528" i="7"/>
  <c r="D92" i="17"/>
  <c r="C59" i="17"/>
  <c r="C60" i="17" s="1"/>
  <c r="F570" i="7"/>
  <c r="G126" i="17"/>
  <c r="G161" i="7"/>
  <c r="H47" i="17"/>
  <c r="H48" i="17" s="1"/>
  <c r="R71" i="2"/>
  <c r="R97" i="2"/>
  <c r="Q67" i="2"/>
  <c r="R40" i="2"/>
  <c r="R93" i="2"/>
  <c r="R67" i="2"/>
  <c r="T72" i="2"/>
  <c r="T74" i="2"/>
  <c r="S114" i="2"/>
  <c r="S13" i="2"/>
  <c r="T159" i="2"/>
  <c r="T58" i="2"/>
  <c r="S56" i="2"/>
  <c r="T158" i="2"/>
  <c r="S155" i="2"/>
  <c r="T105" i="2"/>
  <c r="S30" i="2"/>
  <c r="T107" i="2"/>
  <c r="T64" i="2"/>
  <c r="T44" i="2"/>
  <c r="S43" i="2"/>
  <c r="Q75" i="2"/>
  <c r="U75" i="2"/>
  <c r="Q104" i="2"/>
  <c r="U104" i="2"/>
  <c r="Q103" i="2"/>
  <c r="U103" i="2"/>
  <c r="Q55" i="2"/>
  <c r="U55" i="2"/>
  <c r="U53" i="2"/>
  <c r="T53" i="2"/>
  <c r="U93" i="2"/>
  <c r="T93" i="2"/>
  <c r="U71" i="2"/>
  <c r="T71" i="2"/>
  <c r="U91" i="2"/>
  <c r="T91" i="2"/>
  <c r="U40" i="2"/>
  <c r="T40" i="2"/>
  <c r="U67" i="2"/>
  <c r="T67" i="2"/>
  <c r="S65" i="2"/>
  <c r="U27" i="2"/>
  <c r="T27" i="2"/>
  <c r="T137" i="2"/>
  <c r="U97" i="2"/>
  <c r="T97" i="2"/>
  <c r="U86" i="2"/>
  <c r="T86" i="2"/>
  <c r="E614" i="7"/>
  <c r="E615" i="7" s="1"/>
  <c r="D612" i="7"/>
  <c r="D189" i="7"/>
  <c r="N40" i="4"/>
  <c r="G570" i="7"/>
  <c r="B13" i="2"/>
  <c r="D13" i="2"/>
  <c r="G13" i="2"/>
  <c r="J13" i="2"/>
  <c r="M13" i="2"/>
  <c r="P13" i="2"/>
  <c r="R27" i="2"/>
  <c r="O138" i="2"/>
  <c r="O163" i="2"/>
  <c r="O57" i="2"/>
  <c r="O103" i="2"/>
  <c r="O16" i="2"/>
  <c r="N138" i="2"/>
  <c r="N16" i="2"/>
  <c r="M72" i="2"/>
  <c r="N72" i="2" s="1"/>
  <c r="P72" i="2"/>
  <c r="U72" i="2" s="1"/>
  <c r="M74" i="2"/>
  <c r="N74" i="2" s="1"/>
  <c r="P74" i="2"/>
  <c r="P114" i="2"/>
  <c r="P14" i="2"/>
  <c r="U14" i="2" s="1"/>
  <c r="M159" i="2"/>
  <c r="P159" i="2"/>
  <c r="M58" i="2"/>
  <c r="M56" i="2" s="1"/>
  <c r="P58" i="2"/>
  <c r="M158" i="2"/>
  <c r="N158" i="2" s="1"/>
  <c r="P158" i="2"/>
  <c r="U158" i="2" s="1"/>
  <c r="M105" i="2"/>
  <c r="N105" i="2" s="1"/>
  <c r="P105" i="2"/>
  <c r="U105" i="2" s="1"/>
  <c r="P30" i="2"/>
  <c r="M30" i="2"/>
  <c r="J30" i="2"/>
  <c r="G30" i="2"/>
  <c r="D30" i="2"/>
  <c r="B30" i="2"/>
  <c r="M107" i="2"/>
  <c r="N107" i="2" s="1"/>
  <c r="P107" i="2"/>
  <c r="M64" i="2"/>
  <c r="N64" i="2" s="1"/>
  <c r="P64" i="2"/>
  <c r="M44" i="2"/>
  <c r="M43" i="2" s="1"/>
  <c r="P44" i="2"/>
  <c r="U44" i="2" s="1"/>
  <c r="F29" i="2"/>
  <c r="I29" i="2"/>
  <c r="H29" i="2"/>
  <c r="L29" i="2"/>
  <c r="K29" i="2"/>
  <c r="O29" i="2"/>
  <c r="N29" i="2"/>
  <c r="R29" i="2"/>
  <c r="Q29" i="2"/>
  <c r="R75" i="2"/>
  <c r="P137" i="2"/>
  <c r="U137" i="2" s="1"/>
  <c r="Q138" i="2"/>
  <c r="R138" i="2"/>
  <c r="Q86" i="2"/>
  <c r="R104" i="2"/>
  <c r="Q57" i="2"/>
  <c r="R57" i="2"/>
  <c r="R103" i="2"/>
  <c r="Q163" i="2"/>
  <c r="R163" i="2"/>
  <c r="R55" i="2"/>
  <c r="N53" i="2"/>
  <c r="R53" i="2"/>
  <c r="N86" i="2"/>
  <c r="R86" i="2"/>
  <c r="C611" i="7"/>
  <c r="R28" i="6"/>
  <c r="Q31" i="6"/>
  <c r="H56" i="17" s="1"/>
  <c r="H57" i="17" s="1"/>
  <c r="D613" i="7"/>
  <c r="D549" i="7"/>
  <c r="E10" i="6"/>
  <c r="L97" i="2"/>
  <c r="L93" i="2"/>
  <c r="O86" i="2"/>
  <c r="L40" i="2"/>
  <c r="L67" i="2"/>
  <c r="L91" i="2"/>
  <c r="O27" i="2"/>
  <c r="O55" i="2"/>
  <c r="N27" i="2"/>
  <c r="L71" i="2"/>
  <c r="K67" i="2"/>
  <c r="O53" i="2"/>
  <c r="O75" i="2"/>
  <c r="O104" i="2"/>
  <c r="M114" i="2"/>
  <c r="M14" i="2"/>
  <c r="J14" i="2"/>
  <c r="O93" i="2"/>
  <c r="N93" i="2"/>
  <c r="O71" i="2"/>
  <c r="N71" i="2"/>
  <c r="N91" i="2"/>
  <c r="O91" i="2"/>
  <c r="O40" i="2"/>
  <c r="N40" i="2"/>
  <c r="N67" i="2"/>
  <c r="O67" i="2"/>
  <c r="M65" i="2"/>
  <c r="R65" i="2" s="1"/>
  <c r="N137" i="2"/>
  <c r="O97" i="2"/>
  <c r="N97" i="2"/>
  <c r="I16" i="2"/>
  <c r="I163" i="2"/>
  <c r="L27" i="2"/>
  <c r="L86" i="2"/>
  <c r="L53" i="2"/>
  <c r="E16" i="4"/>
  <c r="G72" i="2"/>
  <c r="J72" i="2"/>
  <c r="G74" i="2"/>
  <c r="J74" i="2"/>
  <c r="K74" i="2" s="1"/>
  <c r="J114" i="2"/>
  <c r="G159" i="2"/>
  <c r="J159" i="2"/>
  <c r="G58" i="2"/>
  <c r="J58" i="2"/>
  <c r="K58" i="2" s="1"/>
  <c r="G158" i="2"/>
  <c r="J158" i="2"/>
  <c r="G105" i="2"/>
  <c r="J105" i="2"/>
  <c r="K105" i="2" s="1"/>
  <c r="G107" i="2"/>
  <c r="J107" i="2"/>
  <c r="K107" i="2" s="1"/>
  <c r="G64" i="2"/>
  <c r="J64" i="2"/>
  <c r="K64" i="2" s="1"/>
  <c r="G44" i="2"/>
  <c r="J44" i="2"/>
  <c r="K16" i="2"/>
  <c r="L16" i="2"/>
  <c r="L75" i="2"/>
  <c r="J137" i="2"/>
  <c r="K137" i="2" s="1"/>
  <c r="K138" i="2"/>
  <c r="L138" i="2"/>
  <c r="K86" i="2"/>
  <c r="L104" i="2"/>
  <c r="K57" i="2"/>
  <c r="L57" i="2"/>
  <c r="K103" i="2"/>
  <c r="L103" i="2"/>
  <c r="K163" i="2"/>
  <c r="L163" i="2"/>
  <c r="L55" i="2"/>
  <c r="J32" i="4"/>
  <c r="I31" i="4"/>
  <c r="L31" i="4" s="1"/>
  <c r="I49" i="4"/>
  <c r="F127" i="17" s="1"/>
  <c r="I41" i="4"/>
  <c r="L41" i="4" s="1"/>
  <c r="C21" i="7"/>
  <c r="J5" i="6"/>
  <c r="P694" i="1"/>
  <c r="G53" i="4"/>
  <c r="H51" i="4"/>
  <c r="E53" i="4"/>
  <c r="F53" i="4" s="1"/>
  <c r="F52" i="4"/>
  <c r="H52" i="4"/>
  <c r="C324" i="7"/>
  <c r="F45" i="4"/>
  <c r="B22" i="7"/>
  <c r="G31" i="4"/>
  <c r="C548" i="7"/>
  <c r="C613" i="7" s="1"/>
  <c r="H34" i="4"/>
  <c r="G44" i="4"/>
  <c r="J44" i="4" s="1"/>
  <c r="C330" i="7"/>
  <c r="H13" i="4"/>
  <c r="E57" i="4"/>
  <c r="G7" i="4"/>
  <c r="E97" i="17" s="1"/>
  <c r="H12" i="4"/>
  <c r="H22" i="4"/>
  <c r="G27" i="4"/>
  <c r="I91" i="2"/>
  <c r="F91" i="2"/>
  <c r="G114" i="2"/>
  <c r="G14" i="2"/>
  <c r="C25" i="5"/>
  <c r="F16" i="2"/>
  <c r="B364" i="7"/>
  <c r="I104" i="2"/>
  <c r="D14" i="2"/>
  <c r="B14" i="2"/>
  <c r="D72" i="2"/>
  <c r="B72" i="2"/>
  <c r="D74" i="2"/>
  <c r="B74" i="2"/>
  <c r="D114" i="2"/>
  <c r="B114" i="2"/>
  <c r="D159" i="2"/>
  <c r="B159" i="2"/>
  <c r="D58" i="2"/>
  <c r="B58" i="2"/>
  <c r="D158" i="2"/>
  <c r="B158" i="2"/>
  <c r="D105" i="2"/>
  <c r="B105" i="2"/>
  <c r="D107" i="2"/>
  <c r="B107" i="2"/>
  <c r="D64" i="2"/>
  <c r="B64" i="2"/>
  <c r="D44" i="2"/>
  <c r="B44" i="2"/>
  <c r="F104" i="2"/>
  <c r="I40" i="2"/>
  <c r="F40" i="2"/>
  <c r="B166" i="7"/>
  <c r="G5" i="6"/>
  <c r="B21" i="7"/>
  <c r="G32" i="6"/>
  <c r="D32" i="6"/>
  <c r="C10" i="6"/>
  <c r="C14" i="17" s="1"/>
  <c r="C15" i="17" s="1"/>
  <c r="D6" i="6"/>
  <c r="G30" i="6"/>
  <c r="D30" i="6"/>
  <c r="D5" i="6"/>
  <c r="D12" i="6"/>
  <c r="F12" i="6"/>
  <c r="G12" i="6"/>
  <c r="G4" i="6"/>
  <c r="D4" i="6"/>
  <c r="G6" i="6"/>
  <c r="F163" i="2"/>
  <c r="E18" i="4" l="1"/>
  <c r="D112" i="17" s="1"/>
  <c r="D108" i="17"/>
  <c r="H126" i="17"/>
  <c r="P40" i="4"/>
  <c r="D614" i="7"/>
  <c r="D615" i="7" s="1"/>
  <c r="E65" i="17"/>
  <c r="E121" i="17"/>
  <c r="C333" i="7"/>
  <c r="D528" i="7"/>
  <c r="B46" i="7"/>
  <c r="C46" i="7"/>
  <c r="J10" i="6"/>
  <c r="D14" i="17"/>
  <c r="D15" i="17" s="1"/>
  <c r="Q64" i="2"/>
  <c r="U64" i="2"/>
  <c r="Q107" i="2"/>
  <c r="U107" i="2"/>
  <c r="Q58" i="2"/>
  <c r="U58" i="2"/>
  <c r="Q159" i="2"/>
  <c r="U159" i="2"/>
  <c r="Q74" i="2"/>
  <c r="U74" i="2"/>
  <c r="U65" i="2"/>
  <c r="T65" i="2"/>
  <c r="S42" i="2"/>
  <c r="T43" i="2"/>
  <c r="U30" i="2"/>
  <c r="T30" i="2"/>
  <c r="T155" i="2"/>
  <c r="T56" i="2"/>
  <c r="T13" i="2"/>
  <c r="U13" i="2"/>
  <c r="S5" i="2"/>
  <c r="S113" i="2"/>
  <c r="U114" i="2"/>
  <c r="T114" i="2"/>
  <c r="G164" i="7"/>
  <c r="B5" i="2"/>
  <c r="D5" i="2"/>
  <c r="G5" i="2"/>
  <c r="C614" i="7"/>
  <c r="C615" i="7" s="1"/>
  <c r="J5" i="2"/>
  <c r="E13" i="6"/>
  <c r="D15" i="6"/>
  <c r="P5" i="2"/>
  <c r="Q13" i="2"/>
  <c r="R13" i="2"/>
  <c r="N13" i="2"/>
  <c r="O13" i="2"/>
  <c r="K13" i="2"/>
  <c r="L13" i="2"/>
  <c r="H13" i="2"/>
  <c r="I13" i="2"/>
  <c r="F13" i="2"/>
  <c r="R14" i="2"/>
  <c r="M5" i="2"/>
  <c r="R158" i="2"/>
  <c r="N58" i="2"/>
  <c r="O72" i="2"/>
  <c r="M155" i="2"/>
  <c r="N155" i="2" s="1"/>
  <c r="O158" i="2"/>
  <c r="R114" i="2"/>
  <c r="R159" i="2"/>
  <c r="O44" i="2"/>
  <c r="N159" i="2"/>
  <c r="N44" i="2"/>
  <c r="R58" i="2"/>
  <c r="P56" i="2"/>
  <c r="Q137" i="2"/>
  <c r="R137" i="2"/>
  <c r="P43" i="2"/>
  <c r="U43" i="2" s="1"/>
  <c r="Q44" i="2"/>
  <c r="R44" i="2"/>
  <c r="R64" i="2"/>
  <c r="R107" i="2"/>
  <c r="F30" i="2"/>
  <c r="I30" i="2"/>
  <c r="H30" i="2"/>
  <c r="L30" i="2"/>
  <c r="K30" i="2"/>
  <c r="O30" i="2"/>
  <c r="N30" i="2"/>
  <c r="R30" i="2"/>
  <c r="Q30" i="2"/>
  <c r="Q105" i="2"/>
  <c r="R105" i="2"/>
  <c r="Q158" i="2"/>
  <c r="P155" i="2"/>
  <c r="Q14" i="2"/>
  <c r="Q114" i="2"/>
  <c r="P113" i="2"/>
  <c r="Q113" i="2" s="1"/>
  <c r="R74" i="2"/>
  <c r="Q72" i="2"/>
  <c r="R72" i="2"/>
  <c r="N56" i="2"/>
  <c r="E50" i="4"/>
  <c r="E49" i="4" s="1"/>
  <c r="R31" i="6"/>
  <c r="Q37" i="6"/>
  <c r="F10" i="6"/>
  <c r="C365" i="7"/>
  <c r="B547" i="7"/>
  <c r="C549" i="7"/>
  <c r="C24" i="7"/>
  <c r="D25" i="7" s="1"/>
  <c r="E571" i="7"/>
  <c r="L49" i="4"/>
  <c r="I158" i="2"/>
  <c r="O114" i="2"/>
  <c r="O107" i="2"/>
  <c r="O74" i="2"/>
  <c r="O58" i="2"/>
  <c r="M113" i="2"/>
  <c r="O64" i="2"/>
  <c r="N114" i="2"/>
  <c r="O137" i="2"/>
  <c r="O105" i="2"/>
  <c r="N43" i="2"/>
  <c r="M42" i="2"/>
  <c r="K159" i="2"/>
  <c r="O159" i="2"/>
  <c r="N65" i="2"/>
  <c r="O65" i="2"/>
  <c r="N14" i="2"/>
  <c r="O14" i="2"/>
  <c r="J155" i="2"/>
  <c r="L114" i="2"/>
  <c r="L14" i="2"/>
  <c r="J56" i="2"/>
  <c r="J43" i="2"/>
  <c r="O43" i="2" s="1"/>
  <c r="K44" i="2"/>
  <c r="L44" i="2"/>
  <c r="L64" i="2"/>
  <c r="L107" i="2"/>
  <c r="L105" i="2"/>
  <c r="K158" i="2"/>
  <c r="L158" i="2"/>
  <c r="L58" i="2"/>
  <c r="L159" i="2"/>
  <c r="K14" i="2"/>
  <c r="J113" i="2"/>
  <c r="K113" i="2" s="1"/>
  <c r="K114" i="2"/>
  <c r="L74" i="2"/>
  <c r="K72" i="2"/>
  <c r="L72" i="2"/>
  <c r="I7" i="4"/>
  <c r="F97" i="17" s="1"/>
  <c r="J12" i="4"/>
  <c r="J31" i="4"/>
  <c r="C506" i="7"/>
  <c r="C602" i="7"/>
  <c r="I40" i="4"/>
  <c r="F126" i="17" s="1"/>
  <c r="H53" i="4"/>
  <c r="J53" i="4"/>
  <c r="H27" i="4"/>
  <c r="J27" i="4"/>
  <c r="P695" i="1"/>
  <c r="D324" i="7"/>
  <c r="G20" i="4"/>
  <c r="D54" i="4"/>
  <c r="C50" i="4"/>
  <c r="F54" i="4"/>
  <c r="H7" i="4"/>
  <c r="G57" i="4"/>
  <c r="G16" i="4"/>
  <c r="E108" i="17" s="1"/>
  <c r="H36" i="4"/>
  <c r="G45" i="4"/>
  <c r="J45" i="4" s="1"/>
  <c r="C336" i="7"/>
  <c r="B548" i="7"/>
  <c r="F158" i="2"/>
  <c r="D10" i="6"/>
  <c r="B24" i="7"/>
  <c r="G10" i="6"/>
  <c r="F22" i="6"/>
  <c r="K377" i="1"/>
  <c r="K376" i="1"/>
  <c r="K375" i="1"/>
  <c r="K374" i="1"/>
  <c r="K352" i="1"/>
  <c r="K334" i="1"/>
  <c r="K313" i="1"/>
  <c r="K312" i="1"/>
  <c r="K299" i="1"/>
  <c r="S62" i="2" s="1"/>
  <c r="K298" i="1"/>
  <c r="K292" i="1"/>
  <c r="K291" i="1"/>
  <c r="K277" i="1"/>
  <c r="S48" i="2" s="1"/>
  <c r="K276" i="1"/>
  <c r="K275" i="1"/>
  <c r="K274" i="1"/>
  <c r="K273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S147" i="2" s="1"/>
  <c r="K213" i="1"/>
  <c r="K212" i="1"/>
  <c r="K211" i="1"/>
  <c r="K204" i="1"/>
  <c r="K203" i="1"/>
  <c r="K202" i="1"/>
  <c r="K201" i="1"/>
  <c r="K188" i="1"/>
  <c r="K170" i="1"/>
  <c r="K169" i="1"/>
  <c r="K168" i="1"/>
  <c r="S41" i="2" s="1"/>
  <c r="K167" i="1"/>
  <c r="K166" i="1"/>
  <c r="K165" i="1"/>
  <c r="S63" i="2" s="1"/>
  <c r="K148" i="1"/>
  <c r="K147" i="1"/>
  <c r="K146" i="1"/>
  <c r="K134" i="1"/>
  <c r="K133" i="1"/>
  <c r="K132" i="1"/>
  <c r="K131" i="1"/>
  <c r="K130" i="1"/>
  <c r="K122" i="1"/>
  <c r="K121" i="1"/>
  <c r="K110" i="1"/>
  <c r="K109" i="1"/>
  <c r="K108" i="1"/>
  <c r="K94" i="1"/>
  <c r="S82" i="2" s="1"/>
  <c r="K93" i="1"/>
  <c r="K92" i="1"/>
  <c r="K91" i="1"/>
  <c r="K90" i="1"/>
  <c r="K98" i="1"/>
  <c r="K69" i="1"/>
  <c r="K68" i="1"/>
  <c r="K67" i="1"/>
  <c r="K66" i="1"/>
  <c r="K65" i="1"/>
  <c r="K63" i="1"/>
  <c r="K62" i="1"/>
  <c r="K61" i="1"/>
  <c r="K60" i="1"/>
  <c r="K59" i="1"/>
  <c r="K54" i="1"/>
  <c r="S150" i="2" s="1"/>
  <c r="K53" i="1"/>
  <c r="K52" i="1"/>
  <c r="K51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402" i="1"/>
  <c r="I405" i="1"/>
  <c r="I396" i="1"/>
  <c r="I406" i="1"/>
  <c r="I397" i="1"/>
  <c r="I407" i="1"/>
  <c r="I408" i="1"/>
  <c r="I398" i="1"/>
  <c r="I399" i="1"/>
  <c r="I400" i="1"/>
  <c r="I401" i="1"/>
  <c r="I409" i="1"/>
  <c r="I410" i="1"/>
  <c r="I411" i="1"/>
  <c r="I403" i="1"/>
  <c r="I404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32" i="1"/>
  <c r="I425" i="1"/>
  <c r="I433" i="1"/>
  <c r="I426" i="1"/>
  <c r="I427" i="1"/>
  <c r="I428" i="1"/>
  <c r="I429" i="1"/>
  <c r="I430" i="1"/>
  <c r="I431" i="1"/>
  <c r="I434" i="1"/>
  <c r="I435" i="1"/>
  <c r="I436" i="1"/>
  <c r="I437" i="1"/>
  <c r="I448" i="1"/>
  <c r="I438" i="1"/>
  <c r="I439" i="1"/>
  <c r="I440" i="1"/>
  <c r="I441" i="1"/>
  <c r="I442" i="1"/>
  <c r="I443" i="1"/>
  <c r="I444" i="1"/>
  <c r="I445" i="1"/>
  <c r="I446" i="1"/>
  <c r="I447" i="1"/>
  <c r="I449" i="1"/>
  <c r="I450" i="1"/>
  <c r="I451" i="1"/>
  <c r="I452" i="1"/>
  <c r="I456" i="1"/>
  <c r="I453" i="1"/>
  <c r="I454" i="1"/>
  <c r="I455" i="1"/>
  <c r="I457" i="1"/>
  <c r="I458" i="1"/>
  <c r="I459" i="1"/>
  <c r="I460" i="1"/>
  <c r="I461" i="1"/>
  <c r="I462" i="1"/>
  <c r="I463" i="1"/>
  <c r="I464" i="1"/>
  <c r="I465" i="1"/>
  <c r="I483" i="1"/>
  <c r="I466" i="1"/>
  <c r="I484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5" i="1"/>
  <c r="I486" i="1"/>
  <c r="I487" i="1"/>
  <c r="I488" i="1"/>
  <c r="I489" i="1"/>
  <c r="I490" i="1"/>
  <c r="I491" i="1"/>
  <c r="I492" i="1"/>
  <c r="I493" i="1"/>
  <c r="I494" i="1"/>
  <c r="I495" i="1"/>
  <c r="I499" i="1"/>
  <c r="I496" i="1"/>
  <c r="I500" i="1"/>
  <c r="I497" i="1"/>
  <c r="I501" i="1"/>
  <c r="I498" i="1"/>
  <c r="I502" i="1"/>
  <c r="I503" i="1"/>
  <c r="I504" i="1"/>
  <c r="I505" i="1"/>
  <c r="I506" i="1"/>
  <c r="I507" i="1"/>
  <c r="I508" i="1"/>
  <c r="I509" i="1"/>
  <c r="I171" i="1"/>
  <c r="I189" i="1"/>
  <c r="I205" i="1"/>
  <c r="I206" i="1"/>
  <c r="I207" i="1"/>
  <c r="I214" i="1"/>
  <c r="I237" i="1"/>
  <c r="I261" i="1"/>
  <c r="I262" i="1"/>
  <c r="I263" i="1"/>
  <c r="I293" i="1"/>
  <c r="I353" i="1"/>
  <c r="I364" i="1"/>
  <c r="I365" i="1"/>
  <c r="I366" i="1"/>
  <c r="I367" i="1"/>
  <c r="I378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68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9" i="1"/>
  <c r="I670" i="1"/>
  <c r="I671" i="1"/>
  <c r="I672" i="1"/>
  <c r="I676" i="1"/>
  <c r="I677" i="1"/>
  <c r="I673" i="1"/>
  <c r="I674" i="1"/>
  <c r="I675" i="1"/>
  <c r="I678" i="1"/>
  <c r="I679" i="1"/>
  <c r="I680" i="1"/>
  <c r="I681" i="1"/>
  <c r="I685" i="1"/>
  <c r="I682" i="1"/>
  <c r="I686" i="1"/>
  <c r="I687" i="1"/>
  <c r="I683" i="1"/>
  <c r="I684" i="1"/>
  <c r="I690" i="1"/>
  <c r="I691" i="1"/>
  <c r="I693" i="1"/>
  <c r="I694" i="1"/>
  <c r="I692" i="1"/>
  <c r="I695" i="1"/>
  <c r="I708" i="1"/>
  <c r="I696" i="1"/>
  <c r="I709" i="1"/>
  <c r="I697" i="1"/>
  <c r="I698" i="1"/>
  <c r="I699" i="1"/>
  <c r="I700" i="1"/>
  <c r="I701" i="1"/>
  <c r="I702" i="1"/>
  <c r="I703" i="1"/>
  <c r="I704" i="1"/>
  <c r="I705" i="1"/>
  <c r="I706" i="1"/>
  <c r="I707" i="1"/>
  <c r="I710" i="1"/>
  <c r="I711" i="1"/>
  <c r="I712" i="1"/>
  <c r="I713" i="1"/>
  <c r="I714" i="1"/>
  <c r="I715" i="1"/>
  <c r="I716" i="1"/>
  <c r="I717" i="1"/>
  <c r="I718" i="1"/>
  <c r="I719" i="1"/>
  <c r="I720" i="1"/>
  <c r="I738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9" i="1"/>
  <c r="I740" i="1"/>
  <c r="I772" i="1"/>
  <c r="I773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74" i="1"/>
  <c r="I775" i="1"/>
  <c r="I755" i="1"/>
  <c r="I756" i="1"/>
  <c r="I757" i="1"/>
  <c r="I758" i="1"/>
  <c r="I759" i="1"/>
  <c r="I760" i="1"/>
  <c r="I761" i="1"/>
  <c r="I762" i="1"/>
  <c r="I763" i="1"/>
  <c r="I51" i="1"/>
  <c r="I52" i="1"/>
  <c r="I53" i="1"/>
  <c r="I54" i="1"/>
  <c r="I59" i="1"/>
  <c r="I60" i="1"/>
  <c r="I61" i="1"/>
  <c r="I62" i="1"/>
  <c r="I63" i="1"/>
  <c r="I65" i="1"/>
  <c r="I66" i="1"/>
  <c r="I67" i="1"/>
  <c r="I68" i="1"/>
  <c r="I69" i="1"/>
  <c r="I98" i="1"/>
  <c r="I90" i="1"/>
  <c r="I91" i="1"/>
  <c r="I92" i="1"/>
  <c r="I93" i="1"/>
  <c r="I94" i="1"/>
  <c r="I108" i="1"/>
  <c r="I109" i="1"/>
  <c r="I110" i="1"/>
  <c r="I121" i="1"/>
  <c r="I122" i="1"/>
  <c r="I130" i="1"/>
  <c r="I131" i="1"/>
  <c r="I132" i="1"/>
  <c r="I133" i="1"/>
  <c r="I134" i="1"/>
  <c r="I146" i="1"/>
  <c r="I147" i="1"/>
  <c r="I148" i="1"/>
  <c r="I165" i="1"/>
  <c r="I166" i="1"/>
  <c r="I167" i="1"/>
  <c r="I168" i="1"/>
  <c r="I169" i="1"/>
  <c r="I170" i="1"/>
  <c r="I188" i="1"/>
  <c r="I201" i="1"/>
  <c r="I202" i="1"/>
  <c r="I203" i="1"/>
  <c r="I204" i="1"/>
  <c r="I211" i="1"/>
  <c r="I212" i="1"/>
  <c r="I21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73" i="1"/>
  <c r="I274" i="1"/>
  <c r="I275" i="1"/>
  <c r="I276" i="1"/>
  <c r="I277" i="1"/>
  <c r="I291" i="1"/>
  <c r="I292" i="1"/>
  <c r="I298" i="1"/>
  <c r="I299" i="1"/>
  <c r="I312" i="1"/>
  <c r="I313" i="1"/>
  <c r="I334" i="1"/>
  <c r="I352" i="1"/>
  <c r="I374" i="1"/>
  <c r="I375" i="1"/>
  <c r="I376" i="1"/>
  <c r="I377" i="1"/>
  <c r="K272" i="1"/>
  <c r="I272" i="1"/>
  <c r="I223" i="1"/>
  <c r="K200" i="1"/>
  <c r="S106" i="2" s="1"/>
  <c r="K199" i="1"/>
  <c r="S50" i="2" s="1"/>
  <c r="K198" i="1"/>
  <c r="S49" i="2" s="1"/>
  <c r="I198" i="1"/>
  <c r="I199" i="1"/>
  <c r="I200" i="1"/>
  <c r="G158" i="1"/>
  <c r="I194" i="1"/>
  <c r="I158" i="1"/>
  <c r="I145" i="1"/>
  <c r="K144" i="1"/>
  <c r="S84" i="2" s="1"/>
  <c r="K143" i="1"/>
  <c r="S79" i="2" s="1"/>
  <c r="I143" i="1"/>
  <c r="I144" i="1"/>
  <c r="K142" i="1"/>
  <c r="I142" i="1"/>
  <c r="K120" i="1"/>
  <c r="I120" i="1"/>
  <c r="K106" i="1"/>
  <c r="K107" i="1"/>
  <c r="I106" i="1"/>
  <c r="I107" i="1"/>
  <c r="I58" i="1"/>
  <c r="S76" i="2" l="1"/>
  <c r="T76" i="2" s="1"/>
  <c r="D599" i="7"/>
  <c r="E115" i="17"/>
  <c r="D333" i="7"/>
  <c r="E528" i="7"/>
  <c r="E11" i="6"/>
  <c r="D17" i="17" s="1"/>
  <c r="D18" i="17" s="1"/>
  <c r="D23" i="17"/>
  <c r="D24" i="17" s="1"/>
  <c r="H62" i="17"/>
  <c r="H63" i="17" s="1"/>
  <c r="G165" i="7"/>
  <c r="C571" i="7"/>
  <c r="D127" i="17"/>
  <c r="S19" i="2"/>
  <c r="T19" i="2" s="1"/>
  <c r="S109" i="2"/>
  <c r="T109" i="2" s="1"/>
  <c r="S18" i="2"/>
  <c r="T18" i="2" s="1"/>
  <c r="S34" i="2"/>
  <c r="T34" i="2" s="1"/>
  <c r="P26" i="2"/>
  <c r="Q26" i="2" s="1"/>
  <c r="S26" i="2"/>
  <c r="S78" i="2"/>
  <c r="T79" i="2"/>
  <c r="T84" i="2"/>
  <c r="T49" i="2"/>
  <c r="T50" i="2"/>
  <c r="T106" i="2"/>
  <c r="S99" i="2"/>
  <c r="T150" i="2"/>
  <c r="S124" i="2"/>
  <c r="T82" i="2"/>
  <c r="T63" i="2"/>
  <c r="T41" i="2"/>
  <c r="S146" i="2"/>
  <c r="T147" i="2"/>
  <c r="T48" i="2"/>
  <c r="P165" i="2"/>
  <c r="Q165" i="2" s="1"/>
  <c r="S165" i="2"/>
  <c r="T62" i="2"/>
  <c r="Q155" i="2"/>
  <c r="U155" i="2"/>
  <c r="Q56" i="2"/>
  <c r="U56" i="2"/>
  <c r="U113" i="2"/>
  <c r="T113" i="2"/>
  <c r="T5" i="2"/>
  <c r="U5" i="2"/>
  <c r="T42" i="2"/>
  <c r="B612" i="7"/>
  <c r="B189" i="7"/>
  <c r="C47" i="7"/>
  <c r="F13" i="6"/>
  <c r="D14" i="6"/>
  <c r="C13" i="6"/>
  <c r="G14" i="6"/>
  <c r="F14" i="6"/>
  <c r="J14" i="6"/>
  <c r="G15" i="6"/>
  <c r="F15" i="6"/>
  <c r="J15" i="6"/>
  <c r="G591" i="7"/>
  <c r="G168" i="7"/>
  <c r="P109" i="2"/>
  <c r="P18" i="2"/>
  <c r="R113" i="2"/>
  <c r="R56" i="2"/>
  <c r="P76" i="2"/>
  <c r="P19" i="2"/>
  <c r="R5" i="2"/>
  <c r="R155" i="2"/>
  <c r="M79" i="2"/>
  <c r="N79" i="2" s="1"/>
  <c r="P79" i="2"/>
  <c r="U79" i="2" s="1"/>
  <c r="M84" i="2"/>
  <c r="N84" i="2" s="1"/>
  <c r="P84" i="2"/>
  <c r="M49" i="2"/>
  <c r="N49" i="2" s="1"/>
  <c r="P49" i="2"/>
  <c r="M50" i="2"/>
  <c r="N50" i="2" s="1"/>
  <c r="P50" i="2"/>
  <c r="M106" i="2"/>
  <c r="M99" i="2" s="1"/>
  <c r="N99" i="2" s="1"/>
  <c r="P106" i="2"/>
  <c r="U106" i="2" s="1"/>
  <c r="P34" i="2"/>
  <c r="M34" i="2"/>
  <c r="J34" i="2"/>
  <c r="G34" i="2"/>
  <c r="D34" i="2"/>
  <c r="B34" i="2"/>
  <c r="B28" i="2" s="1"/>
  <c r="M150" i="2"/>
  <c r="N150" i="2" s="1"/>
  <c r="P150" i="2"/>
  <c r="P124" i="2"/>
  <c r="M82" i="2"/>
  <c r="N82" i="2" s="1"/>
  <c r="P82" i="2"/>
  <c r="M63" i="2"/>
  <c r="N63" i="2" s="1"/>
  <c r="P63" i="2"/>
  <c r="M41" i="2"/>
  <c r="N41" i="2" s="1"/>
  <c r="P41" i="2"/>
  <c r="M147" i="2"/>
  <c r="N147" i="2" s="1"/>
  <c r="P147" i="2"/>
  <c r="U147" i="2" s="1"/>
  <c r="M48" i="2"/>
  <c r="N48" i="2" s="1"/>
  <c r="P48" i="2"/>
  <c r="M62" i="2"/>
  <c r="N62" i="2" s="1"/>
  <c r="P62" i="2"/>
  <c r="Q5" i="2"/>
  <c r="Q43" i="2"/>
  <c r="P42" i="2"/>
  <c r="U42" i="2" s="1"/>
  <c r="R43" i="2"/>
  <c r="R37" i="6"/>
  <c r="B26" i="2"/>
  <c r="D26" i="2"/>
  <c r="G26" i="2"/>
  <c r="J26" i="2"/>
  <c r="M26" i="2"/>
  <c r="B613" i="7"/>
  <c r="C25" i="7"/>
  <c r="E324" i="7"/>
  <c r="L7" i="4"/>
  <c r="K20" i="4"/>
  <c r="E570" i="7"/>
  <c r="L40" i="4"/>
  <c r="M76" i="2"/>
  <c r="M109" i="2"/>
  <c r="M108" i="2" s="1"/>
  <c r="M19" i="2"/>
  <c r="M165" i="2"/>
  <c r="O113" i="2"/>
  <c r="M124" i="2"/>
  <c r="K56" i="2"/>
  <c r="O56" i="2"/>
  <c r="N113" i="2"/>
  <c r="M18" i="2"/>
  <c r="O5" i="2"/>
  <c r="K155" i="2"/>
  <c r="O155" i="2"/>
  <c r="N5" i="2"/>
  <c r="N42" i="2"/>
  <c r="J76" i="2"/>
  <c r="J109" i="2"/>
  <c r="J19" i="2"/>
  <c r="K19" i="2" s="1"/>
  <c r="J18" i="2"/>
  <c r="K18" i="2" s="1"/>
  <c r="G79" i="2"/>
  <c r="J79" i="2"/>
  <c r="G84" i="2"/>
  <c r="J84" i="2"/>
  <c r="K84" i="2" s="1"/>
  <c r="G49" i="2"/>
  <c r="J49" i="2"/>
  <c r="K49" i="2" s="1"/>
  <c r="G50" i="2"/>
  <c r="J50" i="2"/>
  <c r="K50" i="2" s="1"/>
  <c r="G106" i="2"/>
  <c r="J106" i="2"/>
  <c r="G150" i="2"/>
  <c r="J150" i="2"/>
  <c r="K150" i="2" s="1"/>
  <c r="J124" i="2"/>
  <c r="G82" i="2"/>
  <c r="J82" i="2"/>
  <c r="K82" i="2" s="1"/>
  <c r="G63" i="2"/>
  <c r="J63" i="2"/>
  <c r="K63" i="2" s="1"/>
  <c r="G41" i="2"/>
  <c r="J41" i="2"/>
  <c r="K41" i="2" s="1"/>
  <c r="G147" i="2"/>
  <c r="J147" i="2"/>
  <c r="G48" i="2"/>
  <c r="J48" i="2"/>
  <c r="K48" i="2" s="1"/>
  <c r="G165" i="2"/>
  <c r="G161" i="2" s="1"/>
  <c r="J165" i="2"/>
  <c r="G62" i="2"/>
  <c r="J62" i="2"/>
  <c r="K62" i="2" s="1"/>
  <c r="K5" i="2"/>
  <c r="K43" i="2"/>
  <c r="J42" i="2"/>
  <c r="K42" i="2" s="1"/>
  <c r="I16" i="4"/>
  <c r="F108" i="17" s="1"/>
  <c r="I20" i="4"/>
  <c r="J7" i="4"/>
  <c r="I57" i="4"/>
  <c r="P696" i="1"/>
  <c r="D509" i="7"/>
  <c r="C49" i="4"/>
  <c r="D50" i="4"/>
  <c r="F50" i="4"/>
  <c r="H54" i="4"/>
  <c r="G50" i="4"/>
  <c r="J50" i="4" s="1"/>
  <c r="C87" i="7"/>
  <c r="G76" i="2"/>
  <c r="D109" i="2"/>
  <c r="D108" i="2" s="1"/>
  <c r="B109" i="2"/>
  <c r="B108" i="2" s="1"/>
  <c r="G109" i="2"/>
  <c r="G108" i="2" s="1"/>
  <c r="G18" i="4"/>
  <c r="E112" i="17" s="1"/>
  <c r="H16" i="4"/>
  <c r="H45" i="4"/>
  <c r="G41" i="4"/>
  <c r="J41" i="4" s="1"/>
  <c r="G19" i="2"/>
  <c r="G18" i="2"/>
  <c r="G124" i="2"/>
  <c r="D76" i="2"/>
  <c r="B76" i="2"/>
  <c r="B549" i="7"/>
  <c r="B334" i="7"/>
  <c r="F17" i="4"/>
  <c r="B332" i="7"/>
  <c r="F15" i="4"/>
  <c r="D150" i="2"/>
  <c r="B150" i="2"/>
  <c r="D63" i="2"/>
  <c r="B63" i="2"/>
  <c r="D41" i="2"/>
  <c r="B41" i="2"/>
  <c r="D19" i="2"/>
  <c r="B19" i="2"/>
  <c r="D79" i="2"/>
  <c r="B79" i="2"/>
  <c r="D49" i="2"/>
  <c r="B49" i="2"/>
  <c r="D84" i="2"/>
  <c r="B84" i="2"/>
  <c r="D50" i="2"/>
  <c r="B50" i="2"/>
  <c r="D124" i="2"/>
  <c r="B124" i="2"/>
  <c r="D82" i="2"/>
  <c r="B82" i="2"/>
  <c r="D48" i="2"/>
  <c r="B48" i="2"/>
  <c r="D106" i="2"/>
  <c r="B106" i="2"/>
  <c r="D18" i="2"/>
  <c r="B18" i="2"/>
  <c r="D147" i="2"/>
  <c r="B147" i="2"/>
  <c r="D165" i="2"/>
  <c r="D161" i="2" s="1"/>
  <c r="B165" i="2"/>
  <c r="D62" i="2"/>
  <c r="B62" i="2"/>
  <c r="D22" i="6"/>
  <c r="G22" i="6"/>
  <c r="D6" i="4"/>
  <c r="D5" i="4"/>
  <c r="D4" i="4"/>
  <c r="C56" i="4"/>
  <c r="D45" i="4"/>
  <c r="C38" i="4"/>
  <c r="D33" i="4"/>
  <c r="C29" i="4"/>
  <c r="D25" i="4"/>
  <c r="C24" i="4"/>
  <c r="D22" i="4"/>
  <c r="D17" i="4"/>
  <c r="D15" i="4"/>
  <c r="D14" i="4"/>
  <c r="C13" i="4"/>
  <c r="C104" i="17" s="1"/>
  <c r="D12" i="4"/>
  <c r="D8" i="4"/>
  <c r="U34" i="2" l="1"/>
  <c r="R26" i="2"/>
  <c r="F115" i="17"/>
  <c r="G115" i="17"/>
  <c r="B87" i="7"/>
  <c r="B571" i="7"/>
  <c r="C127" i="17"/>
  <c r="G13" i="6"/>
  <c r="C23" i="17"/>
  <c r="C24" i="17" s="1"/>
  <c r="C48" i="7"/>
  <c r="S108" i="2"/>
  <c r="T108" i="2" s="1"/>
  <c r="P161" i="2"/>
  <c r="Q161" i="2" s="1"/>
  <c r="S28" i="2"/>
  <c r="T28" i="2" s="1"/>
  <c r="Q62" i="2"/>
  <c r="U62" i="2"/>
  <c r="Q48" i="2"/>
  <c r="U48" i="2"/>
  <c r="Q41" i="2"/>
  <c r="U41" i="2"/>
  <c r="Q63" i="2"/>
  <c r="U63" i="2"/>
  <c r="Q82" i="2"/>
  <c r="U82" i="2"/>
  <c r="Q150" i="2"/>
  <c r="U150" i="2"/>
  <c r="Q50" i="2"/>
  <c r="U50" i="2"/>
  <c r="Q49" i="2"/>
  <c r="U49" i="2"/>
  <c r="Q84" i="2"/>
  <c r="U84" i="2"/>
  <c r="Q19" i="2"/>
  <c r="U19" i="2"/>
  <c r="Q76" i="2"/>
  <c r="U76" i="2"/>
  <c r="Q18" i="2"/>
  <c r="U18" i="2"/>
  <c r="Q109" i="2"/>
  <c r="U109" i="2"/>
  <c r="U165" i="2"/>
  <c r="T165" i="2"/>
  <c r="S161" i="2"/>
  <c r="T146" i="2"/>
  <c r="U124" i="2"/>
  <c r="S123" i="2"/>
  <c r="T124" i="2"/>
  <c r="T99" i="2"/>
  <c r="T78" i="2"/>
  <c r="T26" i="2"/>
  <c r="U26" i="2"/>
  <c r="G592" i="7"/>
  <c r="G169" i="7"/>
  <c r="B614" i="7"/>
  <c r="B615" i="7" s="1"/>
  <c r="P108" i="2"/>
  <c r="K109" i="2"/>
  <c r="J108" i="2"/>
  <c r="K108" i="2" s="1"/>
  <c r="B47" i="7"/>
  <c r="C11" i="6"/>
  <c r="D13" i="6"/>
  <c r="E21" i="6"/>
  <c r="D26" i="17" s="1"/>
  <c r="D27" i="17" s="1"/>
  <c r="C43" i="7"/>
  <c r="F11" i="6"/>
  <c r="R109" i="2"/>
  <c r="O79" i="2"/>
  <c r="N106" i="2"/>
  <c r="M78" i="2"/>
  <c r="N78" i="2" s="1"/>
  <c r="R106" i="2"/>
  <c r="O106" i="2"/>
  <c r="R18" i="2"/>
  <c r="O147" i="2"/>
  <c r="M146" i="2"/>
  <c r="N146" i="2" s="1"/>
  <c r="R124" i="2"/>
  <c r="Q42" i="2"/>
  <c r="R42" i="2"/>
  <c r="R62" i="2"/>
  <c r="R48" i="2"/>
  <c r="P146" i="2"/>
  <c r="U146" i="2" s="1"/>
  <c r="Q147" i="2"/>
  <c r="R147" i="2"/>
  <c r="R41" i="2"/>
  <c r="R63" i="2"/>
  <c r="R82" i="2"/>
  <c r="P123" i="2"/>
  <c r="Q123" i="2" s="1"/>
  <c r="Q124" i="2"/>
  <c r="R150" i="2"/>
  <c r="F34" i="2"/>
  <c r="D28" i="2"/>
  <c r="I34" i="2"/>
  <c r="H34" i="2"/>
  <c r="G28" i="2"/>
  <c r="L34" i="2"/>
  <c r="K34" i="2"/>
  <c r="J28" i="2"/>
  <c r="O34" i="2"/>
  <c r="N34" i="2"/>
  <c r="M28" i="2"/>
  <c r="R34" i="2"/>
  <c r="Q34" i="2"/>
  <c r="P28" i="2"/>
  <c r="Q106" i="2"/>
  <c r="P99" i="2"/>
  <c r="U99" i="2" s="1"/>
  <c r="R50" i="2"/>
  <c r="R49" i="2"/>
  <c r="R84" i="2"/>
  <c r="Q79" i="2"/>
  <c r="P78" i="2"/>
  <c r="U78" i="2" s="1"/>
  <c r="R79" i="2"/>
  <c r="M15" i="2"/>
  <c r="R15" i="2" s="1"/>
  <c r="M161" i="2"/>
  <c r="R165" i="2"/>
  <c r="N19" i="2"/>
  <c r="R19" i="2"/>
  <c r="N76" i="2"/>
  <c r="R76" i="2"/>
  <c r="F599" i="7"/>
  <c r="F509" i="7"/>
  <c r="N20" i="4"/>
  <c r="O26" i="2"/>
  <c r="N26" i="2"/>
  <c r="L26" i="2"/>
  <c r="K26" i="2"/>
  <c r="I26" i="2"/>
  <c r="H26" i="2"/>
  <c r="F26" i="2"/>
  <c r="N109" i="2"/>
  <c r="R108" i="2"/>
  <c r="L20" i="4"/>
  <c r="O165" i="2"/>
  <c r="O76" i="2"/>
  <c r="L16" i="4"/>
  <c r="J20" i="4"/>
  <c r="E599" i="7"/>
  <c r="E509" i="7"/>
  <c r="L76" i="2"/>
  <c r="L19" i="2"/>
  <c r="L109" i="2"/>
  <c r="N165" i="2"/>
  <c r="K76" i="2"/>
  <c r="O18" i="2"/>
  <c r="O124" i="2"/>
  <c r="O109" i="2"/>
  <c r="N124" i="2"/>
  <c r="O49" i="2"/>
  <c r="O42" i="2"/>
  <c r="O62" i="2"/>
  <c r="O41" i="2"/>
  <c r="O84" i="2"/>
  <c r="O150" i="2"/>
  <c r="O50" i="2"/>
  <c r="O82" i="2"/>
  <c r="O63" i="2"/>
  <c r="O48" i="2"/>
  <c r="N18" i="2"/>
  <c r="M123" i="2"/>
  <c r="O19" i="2"/>
  <c r="I48" i="2"/>
  <c r="L18" i="2"/>
  <c r="J15" i="2"/>
  <c r="K15" i="2" s="1"/>
  <c r="E333" i="7"/>
  <c r="L165" i="2"/>
  <c r="L124" i="2"/>
  <c r="I63" i="2"/>
  <c r="I62" i="2"/>
  <c r="L62" i="2"/>
  <c r="K165" i="2"/>
  <c r="J161" i="2"/>
  <c r="L48" i="2"/>
  <c r="J146" i="2"/>
  <c r="K146" i="2" s="1"/>
  <c r="K147" i="2"/>
  <c r="L147" i="2"/>
  <c r="L41" i="2"/>
  <c r="L63" i="2"/>
  <c r="L82" i="2"/>
  <c r="J123" i="2"/>
  <c r="K123" i="2" s="1"/>
  <c r="K124" i="2"/>
  <c r="L150" i="2"/>
  <c r="K106" i="2"/>
  <c r="J99" i="2"/>
  <c r="L106" i="2"/>
  <c r="L50" i="2"/>
  <c r="L49" i="2"/>
  <c r="L84" i="2"/>
  <c r="K79" i="2"/>
  <c r="J78" i="2"/>
  <c r="K78" i="2" s="1"/>
  <c r="L79" i="2"/>
  <c r="D506" i="7"/>
  <c r="D602" i="7"/>
  <c r="D603" i="7" s="1"/>
  <c r="F24" i="4"/>
  <c r="B603" i="7"/>
  <c r="I18" i="4"/>
  <c r="F112" i="17" s="1"/>
  <c r="J16" i="4"/>
  <c r="P697" i="1"/>
  <c r="H50" i="4"/>
  <c r="G49" i="4"/>
  <c r="D49" i="4"/>
  <c r="F49" i="4"/>
  <c r="D336" i="7"/>
  <c r="F109" i="2"/>
  <c r="I109" i="2"/>
  <c r="G19" i="4"/>
  <c r="H18" i="4"/>
  <c r="G40" i="4"/>
  <c r="E126" i="17" s="1"/>
  <c r="I19" i="2"/>
  <c r="I18" i="2"/>
  <c r="E31" i="4"/>
  <c r="H31" i="4" s="1"/>
  <c r="F32" i="4"/>
  <c r="B330" i="7"/>
  <c r="F13" i="4"/>
  <c r="B320" i="7"/>
  <c r="E42" i="4"/>
  <c r="H42" i="4" s="1"/>
  <c r="F3" i="4"/>
  <c r="F19" i="2"/>
  <c r="F18" i="2"/>
  <c r="I82" i="2"/>
  <c r="F82" i="2"/>
  <c r="D34" i="4"/>
  <c r="C43" i="4"/>
  <c r="F43" i="4" s="1"/>
  <c r="F48" i="2"/>
  <c r="F62" i="2"/>
  <c r="I106" i="2"/>
  <c r="F106" i="2"/>
  <c r="F63" i="2"/>
  <c r="D13" i="4"/>
  <c r="D3" i="4"/>
  <c r="D32" i="4"/>
  <c r="D24" i="4"/>
  <c r="C27" i="4"/>
  <c r="F27" i="4" s="1"/>
  <c r="C7" i="4"/>
  <c r="C97" i="17" s="1"/>
  <c r="E20" i="4" l="1"/>
  <c r="F20" i="4" s="1"/>
  <c r="B528" i="7"/>
  <c r="C44" i="7"/>
  <c r="J49" i="4"/>
  <c r="E127" i="17"/>
  <c r="B48" i="7"/>
  <c r="G11" i="6"/>
  <c r="C17" i="17"/>
  <c r="C18" i="17" s="1"/>
  <c r="U28" i="2"/>
  <c r="Q108" i="2"/>
  <c r="U108" i="2"/>
  <c r="U123" i="2"/>
  <c r="T123" i="2"/>
  <c r="U161" i="2"/>
  <c r="T161" i="2"/>
  <c r="C50" i="7"/>
  <c r="C454" i="7"/>
  <c r="F21" i="6"/>
  <c r="E23" i="6"/>
  <c r="D32" i="17" s="1"/>
  <c r="D33" i="17" s="1"/>
  <c r="C21" i="6"/>
  <c r="D11" i="6"/>
  <c r="B43" i="7"/>
  <c r="N15" i="2"/>
  <c r="O161" i="2"/>
  <c r="R123" i="2"/>
  <c r="Q78" i="2"/>
  <c r="R78" i="2"/>
  <c r="Q99" i="2"/>
  <c r="R99" i="2"/>
  <c r="R28" i="2"/>
  <c r="Q28" i="2"/>
  <c r="N28" i="2"/>
  <c r="O28" i="2"/>
  <c r="K28" i="2"/>
  <c r="L28" i="2"/>
  <c r="Q146" i="2"/>
  <c r="R146" i="2"/>
  <c r="N161" i="2"/>
  <c r="R161" i="2"/>
  <c r="N108" i="2"/>
  <c r="O108" i="2"/>
  <c r="L18" i="4"/>
  <c r="K19" i="4"/>
  <c r="T18" i="4" s="1"/>
  <c r="O123" i="2"/>
  <c r="K99" i="2"/>
  <c r="O99" i="2"/>
  <c r="O146" i="2"/>
  <c r="O78" i="2"/>
  <c r="N123" i="2"/>
  <c r="O15" i="2"/>
  <c r="E602" i="7"/>
  <c r="E506" i="7"/>
  <c r="E336" i="7"/>
  <c r="K161" i="2"/>
  <c r="L161" i="2"/>
  <c r="D570" i="7"/>
  <c r="J40" i="4"/>
  <c r="I19" i="4"/>
  <c r="J18" i="4"/>
  <c r="P698" i="1"/>
  <c r="H49" i="4"/>
  <c r="D571" i="7"/>
  <c r="C44" i="4"/>
  <c r="C41" i="4" s="1"/>
  <c r="C40" i="4" s="1"/>
  <c r="B324" i="7"/>
  <c r="F7" i="4"/>
  <c r="C31" i="4"/>
  <c r="F34" i="4"/>
  <c r="F42" i="4"/>
  <c r="E44" i="4"/>
  <c r="H44" i="4" s="1"/>
  <c r="D42" i="4"/>
  <c r="D43" i="4"/>
  <c r="D27" i="4"/>
  <c r="C57" i="4"/>
  <c r="D7" i="4"/>
  <c r="C16" i="4"/>
  <c r="C108" i="17" s="1"/>
  <c r="H20" i="4" l="1"/>
  <c r="C509" i="7"/>
  <c r="C599" i="7"/>
  <c r="D115" i="17"/>
  <c r="B570" i="7"/>
  <c r="C126" i="17"/>
  <c r="B44" i="7"/>
  <c r="G21" i="6"/>
  <c r="C26" i="17"/>
  <c r="C27" i="17" s="1"/>
  <c r="E40" i="6"/>
  <c r="C455" i="7"/>
  <c r="E39" i="6"/>
  <c r="C51" i="7"/>
  <c r="B454" i="7"/>
  <c r="D21" i="6"/>
  <c r="C23" i="6"/>
  <c r="C32" i="17" s="1"/>
  <c r="C33" i="17" s="1"/>
  <c r="B50" i="7"/>
  <c r="E25" i="6"/>
  <c r="D38" i="17" s="1"/>
  <c r="D39" i="17" s="1"/>
  <c r="C122" i="7"/>
  <c r="F23" i="6"/>
  <c r="E603" i="7"/>
  <c r="F603" i="7"/>
  <c r="D20" i="4"/>
  <c r="P699" i="1"/>
  <c r="F31" i="4"/>
  <c r="D31" i="4"/>
  <c r="F44" i="4"/>
  <c r="E41" i="4"/>
  <c r="H41" i="4" s="1"/>
  <c r="B333" i="7"/>
  <c r="F16" i="4"/>
  <c r="D44" i="4"/>
  <c r="D41" i="4"/>
  <c r="D40" i="4"/>
  <c r="D16" i="4"/>
  <c r="C18" i="4"/>
  <c r="C112" i="17" s="1"/>
  <c r="B602" i="7" l="1"/>
  <c r="C603" i="7" s="1"/>
  <c r="D70" i="17"/>
  <c r="C225" i="7"/>
  <c r="C40" i="6"/>
  <c r="C39" i="6"/>
  <c r="C67" i="17" s="1"/>
  <c r="C68" i="17" s="1"/>
  <c r="C123" i="7"/>
  <c r="C188" i="7"/>
  <c r="C190" i="7" s="1"/>
  <c r="D67" i="17"/>
  <c r="G23" i="6"/>
  <c r="E28" i="6"/>
  <c r="D47" i="17" s="1"/>
  <c r="D48" i="17" s="1"/>
  <c r="F25" i="6"/>
  <c r="C158" i="7"/>
  <c r="C25" i="6"/>
  <c r="B122" i="7"/>
  <c r="D23" i="6"/>
  <c r="B455" i="7"/>
  <c r="B51" i="7"/>
  <c r="P700" i="1"/>
  <c r="E19" i="4"/>
  <c r="B506" i="7"/>
  <c r="B336" i="7"/>
  <c r="F18" i="4"/>
  <c r="E40" i="4"/>
  <c r="F41" i="4"/>
  <c r="D18" i="4"/>
  <c r="C70" i="17" l="1"/>
  <c r="C71" i="17" s="1"/>
  <c r="B225" i="7"/>
  <c r="G25" i="6"/>
  <c r="C38" i="17"/>
  <c r="C39" i="17" s="1"/>
  <c r="H40" i="4"/>
  <c r="D126" i="17"/>
  <c r="B123" i="7"/>
  <c r="B188" i="7"/>
  <c r="B190" i="7" s="1"/>
  <c r="D25" i="6"/>
  <c r="B158" i="7"/>
  <c r="C28" i="6"/>
  <c r="C161" i="7"/>
  <c r="F28" i="6"/>
  <c r="E31" i="6"/>
  <c r="D56" i="17" s="1"/>
  <c r="D57" i="17" s="1"/>
  <c r="P701" i="1"/>
  <c r="F40" i="4"/>
  <c r="C570" i="7"/>
  <c r="G28" i="6" l="1"/>
  <c r="C47" i="17"/>
  <c r="C48" i="17" s="1"/>
  <c r="C31" i="6"/>
  <c r="C56" i="17" s="1"/>
  <c r="C57" i="17" s="1"/>
  <c r="D28" i="6"/>
  <c r="B161" i="7"/>
  <c r="C164" i="7"/>
  <c r="E37" i="6"/>
  <c r="F31" i="6"/>
  <c r="P702" i="1"/>
  <c r="I162" i="2"/>
  <c r="F162" i="2"/>
  <c r="I54" i="2"/>
  <c r="K380" i="1"/>
  <c r="K379" i="1"/>
  <c r="K372" i="1"/>
  <c r="K363" i="1"/>
  <c r="K362" i="1"/>
  <c r="K361" i="1"/>
  <c r="K371" i="1"/>
  <c r="K370" i="1"/>
  <c r="K360" i="1"/>
  <c r="K369" i="1"/>
  <c r="K368" i="1"/>
  <c r="K359" i="1"/>
  <c r="K358" i="1"/>
  <c r="K357" i="1"/>
  <c r="K356" i="1"/>
  <c r="K355" i="1"/>
  <c r="K349" i="1"/>
  <c r="K354" i="1"/>
  <c r="K350" i="1"/>
  <c r="K351" i="1"/>
  <c r="K336" i="1"/>
  <c r="K337" i="1"/>
  <c r="K338" i="1"/>
  <c r="K339" i="1"/>
  <c r="K340" i="1"/>
  <c r="K341" i="1"/>
  <c r="K343" i="1"/>
  <c r="K344" i="1"/>
  <c r="K345" i="1"/>
  <c r="K346" i="1"/>
  <c r="K347" i="1"/>
  <c r="K348" i="1"/>
  <c r="K335" i="1"/>
  <c r="N32" i="1" a="1"/>
  <c r="N32" i="1" s="1"/>
  <c r="I41" i="2"/>
  <c r="C165" i="7" l="1"/>
  <c r="D62" i="17"/>
  <c r="D63" i="17" s="1"/>
  <c r="C591" i="7"/>
  <c r="C168" i="7"/>
  <c r="F37" i="6"/>
  <c r="B164" i="7"/>
  <c r="C37" i="6"/>
  <c r="D31" i="6"/>
  <c r="G31" i="6"/>
  <c r="P703" i="1"/>
  <c r="B161" i="2"/>
  <c r="F54" i="2"/>
  <c r="K311" i="1"/>
  <c r="K315" i="1"/>
  <c r="K310" i="1"/>
  <c r="K309" i="1"/>
  <c r="K308" i="1"/>
  <c r="K307" i="1"/>
  <c r="K306" i="1"/>
  <c r="K305" i="1"/>
  <c r="K304" i="1"/>
  <c r="K303" i="1"/>
  <c r="K302" i="1"/>
  <c r="K297" i="1"/>
  <c r="K296" i="1"/>
  <c r="K295" i="1"/>
  <c r="K289" i="1"/>
  <c r="K294" i="1"/>
  <c r="K288" i="1"/>
  <c r="K287" i="1"/>
  <c r="K286" i="1"/>
  <c r="K285" i="1"/>
  <c r="K284" i="1"/>
  <c r="K283" i="1"/>
  <c r="K282" i="1"/>
  <c r="K281" i="1"/>
  <c r="K280" i="1"/>
  <c r="K279" i="1"/>
  <c r="K278" i="1"/>
  <c r="K271" i="1"/>
  <c r="K270" i="1"/>
  <c r="K269" i="1"/>
  <c r="K268" i="1"/>
  <c r="K267" i="1"/>
  <c r="K266" i="1"/>
  <c r="K265" i="1"/>
  <c r="K264" i="1"/>
  <c r="K238" i="1"/>
  <c r="K222" i="1"/>
  <c r="K221" i="1"/>
  <c r="K220" i="1"/>
  <c r="K219" i="1"/>
  <c r="K218" i="1"/>
  <c r="K217" i="1"/>
  <c r="K215" i="1"/>
  <c r="K197" i="1"/>
  <c r="S90" i="2" s="1"/>
  <c r="K210" i="1"/>
  <c r="K209" i="1"/>
  <c r="K208" i="1"/>
  <c r="K196" i="1"/>
  <c r="K195" i="1"/>
  <c r="K193" i="1"/>
  <c r="S77" i="2" s="1"/>
  <c r="K192" i="1"/>
  <c r="K191" i="1"/>
  <c r="K187" i="1"/>
  <c r="K182" i="1"/>
  <c r="K181" i="1"/>
  <c r="K180" i="1"/>
  <c r="K186" i="1"/>
  <c r="K185" i="1"/>
  <c r="K184" i="1"/>
  <c r="K183" i="1"/>
  <c r="K164" i="1"/>
  <c r="K163" i="1"/>
  <c r="K162" i="1"/>
  <c r="K161" i="1"/>
  <c r="K160" i="1"/>
  <c r="K157" i="1"/>
  <c r="K159" i="1"/>
  <c r="K141" i="1"/>
  <c r="S88" i="2" s="1"/>
  <c r="K140" i="1"/>
  <c r="K139" i="1"/>
  <c r="K138" i="1"/>
  <c r="K137" i="1"/>
  <c r="K129" i="1"/>
  <c r="K128" i="1"/>
  <c r="K127" i="1"/>
  <c r="K126" i="1"/>
  <c r="K125" i="1"/>
  <c r="K124" i="1"/>
  <c r="K123" i="1"/>
  <c r="K119" i="1"/>
  <c r="K114" i="1"/>
  <c r="K118" i="1"/>
  <c r="K117" i="1"/>
  <c r="K116" i="1"/>
  <c r="K112" i="1"/>
  <c r="K105" i="1"/>
  <c r="K104" i="1"/>
  <c r="K103" i="1"/>
  <c r="K102" i="1"/>
  <c r="K101" i="1"/>
  <c r="K100" i="1"/>
  <c r="K99" i="1"/>
  <c r="K97" i="1"/>
  <c r="K96" i="1"/>
  <c r="K89" i="1"/>
  <c r="K88" i="1"/>
  <c r="K87" i="1"/>
  <c r="S61" i="2" s="1"/>
  <c r="K86" i="1"/>
  <c r="S47" i="2" s="1"/>
  <c r="K85" i="1"/>
  <c r="K50" i="1"/>
  <c r="K49" i="1"/>
  <c r="K48" i="1"/>
  <c r="K47" i="1"/>
  <c r="K46" i="1"/>
  <c r="K45" i="1"/>
  <c r="K26" i="1"/>
  <c r="K25" i="1"/>
  <c r="K24" i="1"/>
  <c r="K23" i="1"/>
  <c r="K22" i="1"/>
  <c r="K21" i="1"/>
  <c r="K20" i="1"/>
  <c r="K19" i="1"/>
  <c r="K18" i="1"/>
  <c r="K17" i="1"/>
  <c r="K15" i="1"/>
  <c r="K14" i="1"/>
  <c r="K13" i="1"/>
  <c r="K11" i="1"/>
  <c r="K5" i="1"/>
  <c r="K4" i="1"/>
  <c r="I165" i="2"/>
  <c r="F165" i="2"/>
  <c r="I159" i="2"/>
  <c r="F159" i="2"/>
  <c r="I156" i="2"/>
  <c r="F156" i="2"/>
  <c r="G155" i="2"/>
  <c r="L155" i="2" s="1"/>
  <c r="D155" i="2"/>
  <c r="B155" i="2"/>
  <c r="I154" i="2"/>
  <c r="F154" i="2"/>
  <c r="I153" i="2"/>
  <c r="F153" i="2"/>
  <c r="I152" i="2"/>
  <c r="F152" i="2"/>
  <c r="I151" i="2"/>
  <c r="F151" i="2"/>
  <c r="I150" i="2"/>
  <c r="F150" i="2"/>
  <c r="I149" i="2"/>
  <c r="F149" i="2"/>
  <c r="I148" i="2"/>
  <c r="F148" i="2"/>
  <c r="I147" i="2"/>
  <c r="F147" i="2"/>
  <c r="G146" i="2"/>
  <c r="L146" i="2" s="1"/>
  <c r="D146" i="2"/>
  <c r="B146" i="2"/>
  <c r="I144" i="2"/>
  <c r="F144" i="2"/>
  <c r="I143" i="2"/>
  <c r="F143" i="2"/>
  <c r="I142" i="2"/>
  <c r="F142" i="2"/>
  <c r="I141" i="2"/>
  <c r="F141" i="2"/>
  <c r="I140" i="2"/>
  <c r="F140" i="2"/>
  <c r="G139" i="2"/>
  <c r="L139" i="2" s="1"/>
  <c r="D139" i="2"/>
  <c r="B139" i="2"/>
  <c r="I138" i="2"/>
  <c r="F138" i="2"/>
  <c r="G137" i="2"/>
  <c r="L137" i="2" s="1"/>
  <c r="D137" i="2"/>
  <c r="B137" i="2"/>
  <c r="I135" i="2"/>
  <c r="F135" i="2"/>
  <c r="I134" i="2"/>
  <c r="F134" i="2"/>
  <c r="G133" i="2"/>
  <c r="L133" i="2" s="1"/>
  <c r="D133" i="2"/>
  <c r="B133" i="2"/>
  <c r="I131" i="2"/>
  <c r="F131" i="2"/>
  <c r="I130" i="2"/>
  <c r="F130" i="2"/>
  <c r="I128" i="2"/>
  <c r="F128" i="2"/>
  <c r="G127" i="2"/>
  <c r="L127" i="2" s="1"/>
  <c r="D127" i="2"/>
  <c r="B127" i="2"/>
  <c r="I126" i="2"/>
  <c r="F126" i="2"/>
  <c r="I125" i="2"/>
  <c r="F125" i="2"/>
  <c r="I124" i="2"/>
  <c r="F124" i="2"/>
  <c r="G123" i="2"/>
  <c r="L123" i="2" s="1"/>
  <c r="D123" i="2"/>
  <c r="B123" i="2"/>
  <c r="I122" i="2"/>
  <c r="F122" i="2"/>
  <c r="G121" i="2"/>
  <c r="L121" i="2" s="1"/>
  <c r="D121" i="2"/>
  <c r="B121" i="2"/>
  <c r="I120" i="2"/>
  <c r="F120" i="2"/>
  <c r="I119" i="2"/>
  <c r="F119" i="2"/>
  <c r="I118" i="2"/>
  <c r="F118" i="2"/>
  <c r="I116" i="2"/>
  <c r="F116" i="2"/>
  <c r="I115" i="2"/>
  <c r="F115" i="2"/>
  <c r="I114" i="2"/>
  <c r="F114" i="2"/>
  <c r="G113" i="2"/>
  <c r="L113" i="2" s="1"/>
  <c r="D113" i="2"/>
  <c r="B113" i="2"/>
  <c r="I112" i="2"/>
  <c r="F112" i="2"/>
  <c r="L108" i="2"/>
  <c r="I107" i="2"/>
  <c r="F107" i="2"/>
  <c r="I105" i="2"/>
  <c r="F105" i="2"/>
  <c r="I103" i="2"/>
  <c r="F103" i="2"/>
  <c r="I102" i="2"/>
  <c r="F102" i="2"/>
  <c r="I101" i="2"/>
  <c r="F101" i="2"/>
  <c r="I100" i="2"/>
  <c r="F100" i="2"/>
  <c r="G99" i="2"/>
  <c r="L99" i="2" s="1"/>
  <c r="D99" i="2"/>
  <c r="B99" i="2"/>
  <c r="I98" i="2"/>
  <c r="F98" i="2"/>
  <c r="I97" i="2"/>
  <c r="F97" i="2"/>
  <c r="I93" i="2"/>
  <c r="F93" i="2"/>
  <c r="I87" i="2"/>
  <c r="F87" i="2"/>
  <c r="I86" i="2"/>
  <c r="F86" i="2"/>
  <c r="I84" i="2"/>
  <c r="F84" i="2"/>
  <c r="G78" i="2"/>
  <c r="L78" i="2" s="1"/>
  <c r="I76" i="2"/>
  <c r="F76" i="2"/>
  <c r="I75" i="2"/>
  <c r="F75" i="2"/>
  <c r="I74" i="2"/>
  <c r="F74" i="2"/>
  <c r="I73" i="2"/>
  <c r="I72" i="2"/>
  <c r="F72" i="2"/>
  <c r="I71" i="2"/>
  <c r="I68" i="2"/>
  <c r="F68" i="2"/>
  <c r="I67" i="2"/>
  <c r="F67" i="2"/>
  <c r="I66" i="2"/>
  <c r="F66" i="2"/>
  <c r="G65" i="2"/>
  <c r="L65" i="2" s="1"/>
  <c r="D65" i="2"/>
  <c r="B65" i="2"/>
  <c r="I64" i="2"/>
  <c r="F64" i="2"/>
  <c r="I59" i="2"/>
  <c r="F59" i="2"/>
  <c r="I58" i="2"/>
  <c r="F58" i="2"/>
  <c r="I57" i="2"/>
  <c r="F57" i="2"/>
  <c r="G56" i="2"/>
  <c r="L56" i="2" s="1"/>
  <c r="D56" i="2"/>
  <c r="B56" i="2"/>
  <c r="I55" i="2"/>
  <c r="F55" i="2"/>
  <c r="I53" i="2"/>
  <c r="F53" i="2"/>
  <c r="I52" i="2"/>
  <c r="H52" i="2"/>
  <c r="F52" i="2"/>
  <c r="E52" i="2"/>
  <c r="C52" i="2"/>
  <c r="I51" i="2"/>
  <c r="F51" i="2"/>
  <c r="I50" i="2"/>
  <c r="F50" i="2"/>
  <c r="I49" i="2"/>
  <c r="F49" i="2"/>
  <c r="I44" i="2"/>
  <c r="F44" i="2"/>
  <c r="G43" i="2"/>
  <c r="D43" i="2"/>
  <c r="D42" i="2" s="1"/>
  <c r="B43" i="2"/>
  <c r="I27" i="2"/>
  <c r="D15" i="2"/>
  <c r="B15" i="2"/>
  <c r="I14" i="2"/>
  <c r="F14" i="2"/>
  <c r="F8" i="2"/>
  <c r="I4" i="2"/>
  <c r="F4" i="2"/>
  <c r="D3" i="2"/>
  <c r="B3" i="2"/>
  <c r="S25" i="2" l="1"/>
  <c r="T25" i="2" s="1"/>
  <c r="B165" i="7"/>
  <c r="C62" i="17"/>
  <c r="C63" i="17" s="1"/>
  <c r="S24" i="2"/>
  <c r="S39" i="2"/>
  <c r="T39" i="2" s="1"/>
  <c r="S46" i="2"/>
  <c r="T47" i="2"/>
  <c r="S60" i="2"/>
  <c r="T61" i="2"/>
  <c r="P95" i="2"/>
  <c r="P94" i="2" s="1"/>
  <c r="Q94" i="2" s="1"/>
  <c r="S95" i="2"/>
  <c r="T88" i="2"/>
  <c r="S85" i="2"/>
  <c r="T77" i="2"/>
  <c r="S70" i="2"/>
  <c r="T90" i="2"/>
  <c r="P20" i="2"/>
  <c r="Q20" i="2" s="1"/>
  <c r="S20" i="2"/>
  <c r="C110" i="2"/>
  <c r="C111" i="2"/>
  <c r="E110" i="2"/>
  <c r="E111" i="2"/>
  <c r="B168" i="7"/>
  <c r="B591" i="7"/>
  <c r="C593" i="7" s="1"/>
  <c r="D37" i="6"/>
  <c r="C592" i="7"/>
  <c r="C169" i="7"/>
  <c r="G37" i="6"/>
  <c r="C7" i="2"/>
  <c r="C13" i="2"/>
  <c r="E7" i="2"/>
  <c r="E13" i="2"/>
  <c r="C6" i="2"/>
  <c r="C33" i="2"/>
  <c r="E6" i="2"/>
  <c r="E33" i="2"/>
  <c r="C11" i="2"/>
  <c r="C12" i="2"/>
  <c r="E12" i="2"/>
  <c r="E11" i="2"/>
  <c r="C9" i="2"/>
  <c r="C92" i="2"/>
  <c r="E9" i="2"/>
  <c r="E92" i="2"/>
  <c r="P89" i="2"/>
  <c r="P90" i="2"/>
  <c r="U90" i="2" s="1"/>
  <c r="M90" i="2"/>
  <c r="J90" i="2"/>
  <c r="G90" i="2"/>
  <c r="D90" i="2"/>
  <c r="E90" i="2" s="1"/>
  <c r="B90" i="2"/>
  <c r="C90" i="2" s="1"/>
  <c r="C81" i="2"/>
  <c r="E81" i="2"/>
  <c r="C10" i="2"/>
  <c r="C80" i="2"/>
  <c r="E10" i="2"/>
  <c r="E80" i="2"/>
  <c r="P25" i="2"/>
  <c r="P24" i="2"/>
  <c r="P39" i="2"/>
  <c r="M47" i="2"/>
  <c r="M46" i="2" s="1"/>
  <c r="P47" i="2"/>
  <c r="U47" i="2" s="1"/>
  <c r="M61" i="2"/>
  <c r="N61" i="2" s="1"/>
  <c r="P61" i="2"/>
  <c r="U61" i="2" s="1"/>
  <c r="M88" i="2"/>
  <c r="N88" i="2" s="1"/>
  <c r="P88" i="2"/>
  <c r="U88" i="2" s="1"/>
  <c r="M77" i="2"/>
  <c r="M70" i="2" s="1"/>
  <c r="P77" i="2"/>
  <c r="U77" i="2" s="1"/>
  <c r="C32" i="2"/>
  <c r="C30" i="2"/>
  <c r="C31" i="2"/>
  <c r="C29" i="2"/>
  <c r="C34" i="2"/>
  <c r="E30" i="2"/>
  <c r="E29" i="2"/>
  <c r="E34" i="2"/>
  <c r="E32" i="2"/>
  <c r="E31" i="2"/>
  <c r="B89" i="2"/>
  <c r="C89" i="2" s="1"/>
  <c r="D89" i="2"/>
  <c r="E89" i="2" s="1"/>
  <c r="G89" i="2"/>
  <c r="J89" i="2"/>
  <c r="M89" i="2"/>
  <c r="C26" i="2"/>
  <c r="E26" i="2"/>
  <c r="M24" i="2"/>
  <c r="C117" i="2"/>
  <c r="E117" i="2"/>
  <c r="C83" i="2"/>
  <c r="E83" i="2"/>
  <c r="M39" i="2"/>
  <c r="M25" i="2"/>
  <c r="J95" i="2"/>
  <c r="K95" i="2" s="1"/>
  <c r="M95" i="2"/>
  <c r="R95" i="2" s="1"/>
  <c r="J20" i="2"/>
  <c r="K20" i="2" s="1"/>
  <c r="M20" i="2"/>
  <c r="J39" i="2"/>
  <c r="K39" i="2" s="1"/>
  <c r="J25" i="2"/>
  <c r="K25" i="2" s="1"/>
  <c r="G88" i="2"/>
  <c r="H88" i="2" s="1"/>
  <c r="J88" i="2"/>
  <c r="D88" i="2"/>
  <c r="E88" i="2" s="1"/>
  <c r="B88" i="2"/>
  <c r="C88" i="2" s="1"/>
  <c r="J24" i="2"/>
  <c r="K24" i="2" s="1"/>
  <c r="G47" i="2"/>
  <c r="H47" i="2" s="1"/>
  <c r="J47" i="2"/>
  <c r="G61" i="2"/>
  <c r="G60" i="2" s="1"/>
  <c r="H60" i="2" s="1"/>
  <c r="J61" i="2"/>
  <c r="G77" i="2"/>
  <c r="H77" i="2" s="1"/>
  <c r="J77" i="2"/>
  <c r="G42" i="2"/>
  <c r="L42" i="2" s="1"/>
  <c r="L43" i="2"/>
  <c r="O702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688" i="1"/>
  <c r="O689" i="1"/>
  <c r="O687" i="1"/>
  <c r="O703" i="1"/>
  <c r="P704" i="1"/>
  <c r="C157" i="2"/>
  <c r="B411" i="7"/>
  <c r="B412" i="7" s="1"/>
  <c r="B413" i="7" s="1"/>
  <c r="E157" i="2"/>
  <c r="C411" i="7"/>
  <c r="C412" i="7" s="1"/>
  <c r="C413" i="7" s="1"/>
  <c r="D171" i="2"/>
  <c r="C164" i="2"/>
  <c r="C109" i="2"/>
  <c r="E164" i="2"/>
  <c r="E109" i="2"/>
  <c r="H164" i="2"/>
  <c r="H109" i="2"/>
  <c r="G95" i="2"/>
  <c r="G20" i="2"/>
  <c r="G25" i="2"/>
  <c r="G39" i="2"/>
  <c r="G24" i="2"/>
  <c r="E104" i="2"/>
  <c r="E40" i="2"/>
  <c r="E16" i="2"/>
  <c r="C104" i="2"/>
  <c r="C16" i="2"/>
  <c r="H104" i="2"/>
  <c r="H16" i="2"/>
  <c r="D47" i="2"/>
  <c r="B47" i="2"/>
  <c r="C47" i="2" s="1"/>
  <c r="D25" i="2"/>
  <c r="E25" i="2" s="1"/>
  <c r="B25" i="2"/>
  <c r="C25" i="2" s="1"/>
  <c r="D95" i="2"/>
  <c r="B95" i="2"/>
  <c r="C95" i="2" s="1"/>
  <c r="D77" i="2"/>
  <c r="B77" i="2"/>
  <c r="C77" i="2" s="1"/>
  <c r="D24" i="2"/>
  <c r="B24" i="2"/>
  <c r="D61" i="2"/>
  <c r="D39" i="2"/>
  <c r="B39" i="2"/>
  <c r="D20" i="2"/>
  <c r="D17" i="2" s="1"/>
  <c r="B20" i="2"/>
  <c r="B17" i="2" s="1"/>
  <c r="B21" i="2" s="1"/>
  <c r="E82" i="2"/>
  <c r="H82" i="2"/>
  <c r="H40" i="2"/>
  <c r="C82" i="2"/>
  <c r="C40" i="2"/>
  <c r="E106" i="2"/>
  <c r="C106" i="2"/>
  <c r="H106" i="2"/>
  <c r="E63" i="2"/>
  <c r="H63" i="2"/>
  <c r="C158" i="2"/>
  <c r="C63" i="2"/>
  <c r="E91" i="2"/>
  <c r="E158" i="2"/>
  <c r="H91" i="2"/>
  <c r="H158" i="2"/>
  <c r="C91" i="2"/>
  <c r="E62" i="2"/>
  <c r="E19" i="2"/>
  <c r="E18" i="2"/>
  <c r="C18" i="2"/>
  <c r="C19" i="2"/>
  <c r="H62" i="2"/>
  <c r="H19" i="2"/>
  <c r="H18" i="2"/>
  <c r="F41" i="2"/>
  <c r="C163" i="2"/>
  <c r="C62" i="2"/>
  <c r="E163" i="2"/>
  <c r="H163" i="2"/>
  <c r="C48" i="2"/>
  <c r="E162" i="2"/>
  <c r="E48" i="2"/>
  <c r="H162" i="2"/>
  <c r="H48" i="2"/>
  <c r="C54" i="2"/>
  <c r="C162" i="2"/>
  <c r="E54" i="2"/>
  <c r="H54" i="2"/>
  <c r="B42" i="2"/>
  <c r="F73" i="2"/>
  <c r="F71" i="2"/>
  <c r="E98" i="2"/>
  <c r="E41" i="2"/>
  <c r="H53" i="2"/>
  <c r="H41" i="2"/>
  <c r="F65" i="2"/>
  <c r="I129" i="2"/>
  <c r="F137" i="2"/>
  <c r="I161" i="2"/>
  <c r="I139" i="2"/>
  <c r="I137" i="2"/>
  <c r="I133" i="2"/>
  <c r="F129" i="2"/>
  <c r="F139" i="2"/>
  <c r="F15" i="2"/>
  <c r="I127" i="2"/>
  <c r="I121" i="2"/>
  <c r="I123" i="2"/>
  <c r="I28" i="2"/>
  <c r="F108" i="2"/>
  <c r="F56" i="2"/>
  <c r="E56" i="2"/>
  <c r="F127" i="2"/>
  <c r="C4" i="2"/>
  <c r="E42" i="2"/>
  <c r="H3" i="2"/>
  <c r="E4" i="2"/>
  <c r="E5" i="2"/>
  <c r="E27" i="2"/>
  <c r="H28" i="2"/>
  <c r="I43" i="2"/>
  <c r="H50" i="2"/>
  <c r="I56" i="2"/>
  <c r="H56" i="2"/>
  <c r="C57" i="2"/>
  <c r="C103" i="2"/>
  <c r="I3" i="2"/>
  <c r="F5" i="2"/>
  <c r="C15" i="2"/>
  <c r="E49" i="2"/>
  <c r="E58" i="2"/>
  <c r="E65" i="2"/>
  <c r="C147" i="2"/>
  <c r="C143" i="2"/>
  <c r="C125" i="2"/>
  <c r="C148" i="2"/>
  <c r="C144" i="2"/>
  <c r="C138" i="2"/>
  <c r="C134" i="2"/>
  <c r="C130" i="2"/>
  <c r="C126" i="2"/>
  <c r="C149" i="2"/>
  <c r="C150" i="2"/>
  <c r="C165" i="2"/>
  <c r="C156" i="2"/>
  <c r="C151" i="2"/>
  <c r="C116" i="2"/>
  <c r="B171" i="2"/>
  <c r="C159" i="2"/>
  <c r="C152" i="2"/>
  <c r="C140" i="2"/>
  <c r="C128" i="2"/>
  <c r="C118" i="2"/>
  <c r="C153" i="2"/>
  <c r="C141" i="2"/>
  <c r="C114" i="2"/>
  <c r="C98" i="2"/>
  <c r="C96" i="2"/>
  <c r="C79" i="2"/>
  <c r="C105" i="2"/>
  <c r="C84" i="2"/>
  <c r="C142" i="2"/>
  <c r="C131" i="2"/>
  <c r="C124" i="2"/>
  <c r="C122" i="2"/>
  <c r="C120" i="2"/>
  <c r="C75" i="2"/>
  <c r="C107" i="2"/>
  <c r="C93" i="2"/>
  <c r="C76" i="2"/>
  <c r="C119" i="2"/>
  <c r="C115" i="2"/>
  <c r="C100" i="2"/>
  <c r="C154" i="2"/>
  <c r="C135" i="2"/>
  <c r="C101" i="2"/>
  <c r="C123" i="2"/>
  <c r="C121" i="2"/>
  <c r="C102" i="2"/>
  <c r="C86" i="2"/>
  <c r="C58" i="2"/>
  <c r="C51" i="2"/>
  <c r="C71" i="2"/>
  <c r="C72" i="2"/>
  <c r="C67" i="2"/>
  <c r="C53" i="2"/>
  <c r="C49" i="2"/>
  <c r="C73" i="2"/>
  <c r="C112" i="2"/>
  <c r="C74" i="2"/>
  <c r="C65" i="2"/>
  <c r="C64" i="2"/>
  <c r="C97" i="2"/>
  <c r="C14" i="2"/>
  <c r="C8" i="2"/>
  <c r="H27" i="2"/>
  <c r="C44" i="2"/>
  <c r="E51" i="2"/>
  <c r="H65" i="2"/>
  <c r="H72" i="2"/>
  <c r="H78" i="2"/>
  <c r="F99" i="2"/>
  <c r="E99" i="2"/>
  <c r="H43" i="2"/>
  <c r="H4" i="2"/>
  <c r="C3" i="2"/>
  <c r="E8" i="2"/>
  <c r="E15" i="2"/>
  <c r="G15" i="2"/>
  <c r="L15" i="2" s="1"/>
  <c r="C43" i="2"/>
  <c r="E44" i="2"/>
  <c r="H49" i="2"/>
  <c r="E53" i="2"/>
  <c r="I65" i="2"/>
  <c r="C66" i="2"/>
  <c r="E148" i="2"/>
  <c r="E144" i="2"/>
  <c r="E138" i="2"/>
  <c r="E134" i="2"/>
  <c r="E130" i="2"/>
  <c r="E126" i="2"/>
  <c r="E149" i="2"/>
  <c r="E135" i="2"/>
  <c r="E131" i="2"/>
  <c r="E150" i="2"/>
  <c r="E165" i="2"/>
  <c r="E156" i="2"/>
  <c r="E151" i="2"/>
  <c r="E159" i="2"/>
  <c r="E152" i="2"/>
  <c r="E140" i="2"/>
  <c r="E128" i="2"/>
  <c r="E118" i="2"/>
  <c r="E153" i="2"/>
  <c r="E141" i="2"/>
  <c r="E119" i="2"/>
  <c r="E154" i="2"/>
  <c r="E142" i="2"/>
  <c r="E143" i="2"/>
  <c r="E129" i="2"/>
  <c r="E127" i="2"/>
  <c r="E116" i="2"/>
  <c r="E105" i="2"/>
  <c r="E84" i="2"/>
  <c r="E124" i="2"/>
  <c r="E122" i="2"/>
  <c r="E120" i="2"/>
  <c r="E108" i="2"/>
  <c r="E75" i="2"/>
  <c r="E147" i="2"/>
  <c r="E107" i="2"/>
  <c r="E93" i="2"/>
  <c r="E76" i="2"/>
  <c r="E133" i="2"/>
  <c r="E115" i="2"/>
  <c r="E100" i="2"/>
  <c r="E146" i="2"/>
  <c r="E101" i="2"/>
  <c r="E86" i="2"/>
  <c r="E139" i="2"/>
  <c r="E137" i="2"/>
  <c r="E125" i="2"/>
  <c r="E112" i="2"/>
  <c r="E103" i="2"/>
  <c r="E97" i="2"/>
  <c r="E71" i="2"/>
  <c r="E66" i="2"/>
  <c r="E59" i="2"/>
  <c r="E72" i="2"/>
  <c r="E73" i="2"/>
  <c r="E68" i="2"/>
  <c r="E55" i="2"/>
  <c r="E50" i="2"/>
  <c r="E74" i="2"/>
  <c r="E114" i="2"/>
  <c r="E64" i="2"/>
  <c r="E87" i="2"/>
  <c r="E57" i="2"/>
  <c r="E14" i="2"/>
  <c r="F43" i="2"/>
  <c r="C59" i="2"/>
  <c r="E67" i="2"/>
  <c r="E3" i="2"/>
  <c r="E28" i="2"/>
  <c r="E43" i="2"/>
  <c r="C50" i="2"/>
  <c r="C55" i="2"/>
  <c r="C56" i="2"/>
  <c r="C87" i="2"/>
  <c r="G171" i="2"/>
  <c r="E76" i="17" s="1"/>
  <c r="E81" i="17" s="1"/>
  <c r="E82" i="17" s="1"/>
  <c r="H150" i="2"/>
  <c r="H122" i="2"/>
  <c r="H115" i="2"/>
  <c r="H165" i="2"/>
  <c r="H156" i="2"/>
  <c r="H151" i="2"/>
  <c r="H116" i="2"/>
  <c r="H159" i="2"/>
  <c r="H152" i="2"/>
  <c r="H161" i="2"/>
  <c r="H155" i="2"/>
  <c r="H153" i="2"/>
  <c r="H154" i="2"/>
  <c r="H142" i="2"/>
  <c r="H124" i="2"/>
  <c r="H120" i="2"/>
  <c r="H147" i="2"/>
  <c r="H143" i="2"/>
  <c r="H125" i="2"/>
  <c r="H148" i="2"/>
  <c r="H144" i="2"/>
  <c r="H138" i="2"/>
  <c r="H131" i="2"/>
  <c r="H107" i="2"/>
  <c r="H93" i="2"/>
  <c r="H76" i="2"/>
  <c r="H149" i="2"/>
  <c r="H100" i="2"/>
  <c r="H146" i="2"/>
  <c r="H141" i="2"/>
  <c r="H140" i="2"/>
  <c r="H130" i="2"/>
  <c r="H128" i="2"/>
  <c r="H126" i="2"/>
  <c r="H119" i="2"/>
  <c r="H101" i="2"/>
  <c r="H135" i="2"/>
  <c r="H86" i="2"/>
  <c r="H118" i="2"/>
  <c r="H113" i="2"/>
  <c r="H112" i="2"/>
  <c r="H103" i="2"/>
  <c r="H102" i="2"/>
  <c r="H97" i="2"/>
  <c r="H96" i="2"/>
  <c r="H87" i="2"/>
  <c r="H79" i="2"/>
  <c r="H134" i="2"/>
  <c r="H114" i="2"/>
  <c r="H98" i="2"/>
  <c r="H105" i="2"/>
  <c r="H73" i="2"/>
  <c r="H68" i="2"/>
  <c r="H55" i="2"/>
  <c r="H84" i="2"/>
  <c r="H75" i="2"/>
  <c r="H74" i="2"/>
  <c r="H64" i="2"/>
  <c r="H44" i="2"/>
  <c r="H57" i="2"/>
  <c r="H58" i="2"/>
  <c r="H51" i="2"/>
  <c r="H71" i="2"/>
  <c r="H66" i="2"/>
  <c r="H59" i="2"/>
  <c r="F3" i="2"/>
  <c r="C5" i="2"/>
  <c r="H14" i="2"/>
  <c r="H67" i="2"/>
  <c r="C68" i="2"/>
  <c r="I99" i="2"/>
  <c r="C113" i="2"/>
  <c r="E113" i="2"/>
  <c r="F113" i="2"/>
  <c r="I96" i="2"/>
  <c r="F96" i="2"/>
  <c r="E96" i="2"/>
  <c r="I108" i="2"/>
  <c r="H108" i="2"/>
  <c r="I79" i="2"/>
  <c r="D78" i="2"/>
  <c r="F79" i="2"/>
  <c r="E79" i="2"/>
  <c r="C99" i="2"/>
  <c r="H127" i="2"/>
  <c r="H129" i="2"/>
  <c r="C146" i="2"/>
  <c r="C155" i="2"/>
  <c r="I113" i="2"/>
  <c r="F121" i="2"/>
  <c r="E121" i="2"/>
  <c r="F123" i="2"/>
  <c r="E123" i="2"/>
  <c r="C133" i="2"/>
  <c r="F146" i="2"/>
  <c r="I146" i="2"/>
  <c r="I155" i="2"/>
  <c r="F155" i="2"/>
  <c r="E155" i="2"/>
  <c r="H137" i="2"/>
  <c r="H139" i="2"/>
  <c r="C161" i="2"/>
  <c r="H99" i="2"/>
  <c r="C108" i="2"/>
  <c r="H121" i="2"/>
  <c r="H123" i="2"/>
  <c r="C127" i="2"/>
  <c r="C129" i="2"/>
  <c r="F133" i="2"/>
  <c r="H133" i="2"/>
  <c r="C137" i="2"/>
  <c r="C139" i="2"/>
  <c r="E161" i="2"/>
  <c r="F161" i="2"/>
  <c r="U24" i="2" l="1"/>
  <c r="O47" i="2"/>
  <c r="S23" i="2"/>
  <c r="S22" i="2" s="1"/>
  <c r="B246" i="7"/>
  <c r="B300" i="7" s="1"/>
  <c r="B301" i="7" s="1"/>
  <c r="C76" i="17"/>
  <c r="C81" i="17" s="1"/>
  <c r="C82" i="17" s="1"/>
  <c r="C246" i="7"/>
  <c r="C300" i="7" s="1"/>
  <c r="C301" i="7" s="1"/>
  <c r="D76" i="17"/>
  <c r="D81" i="17" s="1"/>
  <c r="D82" i="17" s="1"/>
  <c r="T24" i="2"/>
  <c r="Q95" i="2"/>
  <c r="P17" i="2"/>
  <c r="Q17" i="2" s="1"/>
  <c r="S38" i="2"/>
  <c r="T38" i="2" s="1"/>
  <c r="P38" i="2"/>
  <c r="U39" i="2"/>
  <c r="Q25" i="2"/>
  <c r="U25" i="2"/>
  <c r="Q89" i="2"/>
  <c r="U89" i="2"/>
  <c r="U20" i="2"/>
  <c r="T20" i="2"/>
  <c r="S17" i="2"/>
  <c r="T70" i="2"/>
  <c r="T85" i="2"/>
  <c r="U95" i="2"/>
  <c r="T95" i="2"/>
  <c r="S94" i="2"/>
  <c r="T60" i="2"/>
  <c r="T46" i="2"/>
  <c r="S45" i="2"/>
  <c r="B169" i="7"/>
  <c r="B592" i="7"/>
  <c r="B593" i="7"/>
  <c r="F90" i="2"/>
  <c r="I90" i="2"/>
  <c r="H90" i="2"/>
  <c r="L90" i="2"/>
  <c r="K90" i="2"/>
  <c r="O90" i="2"/>
  <c r="N90" i="2"/>
  <c r="R90" i="2"/>
  <c r="Q90" i="2"/>
  <c r="O77" i="2"/>
  <c r="R24" i="2"/>
  <c r="M60" i="2"/>
  <c r="M45" i="2" s="1"/>
  <c r="R77" i="2"/>
  <c r="N77" i="2"/>
  <c r="O61" i="2"/>
  <c r="N47" i="2"/>
  <c r="Q39" i="2"/>
  <c r="O88" i="2"/>
  <c r="P23" i="2"/>
  <c r="Q24" i="2"/>
  <c r="Q77" i="2"/>
  <c r="P70" i="2"/>
  <c r="Q88" i="2"/>
  <c r="P85" i="2"/>
  <c r="R88" i="2"/>
  <c r="P60" i="2"/>
  <c r="Q61" i="2"/>
  <c r="R61" i="2"/>
  <c r="P46" i="2"/>
  <c r="U46" i="2" s="1"/>
  <c r="Q47" i="2"/>
  <c r="R47" i="2"/>
  <c r="N70" i="2"/>
  <c r="N25" i="2"/>
  <c r="R25" i="2"/>
  <c r="M38" i="2"/>
  <c r="R39" i="2"/>
  <c r="M17" i="2"/>
  <c r="R20" i="2"/>
  <c r="M85" i="2"/>
  <c r="R89" i="2"/>
  <c r="F89" i="2"/>
  <c r="O89" i="2"/>
  <c r="N89" i="2"/>
  <c r="L89" i="2"/>
  <c r="K89" i="2"/>
  <c r="I89" i="2"/>
  <c r="H89" i="2"/>
  <c r="H61" i="2"/>
  <c r="I42" i="2"/>
  <c r="L39" i="2"/>
  <c r="J94" i="2"/>
  <c r="K94" i="2" s="1"/>
  <c r="N39" i="2"/>
  <c r="M23" i="2"/>
  <c r="I61" i="2"/>
  <c r="N24" i="2"/>
  <c r="J38" i="2"/>
  <c r="J37" i="2" s="1"/>
  <c r="J17" i="2"/>
  <c r="K17" i="2" s="1"/>
  <c r="O25" i="2"/>
  <c r="O24" i="2"/>
  <c r="O39" i="2"/>
  <c r="N46" i="2"/>
  <c r="O20" i="2"/>
  <c r="N20" i="2"/>
  <c r="M94" i="2"/>
  <c r="N95" i="2"/>
  <c r="O95" i="2"/>
  <c r="H42" i="2"/>
  <c r="G46" i="2"/>
  <c r="G45" i="2" s="1"/>
  <c r="B85" i="2"/>
  <c r="F88" i="2"/>
  <c r="D85" i="2"/>
  <c r="K88" i="2"/>
  <c r="J85" i="2"/>
  <c r="K85" i="2" s="1"/>
  <c r="L88" i="2"/>
  <c r="I88" i="2"/>
  <c r="G85" i="2"/>
  <c r="J23" i="2"/>
  <c r="L61" i="2"/>
  <c r="L77" i="2"/>
  <c r="G70" i="2"/>
  <c r="H70" i="2" s="1"/>
  <c r="K77" i="2"/>
  <c r="J70" i="2"/>
  <c r="O70" i="2" s="1"/>
  <c r="J60" i="2"/>
  <c r="K61" i="2"/>
  <c r="K47" i="2"/>
  <c r="J46" i="2"/>
  <c r="O46" i="2" s="1"/>
  <c r="L47" i="2"/>
  <c r="D246" i="7"/>
  <c r="D300" i="7" s="1"/>
  <c r="D301" i="7" s="1"/>
  <c r="L171" i="2"/>
  <c r="H24" i="2"/>
  <c r="L24" i="2"/>
  <c r="H25" i="2"/>
  <c r="L25" i="2"/>
  <c r="G17" i="2"/>
  <c r="I17" i="2" s="1"/>
  <c r="L20" i="2"/>
  <c r="G94" i="2"/>
  <c r="H94" i="2" s="1"/>
  <c r="L95" i="2"/>
  <c r="O704" i="1"/>
  <c r="P705" i="1"/>
  <c r="H39" i="2"/>
  <c r="G38" i="2"/>
  <c r="I95" i="2"/>
  <c r="H20" i="2"/>
  <c r="H95" i="2"/>
  <c r="G23" i="2"/>
  <c r="I39" i="2"/>
  <c r="D38" i="2"/>
  <c r="C39" i="2"/>
  <c r="B38" i="2"/>
  <c r="D60" i="2"/>
  <c r="I60" i="2" s="1"/>
  <c r="I20" i="2"/>
  <c r="E39" i="2"/>
  <c r="E61" i="2"/>
  <c r="E20" i="2"/>
  <c r="E95" i="2"/>
  <c r="B70" i="2"/>
  <c r="C70" i="2" s="1"/>
  <c r="E17" i="2"/>
  <c r="F77" i="2"/>
  <c r="D21" i="2"/>
  <c r="E21" i="2" s="1"/>
  <c r="E47" i="2"/>
  <c r="D94" i="2"/>
  <c r="E94" i="2" s="1"/>
  <c r="B46" i="2"/>
  <c r="F47" i="2"/>
  <c r="E77" i="2"/>
  <c r="I77" i="2"/>
  <c r="D70" i="2"/>
  <c r="I25" i="2"/>
  <c r="F25" i="2"/>
  <c r="I47" i="2"/>
  <c r="D46" i="2"/>
  <c r="F39" i="2"/>
  <c r="F17" i="2"/>
  <c r="C17" i="2"/>
  <c r="C20" i="2"/>
  <c r="F20" i="2"/>
  <c r="C41" i="2"/>
  <c r="B78" i="2"/>
  <c r="C78" i="2" s="1"/>
  <c r="F95" i="2"/>
  <c r="B94" i="2"/>
  <c r="C94" i="2" s="1"/>
  <c r="F42" i="2"/>
  <c r="C42" i="2"/>
  <c r="C27" i="2"/>
  <c r="C24" i="2"/>
  <c r="F27" i="2"/>
  <c r="B23" i="2"/>
  <c r="C21" i="2"/>
  <c r="I171" i="2"/>
  <c r="H171" i="2"/>
  <c r="I15" i="2"/>
  <c r="H15" i="2"/>
  <c r="C171" i="2"/>
  <c r="E78" i="2"/>
  <c r="I78" i="2"/>
  <c r="F171" i="2"/>
  <c r="E171" i="2"/>
  <c r="T23" i="2" l="1"/>
  <c r="B635" i="7"/>
  <c r="B636" i="7" s="1"/>
  <c r="C131" i="17"/>
  <c r="D635" i="7"/>
  <c r="D636" i="7" s="1"/>
  <c r="E131" i="17"/>
  <c r="E635" i="7"/>
  <c r="E636" i="7" s="1"/>
  <c r="F131" i="17"/>
  <c r="F635" i="7"/>
  <c r="F636" i="7" s="1"/>
  <c r="G131" i="17"/>
  <c r="H131" i="17"/>
  <c r="P21" i="2"/>
  <c r="Q21" i="2" s="1"/>
  <c r="R17" i="2"/>
  <c r="U38" i="2"/>
  <c r="S37" i="2"/>
  <c r="T37" i="2" s="1"/>
  <c r="Q38" i="2"/>
  <c r="P37" i="2"/>
  <c r="Q37" i="2" s="1"/>
  <c r="R38" i="2"/>
  <c r="Q60" i="2"/>
  <c r="U60" i="2"/>
  <c r="Q85" i="2"/>
  <c r="U85" i="2"/>
  <c r="R70" i="2"/>
  <c r="U70" i="2"/>
  <c r="G635" i="7"/>
  <c r="G636" i="7" s="1"/>
  <c r="U23" i="2"/>
  <c r="T22" i="2"/>
  <c r="T45" i="2"/>
  <c r="U94" i="2"/>
  <c r="T94" i="2"/>
  <c r="S69" i="2"/>
  <c r="U17" i="2"/>
  <c r="T17" i="2"/>
  <c r="S21" i="2"/>
  <c r="P22" i="2"/>
  <c r="G420" i="7"/>
  <c r="N17" i="2"/>
  <c r="N60" i="2"/>
  <c r="O60" i="2"/>
  <c r="Q23" i="2"/>
  <c r="R23" i="2"/>
  <c r="R85" i="2"/>
  <c r="N38" i="2"/>
  <c r="M21" i="2"/>
  <c r="Q46" i="2"/>
  <c r="P45" i="2"/>
  <c r="Q70" i="2"/>
  <c r="P69" i="2"/>
  <c r="Q69" i="2" s="1"/>
  <c r="R46" i="2"/>
  <c r="F484" i="7"/>
  <c r="F480" i="7"/>
  <c r="R60" i="2"/>
  <c r="M69" i="2"/>
  <c r="N69" i="2" s="1"/>
  <c r="R94" i="2"/>
  <c r="N85" i="2"/>
  <c r="M37" i="2"/>
  <c r="M22" i="2"/>
  <c r="F420" i="7"/>
  <c r="B420" i="7"/>
  <c r="E420" i="7"/>
  <c r="N23" i="2"/>
  <c r="L38" i="2"/>
  <c r="O38" i="2"/>
  <c r="K38" i="2"/>
  <c r="O17" i="2"/>
  <c r="J21" i="2"/>
  <c r="O85" i="2"/>
  <c r="O23" i="2"/>
  <c r="N45" i="2"/>
  <c r="N94" i="2"/>
  <c r="O94" i="2"/>
  <c r="J22" i="2"/>
  <c r="K23" i="2"/>
  <c r="H46" i="2"/>
  <c r="L85" i="2"/>
  <c r="I85" i="2"/>
  <c r="H85" i="2"/>
  <c r="F85" i="2"/>
  <c r="E85" i="2"/>
  <c r="C85" i="2"/>
  <c r="K46" i="2"/>
  <c r="J45" i="2"/>
  <c r="L46" i="2"/>
  <c r="K60" i="2"/>
  <c r="L60" i="2"/>
  <c r="K37" i="2"/>
  <c r="K70" i="2"/>
  <c r="J69" i="2"/>
  <c r="L70" i="2"/>
  <c r="D420" i="7"/>
  <c r="L23" i="2"/>
  <c r="G69" i="2"/>
  <c r="L94" i="2"/>
  <c r="H17" i="2"/>
  <c r="L17" i="2"/>
  <c r="O705" i="1"/>
  <c r="P706" i="1"/>
  <c r="G37" i="2"/>
  <c r="L37" i="2" s="1"/>
  <c r="H38" i="2"/>
  <c r="D484" i="7"/>
  <c r="D480" i="7"/>
  <c r="H23" i="2"/>
  <c r="G22" i="2"/>
  <c r="F38" i="2"/>
  <c r="D37" i="2"/>
  <c r="I38" i="2"/>
  <c r="E38" i="2"/>
  <c r="E60" i="2"/>
  <c r="F21" i="2"/>
  <c r="F70" i="2"/>
  <c r="I94" i="2"/>
  <c r="D69" i="2"/>
  <c r="F46" i="2"/>
  <c r="C46" i="2"/>
  <c r="D45" i="2"/>
  <c r="E46" i="2"/>
  <c r="I46" i="2"/>
  <c r="I70" i="2"/>
  <c r="E70" i="2"/>
  <c r="B37" i="2"/>
  <c r="C37" i="2" s="1"/>
  <c r="C38" i="2"/>
  <c r="F78" i="2"/>
  <c r="F94" i="2"/>
  <c r="B69" i="2"/>
  <c r="F28" i="2"/>
  <c r="C28" i="2"/>
  <c r="B22" i="2"/>
  <c r="C23" i="2"/>
  <c r="H45" i="2"/>
  <c r="R21" i="2" l="1"/>
  <c r="U45" i="2"/>
  <c r="U37" i="2"/>
  <c r="R37" i="2"/>
  <c r="Q22" i="2"/>
  <c r="U22" i="2"/>
  <c r="T21" i="2"/>
  <c r="S35" i="2"/>
  <c r="U21" i="2"/>
  <c r="T69" i="2"/>
  <c r="U69" i="2"/>
  <c r="S36" i="2"/>
  <c r="P35" i="2"/>
  <c r="Q35" i="2" s="1"/>
  <c r="Q45" i="2"/>
  <c r="G484" i="7"/>
  <c r="G480" i="7"/>
  <c r="F481" i="7"/>
  <c r="O69" i="2"/>
  <c r="N21" i="2"/>
  <c r="O21" i="2"/>
  <c r="N37" i="2"/>
  <c r="R69" i="2"/>
  <c r="P36" i="2"/>
  <c r="R45" i="2"/>
  <c r="O37" i="2"/>
  <c r="M35" i="2"/>
  <c r="R22" i="2"/>
  <c r="M36" i="2"/>
  <c r="N22" i="2"/>
  <c r="D481" i="7"/>
  <c r="O45" i="2"/>
  <c r="K21" i="2"/>
  <c r="J35" i="2"/>
  <c r="K35" i="2" s="1"/>
  <c r="O22" i="2"/>
  <c r="K22" i="2"/>
  <c r="E484" i="7"/>
  <c r="E480" i="7"/>
  <c r="I69" i="2"/>
  <c r="K69" i="2"/>
  <c r="J36" i="2"/>
  <c r="K45" i="2"/>
  <c r="L45" i="2"/>
  <c r="L69" i="2"/>
  <c r="H69" i="2"/>
  <c r="H22" i="2"/>
  <c r="L22" i="2"/>
  <c r="O706" i="1"/>
  <c r="P707" i="1"/>
  <c r="G36" i="2"/>
  <c r="H37" i="2"/>
  <c r="C484" i="7"/>
  <c r="C480" i="7"/>
  <c r="D504" i="7"/>
  <c r="D486" i="7"/>
  <c r="I45" i="2"/>
  <c r="I37" i="2"/>
  <c r="E37" i="2"/>
  <c r="F69" i="2"/>
  <c r="E69" i="2"/>
  <c r="E45" i="2"/>
  <c r="D36" i="2"/>
  <c r="F37" i="2"/>
  <c r="B35" i="2"/>
  <c r="C35" i="2" s="1"/>
  <c r="C69" i="2"/>
  <c r="C22" i="2"/>
  <c r="G477" i="7" l="1"/>
  <c r="G481" i="7"/>
  <c r="S172" i="2"/>
  <c r="T36" i="2"/>
  <c r="U36" i="2"/>
  <c r="S132" i="2"/>
  <c r="U35" i="2"/>
  <c r="T35" i="2"/>
  <c r="R35" i="2"/>
  <c r="G486" i="7"/>
  <c r="G504" i="7"/>
  <c r="N35" i="2"/>
  <c r="Q36" i="2"/>
  <c r="P172" i="2"/>
  <c r="H77" i="17" s="1"/>
  <c r="R36" i="2"/>
  <c r="F477" i="7"/>
  <c r="P132" i="2"/>
  <c r="M132" i="2"/>
  <c r="M136" i="2" s="1"/>
  <c r="M172" i="2"/>
  <c r="N36" i="2"/>
  <c r="C477" i="7"/>
  <c r="C481" i="7"/>
  <c r="E481" i="7"/>
  <c r="E477" i="7"/>
  <c r="O35" i="2"/>
  <c r="O36" i="2"/>
  <c r="E486" i="7"/>
  <c r="E504" i="7"/>
  <c r="K36" i="2"/>
  <c r="J172" i="2"/>
  <c r="F77" i="17" s="1"/>
  <c r="J132" i="2"/>
  <c r="D477" i="7"/>
  <c r="L36" i="2"/>
  <c r="H36" i="2"/>
  <c r="O707" i="1"/>
  <c r="P708" i="1"/>
  <c r="C486" i="7"/>
  <c r="C504" i="7"/>
  <c r="I36" i="2"/>
  <c r="E36" i="2"/>
  <c r="N172" i="2" l="1"/>
  <c r="G77" i="17"/>
  <c r="G478" i="7"/>
  <c r="T132" i="2"/>
  <c r="S136" i="2"/>
  <c r="U132" i="2"/>
  <c r="U172" i="2"/>
  <c r="T172" i="2"/>
  <c r="S170" i="2"/>
  <c r="G247" i="7"/>
  <c r="F478" i="7"/>
  <c r="N132" i="2"/>
  <c r="O132" i="2"/>
  <c r="M170" i="2"/>
  <c r="R172" i="2"/>
  <c r="F247" i="7"/>
  <c r="R132" i="2"/>
  <c r="Q132" i="2"/>
  <c r="P136" i="2"/>
  <c r="R136" i="2" s="1"/>
  <c r="Q172" i="2"/>
  <c r="P170" i="2"/>
  <c r="F504" i="7"/>
  <c r="F486" i="7"/>
  <c r="C478" i="7"/>
  <c r="D478" i="7"/>
  <c r="E478" i="7"/>
  <c r="N136" i="2"/>
  <c r="M145" i="2"/>
  <c r="E247" i="7"/>
  <c r="O172" i="2"/>
  <c r="J136" i="2"/>
  <c r="O136" i="2" s="1"/>
  <c r="K132" i="2"/>
  <c r="K172" i="2"/>
  <c r="J170" i="2"/>
  <c r="O708" i="1"/>
  <c r="P709" i="1"/>
  <c r="I316" i="1"/>
  <c r="I259" i="1"/>
  <c r="I258" i="1"/>
  <c r="I257" i="1"/>
  <c r="I246" i="1"/>
  <c r="I242" i="1"/>
  <c r="I243" i="1"/>
  <c r="I239" i="1"/>
  <c r="I249" i="1"/>
  <c r="I256" i="1"/>
  <c r="I250" i="1"/>
  <c r="I254" i="1"/>
  <c r="I255" i="1"/>
  <c r="I251" i="1"/>
  <c r="I266" i="1"/>
  <c r="I265" i="1"/>
  <c r="I269" i="1"/>
  <c r="I280" i="1"/>
  <c r="I289" i="1"/>
  <c r="I295" i="1"/>
  <c r="I297" i="1"/>
  <c r="I311" i="1"/>
  <c r="I318" i="1"/>
  <c r="I320" i="1"/>
  <c r="I319" i="1"/>
  <c r="I322" i="1"/>
  <c r="I323" i="1"/>
  <c r="I327" i="1"/>
  <c r="I329" i="1"/>
  <c r="I328" i="1"/>
  <c r="I331" i="1"/>
  <c r="I335" i="1"/>
  <c r="I339" i="1"/>
  <c r="I351" i="1"/>
  <c r="I350" i="1"/>
  <c r="I360" i="1"/>
  <c r="I361" i="1"/>
  <c r="I369" i="1"/>
  <c r="I370" i="1"/>
  <c r="I362" i="1"/>
  <c r="I363" i="1"/>
  <c r="I359" i="1"/>
  <c r="I371" i="1"/>
  <c r="I355" i="1"/>
  <c r="I372" i="1"/>
  <c r="I3" i="1"/>
  <c r="I4" i="1"/>
  <c r="I5" i="1"/>
  <c r="I11" i="1"/>
  <c r="I13" i="1"/>
  <c r="I15" i="1"/>
  <c r="I14" i="1"/>
  <c r="I17" i="1"/>
  <c r="I18" i="1"/>
  <c r="I19" i="1"/>
  <c r="I20" i="1"/>
  <c r="I21" i="1"/>
  <c r="I23" i="1"/>
  <c r="I24" i="1"/>
  <c r="I22" i="1"/>
  <c r="I26" i="1"/>
  <c r="I25" i="1"/>
  <c r="I27" i="1"/>
  <c r="I29" i="1"/>
  <c r="I28" i="1"/>
  <c r="I31" i="1"/>
  <c r="I30" i="1"/>
  <c r="I32" i="1"/>
  <c r="I33" i="1"/>
  <c r="I34" i="1"/>
  <c r="I35" i="1"/>
  <c r="I40" i="1"/>
  <c r="I36" i="1"/>
  <c r="I39" i="1"/>
  <c r="I38" i="1"/>
  <c r="I37" i="1"/>
  <c r="I43" i="1"/>
  <c r="I42" i="1"/>
  <c r="I41" i="1"/>
  <c r="I44" i="1"/>
  <c r="I47" i="1"/>
  <c r="I45" i="1"/>
  <c r="I46" i="1"/>
  <c r="I49" i="1"/>
  <c r="I48" i="1"/>
  <c r="I50" i="1"/>
  <c r="I56" i="1"/>
  <c r="I57" i="1"/>
  <c r="I55" i="1"/>
  <c r="I70" i="1"/>
  <c r="I72" i="1"/>
  <c r="I71" i="1"/>
  <c r="I73" i="1"/>
  <c r="I76" i="1"/>
  <c r="I78" i="1"/>
  <c r="I82" i="1"/>
  <c r="I74" i="1"/>
  <c r="I75" i="1"/>
  <c r="I79" i="1"/>
  <c r="I6" i="1"/>
  <c r="I81" i="1"/>
  <c r="I83" i="1"/>
  <c r="I77" i="1"/>
  <c r="I80" i="1"/>
  <c r="I89" i="1"/>
  <c r="I88" i="1"/>
  <c r="I97" i="1"/>
  <c r="I96" i="1"/>
  <c r="I86" i="1"/>
  <c r="I87" i="1"/>
  <c r="I85" i="1"/>
  <c r="I103" i="1"/>
  <c r="I105" i="1"/>
  <c r="I101" i="1"/>
  <c r="I100" i="1"/>
  <c r="I104" i="1"/>
  <c r="I112" i="1"/>
  <c r="I102" i="1"/>
  <c r="I99" i="1"/>
  <c r="I123" i="1"/>
  <c r="I118" i="1"/>
  <c r="I119" i="1"/>
  <c r="I117" i="1"/>
  <c r="I114" i="1"/>
  <c r="I124" i="1"/>
  <c r="I115" i="1"/>
  <c r="I116" i="1"/>
  <c r="I125" i="1"/>
  <c r="I127" i="1"/>
  <c r="I129" i="1"/>
  <c r="I126" i="1"/>
  <c r="I128" i="1"/>
  <c r="I139" i="1"/>
  <c r="I140" i="1"/>
  <c r="I138" i="1"/>
  <c r="I137" i="1"/>
  <c r="I136" i="1"/>
  <c r="I141" i="1"/>
  <c r="I150" i="1"/>
  <c r="I151" i="1"/>
  <c r="I152" i="1"/>
  <c r="I149" i="1"/>
  <c r="I153" i="1"/>
  <c r="I156" i="1"/>
  <c r="I155" i="1"/>
  <c r="I154" i="1"/>
  <c r="I160" i="1"/>
  <c r="I157" i="1"/>
  <c r="I162" i="1"/>
  <c r="I161" i="1"/>
  <c r="I159" i="1"/>
  <c r="I163" i="1"/>
  <c r="I164" i="1"/>
  <c r="I185" i="1"/>
  <c r="I183" i="1"/>
  <c r="I180" i="1"/>
  <c r="I186" i="1"/>
  <c r="I182" i="1"/>
  <c r="I184" i="1"/>
  <c r="I187" i="1"/>
  <c r="I181" i="1"/>
  <c r="I196" i="1"/>
  <c r="I192" i="1"/>
  <c r="I195" i="1"/>
  <c r="I210" i="1"/>
  <c r="I209" i="1"/>
  <c r="I208" i="1"/>
  <c r="I191" i="1"/>
  <c r="I197" i="1"/>
  <c r="I193" i="1"/>
  <c r="I215" i="1"/>
  <c r="I222" i="1"/>
  <c r="I218" i="1"/>
  <c r="I217" i="1"/>
  <c r="I220" i="1"/>
  <c r="I219" i="1"/>
  <c r="I238" i="1"/>
  <c r="I221" i="1"/>
  <c r="I244" i="1"/>
  <c r="I241" i="1"/>
  <c r="I240" i="1"/>
  <c r="I245" i="1"/>
  <c r="I248" i="1"/>
  <c r="I247" i="1"/>
  <c r="I253" i="1"/>
  <c r="I252" i="1"/>
  <c r="I271" i="1"/>
  <c r="I267" i="1"/>
  <c r="I268" i="1"/>
  <c r="I270" i="1"/>
  <c r="I264" i="1"/>
  <c r="I288" i="1"/>
  <c r="I281" i="1"/>
  <c r="I283" i="1"/>
  <c r="I282" i="1"/>
  <c r="I278" i="1"/>
  <c r="I287" i="1"/>
  <c r="I286" i="1"/>
  <c r="I285" i="1"/>
  <c r="I284" i="1"/>
  <c r="I294" i="1"/>
  <c r="I279" i="1"/>
  <c r="I296" i="1"/>
  <c r="I309" i="1"/>
  <c r="I306" i="1"/>
  <c r="I307" i="1"/>
  <c r="I304" i="1"/>
  <c r="I302" i="1"/>
  <c r="I305" i="1"/>
  <c r="I303" i="1"/>
  <c r="I308" i="1"/>
  <c r="I310" i="1"/>
  <c r="I315" i="1"/>
  <c r="I317" i="1"/>
  <c r="I324" i="1"/>
  <c r="I321" i="1"/>
  <c r="I325" i="1"/>
  <c r="I326" i="1"/>
  <c r="I330" i="1"/>
  <c r="I332" i="1"/>
  <c r="I333" i="1"/>
  <c r="I337" i="1"/>
  <c r="I338" i="1"/>
  <c r="I340" i="1"/>
  <c r="I341" i="1"/>
  <c r="I336" i="1"/>
  <c r="I344" i="1"/>
  <c r="I345" i="1"/>
  <c r="I343" i="1"/>
  <c r="I346" i="1"/>
  <c r="I349" i="1"/>
  <c r="I348" i="1"/>
  <c r="I354" i="1"/>
  <c r="I347" i="1"/>
  <c r="I358" i="1"/>
  <c r="I368" i="1"/>
  <c r="I357" i="1"/>
  <c r="I356" i="1"/>
  <c r="I380" i="1"/>
  <c r="I379" i="1"/>
  <c r="G87" i="1"/>
  <c r="G1" i="1" s="1"/>
  <c r="F74" i="17" l="1"/>
  <c r="H74" i="17"/>
  <c r="F595" i="7"/>
  <c r="G74" i="17"/>
  <c r="U170" i="2"/>
  <c r="T170" i="2"/>
  <c r="S145" i="2"/>
  <c r="U136" i="2"/>
  <c r="T136" i="2"/>
  <c r="Q170" i="2"/>
  <c r="G595" i="7"/>
  <c r="G244" i="7"/>
  <c r="N170" i="2"/>
  <c r="F244" i="7"/>
  <c r="F245" i="7" s="1"/>
  <c r="P145" i="2"/>
  <c r="Q136" i="2"/>
  <c r="R170" i="2"/>
  <c r="B61" i="2"/>
  <c r="F61" i="2" s="1"/>
  <c r="O170" i="2"/>
  <c r="N145" i="2"/>
  <c r="M160" i="2"/>
  <c r="K170" i="2"/>
  <c r="E595" i="7"/>
  <c r="E244" i="7"/>
  <c r="E245" i="7" s="1"/>
  <c r="J145" i="2"/>
  <c r="O145" i="2" s="1"/>
  <c r="K136" i="2"/>
  <c r="O709" i="1"/>
  <c r="P710" i="1"/>
  <c r="G596" i="7" l="1"/>
  <c r="U145" i="2"/>
  <c r="T145" i="2"/>
  <c r="S160" i="2"/>
  <c r="F596" i="7"/>
  <c r="G245" i="7"/>
  <c r="Q145" i="2"/>
  <c r="P160" i="2"/>
  <c r="R160" i="2" s="1"/>
  <c r="R145" i="2"/>
  <c r="B60" i="2"/>
  <c r="F60" i="2" s="1"/>
  <c r="C61" i="2"/>
  <c r="E596" i="7"/>
  <c r="M166" i="2"/>
  <c r="N160" i="2"/>
  <c r="K145" i="2"/>
  <c r="J160" i="2"/>
  <c r="O160" i="2" s="1"/>
  <c r="O710" i="1"/>
  <c r="P711" i="1"/>
  <c r="S166" i="2" l="1"/>
  <c r="U160" i="2"/>
  <c r="T160" i="2"/>
  <c r="C60" i="2"/>
  <c r="P166" i="2"/>
  <c r="Q166" i="2" s="1"/>
  <c r="Q160" i="2"/>
  <c r="N166" i="2"/>
  <c r="B45" i="2"/>
  <c r="J166" i="2"/>
  <c r="K160" i="2"/>
  <c r="O711" i="1"/>
  <c r="P712" i="1"/>
  <c r="B36" i="2" l="1"/>
  <c r="U166" i="2"/>
  <c r="T166" i="2"/>
  <c r="R166" i="2"/>
  <c r="B484" i="7"/>
  <c r="B486" i="7" s="1"/>
  <c r="C45" i="2"/>
  <c r="F45" i="2"/>
  <c r="B480" i="7"/>
  <c r="K166" i="2"/>
  <c r="O166" i="2"/>
  <c r="O712" i="1"/>
  <c r="P713" i="1"/>
  <c r="C36" i="2" l="1"/>
  <c r="B132" i="2"/>
  <c r="C132" i="2" s="1"/>
  <c r="B172" i="2"/>
  <c r="C77" i="17" s="1"/>
  <c r="B477" i="7"/>
  <c r="F36" i="2"/>
  <c r="B481" i="7"/>
  <c r="B504" i="7"/>
  <c r="O713" i="1"/>
  <c r="P714" i="1"/>
  <c r="B247" i="7" l="1"/>
  <c r="B136" i="2"/>
  <c r="C136" i="2" s="1"/>
  <c r="B478" i="7"/>
  <c r="C172" i="2"/>
  <c r="B170" i="2"/>
  <c r="O714" i="1"/>
  <c r="P715" i="1"/>
  <c r="C74" i="17" l="1"/>
  <c r="C170" i="2"/>
  <c r="B145" i="2"/>
  <c r="B160" i="2" s="1"/>
  <c r="B595" i="7"/>
  <c r="B244" i="7"/>
  <c r="B245" i="7" s="1"/>
  <c r="O715" i="1"/>
  <c r="P716" i="1"/>
  <c r="C145" i="2" l="1"/>
  <c r="B596" i="7"/>
  <c r="P717" i="1"/>
  <c r="O717" i="1" s="1"/>
  <c r="O716" i="1"/>
  <c r="B166" i="2"/>
  <c r="C160" i="2"/>
  <c r="C166" i="2" l="1"/>
  <c r="I24" i="2"/>
  <c r="E24" i="2"/>
  <c r="F24" i="2"/>
  <c r="D23" i="2"/>
  <c r="C635" i="7" l="1"/>
  <c r="C636" i="7" s="1"/>
  <c r="D131" i="17"/>
  <c r="D22" i="2"/>
  <c r="D172" i="2" s="1"/>
  <c r="D77" i="17" s="1"/>
  <c r="C420" i="7"/>
  <c r="I23" i="2"/>
  <c r="F23" i="2"/>
  <c r="E23" i="2"/>
  <c r="E22" i="2" l="1"/>
  <c r="F22" i="2"/>
  <c r="I22" i="2"/>
  <c r="D35" i="2"/>
  <c r="D132" i="2" s="1"/>
  <c r="D170" i="2"/>
  <c r="C247" i="7"/>
  <c r="F172" i="2"/>
  <c r="E172" i="2"/>
  <c r="D74" i="17" l="1"/>
  <c r="C595" i="7"/>
  <c r="F35" i="2"/>
  <c r="E35" i="2"/>
  <c r="C244" i="7"/>
  <c r="C245" i="7" s="1"/>
  <c r="E132" i="2"/>
  <c r="F132" i="2"/>
  <c r="D136" i="2"/>
  <c r="E170" i="2"/>
  <c r="F170" i="2"/>
  <c r="C596" i="7" l="1"/>
  <c r="E136" i="2"/>
  <c r="F136" i="2"/>
  <c r="D145" i="2"/>
  <c r="D160" i="2" s="1"/>
  <c r="E145" i="2" l="1"/>
  <c r="F145" i="2"/>
  <c r="D166" i="2" l="1"/>
  <c r="F160" i="2"/>
  <c r="E160" i="2"/>
  <c r="E166" i="2" l="1"/>
  <c r="F166" i="2"/>
  <c r="H8" i="2" l="1"/>
  <c r="I8" i="2"/>
  <c r="G172" i="2" l="1"/>
  <c r="E77" i="17" s="1"/>
  <c r="L5" i="2"/>
  <c r="H5" i="2"/>
  <c r="G21" i="2"/>
  <c r="L21" i="2" s="1"/>
  <c r="I5" i="2"/>
  <c r="L172" i="2" l="1"/>
  <c r="D247" i="7"/>
  <c r="G35" i="2"/>
  <c r="L35" i="2" s="1"/>
  <c r="I21" i="2"/>
  <c r="H21" i="2"/>
  <c r="G170" i="2"/>
  <c r="I172" i="2"/>
  <c r="H172" i="2"/>
  <c r="E74" i="17" l="1"/>
  <c r="L170" i="2"/>
  <c r="D244" i="7"/>
  <c r="D245" i="7" s="1"/>
  <c r="D595" i="7"/>
  <c r="I170" i="2"/>
  <c r="H170" i="2"/>
  <c r="G132" i="2"/>
  <c r="L132" i="2" s="1"/>
  <c r="I35" i="2"/>
  <c r="H35" i="2"/>
  <c r="D596" i="7" l="1"/>
  <c r="G136" i="2"/>
  <c r="L136" i="2" s="1"/>
  <c r="I132" i="2"/>
  <c r="H132" i="2"/>
  <c r="G145" i="2" l="1"/>
  <c r="L145" i="2" s="1"/>
  <c r="I136" i="2"/>
  <c r="H136" i="2"/>
  <c r="G160" i="2" l="1"/>
  <c r="L160" i="2" s="1"/>
  <c r="I145" i="2"/>
  <c r="H145" i="2"/>
  <c r="G166" i="2" l="1"/>
  <c r="L166" i="2" s="1"/>
  <c r="I160" i="2"/>
  <c r="H160" i="2"/>
  <c r="I166" i="2" l="1"/>
  <c r="H166" i="2"/>
  <c r="K13" i="6"/>
  <c r="N13" i="6"/>
  <c r="G23" i="17" s="1"/>
  <c r="G24" i="17" s="1"/>
  <c r="E47" i="7" l="1"/>
  <c r="F23" i="17"/>
  <c r="F24" i="17" s="1"/>
  <c r="F47" i="7"/>
  <c r="N11" i="6"/>
  <c r="G17" i="17" s="1"/>
  <c r="G18" i="17" s="1"/>
  <c r="O13" i="6"/>
  <c r="S13" i="6"/>
  <c r="L13" i="6"/>
  <c r="K11" i="6"/>
  <c r="P13" i="6"/>
  <c r="L15" i="6"/>
  <c r="M15" i="6"/>
  <c r="O15" i="6"/>
  <c r="S15" i="6"/>
  <c r="P15" i="6"/>
  <c r="S14" i="6"/>
  <c r="O14" i="6"/>
  <c r="P14" i="6"/>
  <c r="M14" i="6"/>
  <c r="L14" i="6"/>
  <c r="E48" i="7" l="1"/>
  <c r="P11" i="6"/>
  <c r="F17" i="17"/>
  <c r="F18" i="17" s="1"/>
  <c r="S11" i="6"/>
  <c r="F48" i="7"/>
  <c r="K21" i="6"/>
  <c r="N21" i="6"/>
  <c r="G26" i="17" s="1"/>
  <c r="G27" i="17" s="1"/>
  <c r="O11" i="6"/>
  <c r="F43" i="7"/>
  <c r="E43" i="7"/>
  <c r="L11" i="6"/>
  <c r="K23" i="6" l="1"/>
  <c r="F32" i="17" s="1"/>
  <c r="F33" i="17" s="1"/>
  <c r="F26" i="17"/>
  <c r="F27" i="17" s="1"/>
  <c r="E44" i="7"/>
  <c r="F44" i="7"/>
  <c r="E454" i="7"/>
  <c r="E50" i="7"/>
  <c r="L21" i="6"/>
  <c r="F454" i="7"/>
  <c r="O21" i="6"/>
  <c r="N23" i="6"/>
  <c r="G32" i="17" s="1"/>
  <c r="G33" i="17" s="1"/>
  <c r="S21" i="6"/>
  <c r="F50" i="7"/>
  <c r="P21" i="6"/>
  <c r="E122" i="7"/>
  <c r="K25" i="6"/>
  <c r="F38" i="17" s="1"/>
  <c r="F39" i="17" s="1"/>
  <c r="L23" i="6"/>
  <c r="N40" i="6" l="1"/>
  <c r="E123" i="7"/>
  <c r="E51" i="7"/>
  <c r="K40" i="6"/>
  <c r="K39" i="6"/>
  <c r="E455" i="7"/>
  <c r="F455" i="7"/>
  <c r="N39" i="6"/>
  <c r="F51" i="7"/>
  <c r="O23" i="6"/>
  <c r="N25" i="6"/>
  <c r="G38" i="17" s="1"/>
  <c r="G39" i="17" s="1"/>
  <c r="F122" i="7"/>
  <c r="P23" i="6"/>
  <c r="S23" i="6"/>
  <c r="E158" i="7"/>
  <c r="K28" i="6"/>
  <c r="F47" i="17" s="1"/>
  <c r="F48" i="17" s="1"/>
  <c r="L25" i="6"/>
  <c r="F70" i="17" l="1"/>
  <c r="F71" i="17" s="1"/>
  <c r="E225" i="7"/>
  <c r="F123" i="7"/>
  <c r="E188" i="7"/>
  <c r="E190" i="7" s="1"/>
  <c r="F67" i="17"/>
  <c r="F68" i="17" s="1"/>
  <c r="F188" i="7"/>
  <c r="F190" i="7" s="1"/>
  <c r="G67" i="17"/>
  <c r="G68" i="17" s="1"/>
  <c r="G70" i="17"/>
  <c r="G71" i="17" s="1"/>
  <c r="F225" i="7"/>
  <c r="O25" i="6"/>
  <c r="S25" i="6"/>
  <c r="F158" i="7"/>
  <c r="N28" i="6"/>
  <c r="G47" i="17" s="1"/>
  <c r="G48" i="17" s="1"/>
  <c r="P25" i="6"/>
  <c r="E161" i="7"/>
  <c r="L28" i="6"/>
  <c r="K31" i="6"/>
  <c r="F56" i="17" s="1"/>
  <c r="F57" i="17" s="1"/>
  <c r="S28" i="6" l="1"/>
  <c r="F161" i="7"/>
  <c r="O28" i="6"/>
  <c r="N31" i="6"/>
  <c r="G56" i="17" s="1"/>
  <c r="G57" i="17" s="1"/>
  <c r="P28" i="6"/>
  <c r="E164" i="7"/>
  <c r="L31" i="6"/>
  <c r="K37" i="6"/>
  <c r="F62" i="17" l="1"/>
  <c r="F63" i="17" s="1"/>
  <c r="E165" i="7"/>
  <c r="O31" i="6"/>
  <c r="S31" i="6"/>
  <c r="P31" i="6"/>
  <c r="F164" i="7"/>
  <c r="N37" i="6"/>
  <c r="L37" i="6"/>
  <c r="E591" i="7"/>
  <c r="E168" i="7"/>
  <c r="F165" i="7" l="1"/>
  <c r="P37" i="6"/>
  <c r="G62" i="17"/>
  <c r="G63" i="17" s="1"/>
  <c r="S37" i="6"/>
  <c r="F591" i="7"/>
  <c r="O37" i="6"/>
  <c r="F168" i="7"/>
  <c r="E169" i="7"/>
  <c r="E592" i="7"/>
  <c r="J16" i="6"/>
  <c r="M16" i="6"/>
  <c r="I16" i="6"/>
  <c r="H13" i="6"/>
  <c r="H11" i="6" l="1"/>
  <c r="E17" i="17" s="1"/>
  <c r="E18" i="17" s="1"/>
  <c r="E23" i="17"/>
  <c r="E24" i="17" s="1"/>
  <c r="F592" i="7"/>
  <c r="F169" i="7"/>
  <c r="I13" i="6"/>
  <c r="M13" i="6"/>
  <c r="J13" i="6"/>
  <c r="D47" i="7"/>
  <c r="I11" i="6" l="1"/>
  <c r="D44" i="7" s="1"/>
  <c r="M11" i="6"/>
  <c r="H21" i="6"/>
  <c r="E26" i="17" s="1"/>
  <c r="E27" i="17" s="1"/>
  <c r="J11" i="6"/>
  <c r="D48" i="7"/>
  <c r="D43" i="7"/>
  <c r="D454" i="7"/>
  <c r="D50" i="7"/>
  <c r="M21" i="6"/>
  <c r="H23" i="6"/>
  <c r="E32" i="17" s="1"/>
  <c r="E33" i="17" s="1"/>
  <c r="I21" i="6"/>
  <c r="J21" i="6" l="1"/>
  <c r="H40" i="6"/>
  <c r="D51" i="7"/>
  <c r="H39" i="6"/>
  <c r="D455" i="7"/>
  <c r="H25" i="6"/>
  <c r="E38" i="17" s="1"/>
  <c r="E39" i="17" s="1"/>
  <c r="I23" i="6"/>
  <c r="M23" i="6"/>
  <c r="D122" i="7"/>
  <c r="J23" i="6"/>
  <c r="D188" i="7" l="1"/>
  <c r="D190" i="7" s="1"/>
  <c r="E67" i="17"/>
  <c r="E68" i="17" s="1"/>
  <c r="D123" i="7"/>
  <c r="E70" i="17"/>
  <c r="E71" i="17" s="1"/>
  <c r="D225" i="7"/>
  <c r="H28" i="6"/>
  <c r="E47" i="17" s="1"/>
  <c r="E48" i="17" s="1"/>
  <c r="I25" i="6"/>
  <c r="M25" i="6"/>
  <c r="J25" i="6"/>
  <c r="D158" i="7"/>
  <c r="H31" i="6" l="1"/>
  <c r="E56" i="17" s="1"/>
  <c r="E57" i="17" s="1"/>
  <c r="M28" i="6"/>
  <c r="D161" i="7"/>
  <c r="I28" i="6"/>
  <c r="J28" i="6"/>
  <c r="M31" i="6" l="1"/>
  <c r="H37" i="6"/>
  <c r="D164" i="7"/>
  <c r="J31" i="6"/>
  <c r="I31" i="6"/>
  <c r="D165" i="7" l="1"/>
  <c r="E62" i="17"/>
  <c r="E63" i="17" s="1"/>
  <c r="D168" i="7"/>
  <c r="J37" i="6"/>
  <c r="D591" i="7"/>
  <c r="I37" i="6"/>
  <c r="M37" i="6"/>
  <c r="F593" i="7" l="1"/>
  <c r="D593" i="7"/>
  <c r="E593" i="7"/>
  <c r="G593" i="7"/>
  <c r="D169" i="7"/>
  <c r="D592" i="7"/>
  <c r="D65" i="17"/>
  <c r="D121" i="17"/>
  <c r="D68" i="17" l="1"/>
  <c r="D71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<sst xmlns="http://schemas.openxmlformats.org/spreadsheetml/2006/main" count="11114" uniqueCount="1999">
  <si>
    <t>Check NF = Descobri pelo DDA</t>
  </si>
  <si>
    <t>NF</t>
  </si>
  <si>
    <t>DT. VENCIMENTO</t>
  </si>
  <si>
    <t>TIPO</t>
  </si>
  <si>
    <t>CLASSIFICAÇÃO</t>
  </si>
  <si>
    <t>DESCRIÇÃO</t>
  </si>
  <si>
    <t>FORNECEDOR</t>
  </si>
  <si>
    <t>VALOR</t>
  </si>
  <si>
    <t>PARC.</t>
  </si>
  <si>
    <t>#</t>
  </si>
  <si>
    <t>OBSERVAÇÕES</t>
  </si>
  <si>
    <t>DT. PAGAMENTO</t>
  </si>
  <si>
    <t>Valor original</t>
  </si>
  <si>
    <t>Juros</t>
  </si>
  <si>
    <t>RESUMO</t>
  </si>
  <si>
    <t>Váriavel</t>
  </si>
  <si>
    <t>Advance Comercio de Bicicletas e Motos Eireli</t>
  </si>
  <si>
    <t>1*3</t>
  </si>
  <si>
    <t>COMISSÕES E TAXAS DOS MARKETPLACES</t>
  </si>
  <si>
    <t>Peças</t>
  </si>
  <si>
    <t>ISAPA IMPORTAÇÃO E COMERCIO LTDA</t>
  </si>
  <si>
    <t>1*1</t>
  </si>
  <si>
    <t>Consultorias</t>
  </si>
  <si>
    <t>Contabilidade</t>
  </si>
  <si>
    <t>LIQUIDACAO BOLETO 61327045000160 ISAPA IMPE COML</t>
  </si>
  <si>
    <t>2*5</t>
  </si>
  <si>
    <t>Emabalagens</t>
  </si>
  <si>
    <t>ERP</t>
  </si>
  <si>
    <t>Ferramentas para manutenção</t>
  </si>
  <si>
    <t>Frete de Saída</t>
  </si>
  <si>
    <t>LIQUIDACAO BOLETO 61327045000160 ISAPA INC COM L</t>
  </si>
  <si>
    <t>Gran Residence</t>
  </si>
  <si>
    <t>TWR Industria e Comercio LTDA</t>
  </si>
  <si>
    <t>Pagamento à vista.</t>
  </si>
  <si>
    <t>Internet</t>
  </si>
  <si>
    <t>Marcas e patentes</t>
  </si>
  <si>
    <t>2*3</t>
  </si>
  <si>
    <t>Material de Escritório</t>
  </si>
  <si>
    <t>Arosul Ind Comercio de Peças Eireli</t>
  </si>
  <si>
    <t>MOLIANI E GERALDINI</t>
  </si>
  <si>
    <t>Serviço Terceirizado</t>
  </si>
  <si>
    <t>T.I</t>
  </si>
  <si>
    <t>THOR INDUSTRIAL LTDA</t>
  </si>
  <si>
    <t>Trabalhista</t>
  </si>
  <si>
    <t>Fixo</t>
  </si>
  <si>
    <t>FOLHA DE PAGAMENTO</t>
  </si>
  <si>
    <t>Adiantamento (VALE)</t>
  </si>
  <si>
    <t>13 SALARIO</t>
  </si>
  <si>
    <t>OX DA AMAZONIA IND. DE BICICLETAS S.A</t>
  </si>
  <si>
    <t>1*6</t>
  </si>
  <si>
    <t>Acordo Judicial</t>
  </si>
  <si>
    <t>Wester Bike Industria e Comercio LTDA</t>
  </si>
  <si>
    <t>1*2</t>
  </si>
  <si>
    <t>Adiantamento Salarial</t>
  </si>
  <si>
    <t>SAAR ADESIVOS</t>
  </si>
  <si>
    <t>1*5</t>
  </si>
  <si>
    <t>N.C.K - INDUSTRIAL</t>
  </si>
  <si>
    <t>Alimentação</t>
  </si>
  <si>
    <t>FLAY INDUSTRIA E COMERCIO LTDA</t>
  </si>
  <si>
    <t>3*3</t>
  </si>
  <si>
    <t>Aluguel</t>
  </si>
  <si>
    <t>Kalf Ind Com Plasticos LTDA</t>
  </si>
  <si>
    <t>2*2</t>
  </si>
  <si>
    <t>Alvará</t>
  </si>
  <si>
    <t>BRAS ONDA PAPELÃO ONDULADO LTDA</t>
  </si>
  <si>
    <t>Amortização Felipe</t>
  </si>
  <si>
    <t>anymarket mensalidade</t>
  </si>
  <si>
    <t>anymarket taxas</t>
  </si>
  <si>
    <t>AD Flex Etiquetas Eireli</t>
  </si>
  <si>
    <t>CFR</t>
  </si>
  <si>
    <t>JULIO ANDÓ</t>
  </si>
  <si>
    <t>4*4</t>
  </si>
  <si>
    <t>Combustível</t>
  </si>
  <si>
    <t xml:space="preserve">COMISSÕES E TAXAS DOS MARKETPLACES </t>
  </si>
  <si>
    <t>GUIDON BIKE PEÇAS PARA BICICLETAS IND E COM EIRELI</t>
  </si>
  <si>
    <t>Compra de máquina</t>
  </si>
  <si>
    <t>Compra de Móveis e Utensílios</t>
  </si>
  <si>
    <t xml:space="preserve">Confraternização </t>
  </si>
  <si>
    <t>Copel</t>
  </si>
  <si>
    <t>Desp de Marketing e Propaganda</t>
  </si>
  <si>
    <t xml:space="preserve">Detran </t>
  </si>
  <si>
    <t xml:space="preserve">Diária </t>
  </si>
  <si>
    <t>Diárias</t>
  </si>
  <si>
    <t>Empilhadeira</t>
  </si>
  <si>
    <t>Checar NF</t>
  </si>
  <si>
    <t>Equipamentos de Informática</t>
  </si>
  <si>
    <t>FGTS</t>
  </si>
  <si>
    <t>3*4</t>
  </si>
  <si>
    <t>Frete de Entrada</t>
  </si>
  <si>
    <t>Fundo Penitenciário</t>
  </si>
  <si>
    <t>Honorários Advogáticios</t>
  </si>
  <si>
    <t>Impostos e Taxas</t>
  </si>
  <si>
    <t>INSS</t>
  </si>
  <si>
    <t>2*4</t>
  </si>
  <si>
    <t>IRPF</t>
  </si>
  <si>
    <t>ISS</t>
  </si>
  <si>
    <t>JUROS CHEQUE ESPECIAL</t>
  </si>
  <si>
    <t>Manutenção Predial</t>
  </si>
  <si>
    <t>REEMBOLSO SAC</t>
  </si>
  <si>
    <t>PAGAMENTO PIX 04139180250 DAVI SOUZA SANTOS</t>
  </si>
  <si>
    <t>Marketing com produtos</t>
  </si>
  <si>
    <t>PAGAMENTO PIX 11206954493 ANTONIA ARAUJO DA SILV</t>
  </si>
  <si>
    <t xml:space="preserve">Materiais de uso e consumo </t>
  </si>
  <si>
    <t>CHEQUE COMPE SICREDI</t>
  </si>
  <si>
    <t>Outras Despesas Administrativas</t>
  </si>
  <si>
    <t>COMPRA CADEIRAS ESCRITORIO</t>
  </si>
  <si>
    <t>Pagamento de Empréstimos</t>
  </si>
  <si>
    <t>Pró labore</t>
  </si>
  <si>
    <t>1*4</t>
  </si>
  <si>
    <t>Projeto Casas Construir</t>
  </si>
  <si>
    <t>Reembolso</t>
  </si>
  <si>
    <t>Tx. bancária</t>
  </si>
  <si>
    <t>UTILIZAÇÃO CHEQUE</t>
  </si>
  <si>
    <t>Reembolso SAC</t>
  </si>
  <si>
    <t>CHEQUE A PARTIR 5000</t>
  </si>
  <si>
    <t>Rescisões</t>
  </si>
  <si>
    <t>PAGAMENTO PIX 14508058922 Adrian Nickson Ferreir</t>
  </si>
  <si>
    <t>Salários</t>
  </si>
  <si>
    <t>LIQUIDACAO BOLETO 78144839000190 J ARAUJO E CIA</t>
  </si>
  <si>
    <t>Sanepar</t>
  </si>
  <si>
    <t>LIQUIDACAO BOLETO 04288963000193 SAAR IMP LTDA</t>
  </si>
  <si>
    <t>Seguro de Veículos</t>
  </si>
  <si>
    <t>LIQUIDACAO BOLETO 02942192000180 EXCELLENCE TRAN</t>
  </si>
  <si>
    <t>Seguro de Vida</t>
  </si>
  <si>
    <t>DESPESA COM COMBUSTÍVEL</t>
  </si>
  <si>
    <t>Serviços de Manutenção</t>
  </si>
  <si>
    <t>LIQUIDACAO BOLETO 33805683000103 WB BIKE INDUSTR</t>
  </si>
  <si>
    <t>Serviços de Segurança</t>
  </si>
  <si>
    <t>LIQUIDACAO BOLETO 37828752000155 URBANO INSTDE P</t>
  </si>
  <si>
    <t>Simples Nacional</t>
  </si>
  <si>
    <t>LIQUIDACAO BOLETO SICREDI 46728719000144 NOVA ON</t>
  </si>
  <si>
    <t xml:space="preserve">Simples Nacional Parcelamento </t>
  </si>
  <si>
    <t>LIQUIDACAO BOLETO SICREDI 05859014000189 KLS IND</t>
  </si>
  <si>
    <t>LIQUIDACAO BOLETO 60002700000147 INTEGRA INFORMA</t>
  </si>
  <si>
    <t>TELEFONIA</t>
  </si>
  <si>
    <t>NEW BOX IND COM EMBAL LTDA</t>
  </si>
  <si>
    <t>Terreno Linham</t>
  </si>
  <si>
    <t>Ticket Alimentação</t>
  </si>
  <si>
    <t>TRANSPORTE - PAGAMENTO ENTREGA</t>
  </si>
  <si>
    <t>TRANSPORTE - PAGAMENTO FRETE</t>
  </si>
  <si>
    <t>TREINAMENTO DE FUNCIONÁRIO</t>
  </si>
  <si>
    <t>Tx. Bancária</t>
  </si>
  <si>
    <t>UNIFORMES GOTT</t>
  </si>
  <si>
    <t>VALES</t>
  </si>
  <si>
    <t>TICKET ALIMENTAÇÃO</t>
  </si>
  <si>
    <t>R$280 por colaborador. Pago exceto Vinicius, Felipe e Elisiee.</t>
  </si>
  <si>
    <t>sala comercial em SP, para filial</t>
  </si>
  <si>
    <t>LIQUIDACAO BOLETO 20240272000176 COMPANY HERO LT</t>
  </si>
  <si>
    <t>LIQUIDACAO BOLETO 22705434000120 BLUE CYCLE</t>
  </si>
  <si>
    <t>LIQUIDACAO BOLETO 34028316000103 EMPRESA BRASILE</t>
  </si>
  <si>
    <t>DEBITO CHEQUE</t>
  </si>
  <si>
    <t>COMPRA NOTBOOK EMPRESA</t>
  </si>
  <si>
    <t>ROTTA</t>
  </si>
  <si>
    <t>LIQUIDACAO BOLETO 45177751000116 LEGACY MONITORA</t>
  </si>
  <si>
    <t>Embalagens</t>
  </si>
  <si>
    <t>COLTRO ELETRO E INFORMATICA LTDA</t>
  </si>
  <si>
    <t>MONTAGEM DE RODAS</t>
  </si>
  <si>
    <t>Montagem Aros</t>
  </si>
  <si>
    <t>MONTAGEM RODAS (GUSTAVO)</t>
  </si>
  <si>
    <t>PAGAMENTO PIX 07709105998 EDINEI PEREIRA RODRIGU</t>
  </si>
  <si>
    <t>ADESIVAGEM DOS CARROS PARA FESTA ADONAI</t>
  </si>
  <si>
    <t>PAGAMENTO PIX 07521432000197 CEZAR KHALIL &amp; CIA</t>
  </si>
  <si>
    <t>MONTAGEM BIKES ANA CASTELA</t>
  </si>
  <si>
    <t>LUIZ ANTONIO CONSTANTI</t>
  </si>
  <si>
    <t>LIMPEZA ESCRITÓRIO</t>
  </si>
  <si>
    <t>JHENIFER KEMLEY CAVALARI</t>
  </si>
  <si>
    <t>SANEPAR</t>
  </si>
  <si>
    <t>Leitura 23/09/2025</t>
  </si>
  <si>
    <t>PAGAMENTO PIX 48912086000155 RODOMIX EXPRESS</t>
  </si>
  <si>
    <t>FLAY - KIT BMX - PEDIDO VENDA 4307</t>
  </si>
  <si>
    <t>IMEDIATO BIKE EIRELI</t>
  </si>
  <si>
    <t>MH IND. COM. DE PEÇAS PARA BIKE</t>
  </si>
  <si>
    <t>LIQUIDACAO BOLETO 37506158000148 IMEDIATO BIKE L</t>
  </si>
  <si>
    <t>LIQUIDACAO BOLETO 00406726000129 NEW BIKE</t>
  </si>
  <si>
    <t>FLAY - KIT BMX - DOC SAIDA 7616</t>
  </si>
  <si>
    <t>SEGURO FUNCIONÁRIOS</t>
  </si>
  <si>
    <t>VIDA SEGURADOR</t>
  </si>
  <si>
    <t>COPEL ENERGIA</t>
  </si>
  <si>
    <t>Leitura 06/08/2025 a 05/09/2025</t>
  </si>
  <si>
    <t>M.A.F COM. DE ARTIGOS DE PAPELARIA E ESCRITORIO</t>
  </si>
  <si>
    <t>GRAMPAC INDUSTRIAL LTDA</t>
  </si>
  <si>
    <t>Secullum Ponto</t>
  </si>
  <si>
    <t>ALEXANDRE MERCI VILHA</t>
  </si>
  <si>
    <t>TEK SYSTEM</t>
  </si>
  <si>
    <t>SOLUTIKA TECNOLOGIA</t>
  </si>
  <si>
    <t>CESTA DE SERVIÇOS</t>
  </si>
  <si>
    <t>LIQUIDACAO BOLETO 48781598000120 MMC SERVICOS DE</t>
  </si>
  <si>
    <t>LIQUIDACAO BOLETO 81095168000120 CHIARELI COMERC</t>
  </si>
  <si>
    <t>PAGAMENTO PIX 49955250682 GILDESIO DA SILVA PERE</t>
  </si>
  <si>
    <t>SEVEN CORP PRINT EIRELI</t>
  </si>
  <si>
    <t>PAGAMENTO DIARISTAS</t>
  </si>
  <si>
    <t>5*5</t>
  </si>
  <si>
    <t>KLS IND E COM DE BICILETAS</t>
  </si>
  <si>
    <t>JANTA PARA HORA EXTRA</t>
  </si>
  <si>
    <t>PAGAMENTO PIX 07067373000129 JACOBOSKI, JACOBOSK</t>
  </si>
  <si>
    <t>LIQUIDACAO BOLETO 18191228000171 PJBANK PAGAMENT</t>
  </si>
  <si>
    <t>EMPILHADEIRA</t>
  </si>
  <si>
    <t>ALUGUEL EMPILHADEIRA</t>
  </si>
  <si>
    <t>PAGAMENTO PIX SICREDI 14594560000126 ADRIANO MOR</t>
  </si>
  <si>
    <t>ADESIVAGEM DOS CARROS PARA FESTA</t>
  </si>
  <si>
    <t>LIQUIDACAO BOLETO 08065576000149 LIDERCASA EMPRE</t>
  </si>
  <si>
    <t>DEB.CTA.FATURA</t>
  </si>
  <si>
    <t>Cartão de Crédito</t>
  </si>
  <si>
    <t>ASSINATURAS</t>
  </si>
  <si>
    <t>FATURA CARTÃO DE CRÉDITO</t>
  </si>
  <si>
    <t>DESPESAS DE VIAGEM</t>
  </si>
  <si>
    <t>ESTACIONAMENTO</t>
  </si>
  <si>
    <t>NEW BIKE</t>
  </si>
  <si>
    <t>NOVA ONDA EMBALAGENS LTDA</t>
  </si>
  <si>
    <t>CHIARELI COMERCIO DE FERRAMENTAS LTDA</t>
  </si>
  <si>
    <t>LIQUIDACAO BOLETO 18756792000194 SAAR ADESIVOS</t>
  </si>
  <si>
    <t>Diária</t>
  </si>
  <si>
    <t>PAGAMENTO PIX SICREDI 07754803984 ELIESER ALEX D</t>
  </si>
  <si>
    <t>3*1</t>
  </si>
  <si>
    <t>CONECTTIVA TELECOM LTDA</t>
  </si>
  <si>
    <t>DESIGNER GRAFICO</t>
  </si>
  <si>
    <t>CEFAS S NOBRE</t>
  </si>
  <si>
    <t>ERICA HELOISA SANTIAGO</t>
  </si>
  <si>
    <t>ANA CAROLINA MAGIERSKI</t>
  </si>
  <si>
    <t>MATHEUS DE ALMEIDA MATTOS</t>
  </si>
  <si>
    <t>Refeição para equipe que realizou H.E.</t>
  </si>
  <si>
    <t>PAGAMENTO PIX 40556901851 Maico Felipe da Cruz S</t>
  </si>
  <si>
    <t>PAGAMENTO PIX 41104928825 AMAURI SABINO DE OLIVE</t>
  </si>
  <si>
    <t>LIQUIDACAO BOLETO 32951756000102 CA PRINT ETIQUE</t>
  </si>
  <si>
    <t>LIQUIDACAO BOLETO 36235036000100 36235036 Jade C</t>
  </si>
  <si>
    <t>ANYMARKET TAXAS</t>
  </si>
  <si>
    <t>LIQUIDACAO BOLETO 27462408000131 ANYMARKET TECHN</t>
  </si>
  <si>
    <t>LIQUIDACAO BOLETO 86682093000105 TEK SYSTEM INFO</t>
  </si>
  <si>
    <t>LIQUIDACAO BOLETO 79133583000189 JULIO ANDO CIA</t>
  </si>
  <si>
    <t>PRESTAÇÃO CARRO VINICIUS</t>
  </si>
  <si>
    <t>LIQUIDACAO DE PARCELA</t>
  </si>
  <si>
    <t>KM - K MORI COMERCIO DE EXP E IMP DE EQUIP LTDA</t>
  </si>
  <si>
    <t>Compra de Máquina</t>
  </si>
  <si>
    <t>Linha de Pintura</t>
  </si>
  <si>
    <t>LIQUIDACAO BOLETO 36118625000108 ZOEMAQ INDUSTRI</t>
  </si>
  <si>
    <t>LIQUIDACAO BOLETO 03447413000107 GRAMPAC INDUSTR</t>
  </si>
  <si>
    <t>PAGAMENTO PIX 26029886000190 CIRIACO TRANSPORTES</t>
  </si>
  <si>
    <t>KLS IND E COM DE BICICLETAS</t>
  </si>
  <si>
    <t>3*7</t>
  </si>
  <si>
    <t>THOR INDUSTRIAL</t>
  </si>
  <si>
    <t>ESCRITORIO GESTOR CONTABILIDADE LTDA</t>
  </si>
  <si>
    <t>NEW BOX EMBALAGENS</t>
  </si>
  <si>
    <t>GRAN RESIDENCE INCORPORADORA LTDA</t>
  </si>
  <si>
    <t>FUNDO PENITENCIARIO DO PARANA</t>
  </si>
  <si>
    <t>Adonai?</t>
  </si>
  <si>
    <t>S.R.A VOLPATO COMERCIO DE PEÇAS EIRELI</t>
  </si>
  <si>
    <t>Vales</t>
  </si>
  <si>
    <t>IMPOSTO</t>
  </si>
  <si>
    <t>DEBITO ARRECADACAO 00394460005887 DARFC0385</t>
  </si>
  <si>
    <t>Simples Nacional Parcelamento</t>
  </si>
  <si>
    <t>Parcelamento 4/30</t>
  </si>
  <si>
    <t>DEBITO ARRECADACAO</t>
  </si>
  <si>
    <t>2*6</t>
  </si>
  <si>
    <t>GUARA PNEUS LTDA</t>
  </si>
  <si>
    <t>Manutenção Caminhão</t>
  </si>
  <si>
    <t>PAGAMENTO PIX 03266918550 Marília Gabriela de So</t>
  </si>
  <si>
    <t>PAGAMENTO PIX 08586873489 Emelly Karolayne Pinto</t>
  </si>
  <si>
    <t>PAGAMENTO PIX 02507707097 Francisco Lopes Do Cou</t>
  </si>
  <si>
    <t>PAGAMENTO PIX 81801190097 MARCIO LISANDRO DA SIL</t>
  </si>
  <si>
    <t>VALE EDINEI</t>
  </si>
  <si>
    <t>MMV COMERCIO DE BIKE E PEÇAS EIRELI</t>
  </si>
  <si>
    <t>3*5</t>
  </si>
  <si>
    <t>25A012335441</t>
  </si>
  <si>
    <t>RODONAVES TRANSPORTES E ENCOMENDAS LTDA</t>
  </si>
  <si>
    <t>PAGAMENTO PIX 82673468000101 IMOBILIARIA LINHAM</t>
  </si>
  <si>
    <t>PROJETO CASAS CONSTRUIR</t>
  </si>
  <si>
    <t>PAGAMENTO PIX 08855119990 Letícia Bettazza Capel</t>
  </si>
  <si>
    <t>PAGAMENTO PIX 06911202183 VANESSA DE OLIVEIRA SI</t>
  </si>
  <si>
    <t>MH INDUSTRIA E COMERCIO DE PECAS PARA BI</t>
  </si>
  <si>
    <t>FOR WHEELS INDUSTRIA E COMERCIO LTDA</t>
  </si>
  <si>
    <t>EXCELLENCE TRANSP E LOGISTICA LTDA</t>
  </si>
  <si>
    <t>PAGAMENTO PIX 20147617000141 JAMEF ENCOMENDAS UR</t>
  </si>
  <si>
    <t>PAGAMENTO PIX 00360305000104 TAVITI COMERCIO DE</t>
  </si>
  <si>
    <t>DEBITO CONVENIOS 02558157000162 VIVOPR-CX</t>
  </si>
  <si>
    <t>UTILIZAÇÃO DE CHEQUE</t>
  </si>
  <si>
    <t>10798+F</t>
  </si>
  <si>
    <t>10798+N</t>
  </si>
  <si>
    <t>10798FRETE</t>
  </si>
  <si>
    <t>SEVEN CORP PRINT EIRELI ME</t>
  </si>
  <si>
    <t>GUIDON BIKE PECAS PARA BICICLE</t>
  </si>
  <si>
    <t>GUIDON BIKE PECAS PARA BICICLETAS INDUST</t>
  </si>
  <si>
    <t>PAGAMENTO PIX 81095168000120 CHIARELI COMERCIO D</t>
  </si>
  <si>
    <t>ISAPA IMP.E COM.LTDA.</t>
  </si>
  <si>
    <t>JAMEF TRANSPORTES LTDA</t>
  </si>
  <si>
    <t>PAGAMENTO PIX 26562863000146 FABIO BASSO 0199388</t>
  </si>
  <si>
    <t>JULIO ANDO E CIA LTDA</t>
  </si>
  <si>
    <t>DESIGN BIKES IND E COM EIRELI</t>
  </si>
  <si>
    <t>4785BA3</t>
  </si>
  <si>
    <t>P12955</t>
  </si>
  <si>
    <t>FMD -SECURITIZADORA S A</t>
  </si>
  <si>
    <t>Fornecedor de peças Thor Industrial</t>
  </si>
  <si>
    <t>P12956</t>
  </si>
  <si>
    <t>M A F COM DE ARTIGOS DE PAPELA</t>
  </si>
  <si>
    <t>PAGAMENTO PIX 58507275000104 M.G. COMERCIO DE PA</t>
  </si>
  <si>
    <t>PAGAMENTO PIX 09665760000192 SILVINEI DOUGLAS DA</t>
  </si>
  <si>
    <t>PAGAMENTO PIX 22008896820 JOSE FABIO ARAUJO DE C</t>
  </si>
  <si>
    <t>PAGAMENTO PIX 67397930930 SERGIO PAULO SIQUEIRA</t>
  </si>
  <si>
    <t>LIQUIDACAO BOLETO 09448668000170 K MORI COMERCIO</t>
  </si>
  <si>
    <t>LIQUIDACAO BOLETO 37470470000129 GUIDON BIKE PEC</t>
  </si>
  <si>
    <t>LIQUIDACAO BOLETO 95370078000104 BRAS ONDA P OND</t>
  </si>
  <si>
    <t>LIQUIDACAO BOLETO 45301235000151 FLAY INDUSTRIA</t>
  </si>
  <si>
    <t>LIQUIDACAO BOLETO 79133583000189 JULIO ANDO E CI</t>
  </si>
  <si>
    <t>LIQUIDACAO BOLETO 11033548000154 NEW BOX EMBALAG</t>
  </si>
  <si>
    <t>LIQUIDACAO BOLETO 04212827000110 MOLIANI E GIRAL</t>
  </si>
  <si>
    <t>LIQUIDACAO BOLETO 59328427000166 KALF IND COM PL</t>
  </si>
  <si>
    <t>Frete Entrada</t>
  </si>
  <si>
    <t>LIQUIDACAO BOLETO 05813363000160 DLT LOGISTICA E</t>
  </si>
  <si>
    <t>reembolso sac</t>
  </si>
  <si>
    <t>PAGAMENTO PIX 12201262845 MARCOS ANTONIO ALVES</t>
  </si>
  <si>
    <t>FLAY DOC SAIDA 7923 - QUADRO AÇO</t>
  </si>
  <si>
    <t>LIQUIDACAO BOLETO 61327045000160 ISAPA IMPORTACA</t>
  </si>
  <si>
    <t>Limpeza novo barracão</t>
  </si>
  <si>
    <t>PAGAMENTO PIX SICREDI 38292951000154 MARCOS ANDR</t>
  </si>
  <si>
    <t>PAGAMENTO PIX 11465596909 Lucas Nascimento Faust</t>
  </si>
  <si>
    <t>PAGAMENTO PIX 57493738000155 57 493 738 gustavo</t>
  </si>
  <si>
    <t>LIQUIDACAO BOLETO 33805683000103 WB BIKE IND E C</t>
  </si>
  <si>
    <t>FLAY DOC SAIDA 7615 - QUADRO AÇO</t>
  </si>
  <si>
    <t>COMPRAS NOTBOOK EMPRESA</t>
  </si>
  <si>
    <t>LIQUIDACAO BOLETO SICREDI 26453835000190 M F A T</t>
  </si>
  <si>
    <t>PAGAMENTO PIX 11573704970 Ana Carolina Magierski</t>
  </si>
  <si>
    <t>PAGAMENTO PIX SICREDI 11410726967 ANTONIO CARLOS</t>
  </si>
  <si>
    <t>PAGAMENTO PIX 07095533903 Eliel Marques da Silva</t>
  </si>
  <si>
    <t>PAGAMENTO PIX 08562062960 ERICA HELOISA SANTIAGO</t>
  </si>
  <si>
    <t>PAGAMENTO PIX 47866934000174 TICKET SERVICOS SA</t>
  </si>
  <si>
    <t>PAGAMENTO PIX 05792127930 FERNANDO SCHUKES HASEG</t>
  </si>
  <si>
    <t>PAGAMENTO PIX 05103419939 VINICIUS HASPER DA SIL</t>
  </si>
  <si>
    <t>PAGAMENTO PIX 09908297902 MATHEUS DE ALMEIDA MAT</t>
  </si>
  <si>
    <t>PAGAMENTO PIX 08249183983 Meire Helen Maciel Por</t>
  </si>
  <si>
    <t>LIQUIDACAO BOLETO 04200406000179 FOR WHEELS INDU</t>
  </si>
  <si>
    <t>LIQUIDACAO BOLETO 32903131000175 AD FLEX ETIQUET</t>
  </si>
  <si>
    <t>MARMITA PESSOAL</t>
  </si>
  <si>
    <t>PAGAMENTO PIX 13221875924 MATEUS JACOBOSCKI</t>
  </si>
  <si>
    <t>marmita para o pessoal</t>
  </si>
  <si>
    <t>PAGAMENTO PIX 04532370965 Maria Jose Biscaia San</t>
  </si>
  <si>
    <t>TRANSPORTE MUDANÇA</t>
  </si>
  <si>
    <t>PAGAMENTO PIX 12586383800 MARCELO GOMES PAZ</t>
  </si>
  <si>
    <t>PAGAMENTO PIX 36915246991 OSMAR BENTO DA SILVA</t>
  </si>
  <si>
    <t>Funcionários</t>
  </si>
  <si>
    <t>DEBITO CONVENIOS ID 2025107701695 VIDA SEGURADOR</t>
  </si>
  <si>
    <t>CESTA DE RELACIONAMENTO</t>
  </si>
  <si>
    <t>LIQUIDACAO BOLETO 37365187000137 FMD SECURITIZAD</t>
  </si>
  <si>
    <t>LIQUIDACAO BOLETO SICREDI 05998536000161 M A F C</t>
  </si>
  <si>
    <t>LIQUIDACAO BOLETO 11875322000109 11875322 Alexan</t>
  </si>
  <si>
    <t>LIQUIDACAO BOLETO 09365007000181 OX DA AMAZONIA</t>
  </si>
  <si>
    <t>LIQUIDACAO BOLETO 47846883000119 FMD FUNDO DE IN</t>
  </si>
  <si>
    <t>LIQUIDACAO BOLETO 27691242000125 SOLUTIKA TECNOL</t>
  </si>
  <si>
    <t>JUROS UTILIZ.CH.ESPECIAL</t>
  </si>
  <si>
    <t>PAGAMENTO PIX 11587757923 RAISSA VICTORIA MARTIN</t>
  </si>
  <si>
    <t>PAGAMENTO PIX 14270032979 Victor Manuel Porfírio</t>
  </si>
  <si>
    <t>PAGAMENTO PIX 80100573983 Isadora Sofia Dias Ros</t>
  </si>
  <si>
    <t>PAGAMENTO PIX 11947657933 ROSILENE DINIZ DA CUNH</t>
  </si>
  <si>
    <t>PAGAMENTO PIX 08683828921 ANA PAULA FERNANDES DA</t>
  </si>
  <si>
    <t>PAGAMENTO PIX 10186144946 Jessica Patrícia Alenc</t>
  </si>
  <si>
    <t>PAGAMENTO PIX 07120262904 PAULO RICARDO DO NASCI</t>
  </si>
  <si>
    <t>PAGAMENTO PIX 10817704906 SUELEM RODRIGUES DE SO</t>
  </si>
  <si>
    <t>peças para o bebedouro</t>
  </si>
  <si>
    <t>PAGAMENTO PIX 54637933000113 CANDIDO &amp; CHEVONICA</t>
  </si>
  <si>
    <t>SALGADO PARA PESSOAL DO MARKTEPLACE</t>
  </si>
  <si>
    <t>PAGAMENTO PIX 14380200000121 IFOOD.COM AGENCIA D</t>
  </si>
  <si>
    <t>PAGAMENTO PIX 13919225000198 WEBCIA SERVICOS LTD</t>
  </si>
  <si>
    <t>DEVOLUÇÃO VALOR EMPRESTADO ADONAI</t>
  </si>
  <si>
    <t>PAGAMENTO PIX SICREDI 34962813000184 ADONAI ESTO</t>
  </si>
  <si>
    <t>FLAY DOC SAIDA 7728 - QUADRO AÇO</t>
  </si>
  <si>
    <t>FLAY - DOC SAIDA 7616 - KIT BMX</t>
  </si>
  <si>
    <t>CUSTO CHEQUE</t>
  </si>
  <si>
    <t>PAGAMENTO PIX 07177670947 Eduardo Procopio de Li</t>
  </si>
  <si>
    <t>PAGAMENTO PIX 48778133904 ONORIO TORRES</t>
  </si>
  <si>
    <t>FRETE - PAGAMENTO ENTREGA</t>
  </si>
  <si>
    <t>PAGAMENTO PIX 43914513000110 F2L TRANSPORTES SOL</t>
  </si>
  <si>
    <t>PAGAMENTO PIX 11315531000190 11315531 BENTA OTON</t>
  </si>
  <si>
    <t>ADESIVO LUAN PEREIRA</t>
  </si>
  <si>
    <t>FLAY - PED 259 - QUADRO AÇO</t>
  </si>
  <si>
    <t>SAQUE DIN AG CHEQUE</t>
  </si>
  <si>
    <t>PAGAMENTO PIX SICREDI 11820736970 CAMILLA DOS SA</t>
  </si>
  <si>
    <t>PAGAMENTO PIX 11176481924 PRISCILA PEREIRA</t>
  </si>
  <si>
    <t>UNIFORME 2 PARCELA</t>
  </si>
  <si>
    <t>PAGAMENTO PIX 34063564000195 TAVITI COMERCIO DE</t>
  </si>
  <si>
    <t>COMPRA PAPELAO</t>
  </si>
  <si>
    <t>PAGAMENTO PIX 30358878000164 M.F. COMERCIO ELETR</t>
  </si>
  <si>
    <t>ABASTECIMENTO CAMINHAO</t>
  </si>
  <si>
    <t>PAGAMENTO PIX SICREDI 08002928000117 MAHLE GRAND</t>
  </si>
  <si>
    <t>LIQUIDACAO BOLETO 03369460000180 CEFAS S NOBRE</t>
  </si>
  <si>
    <t>LIQUIDACAO BOLETO 03835842000151 AROSUL IND COM</t>
  </si>
  <si>
    <t>LIQUIDACAO BOLETO 02488969000189 THOR INDUSTRIAL</t>
  </si>
  <si>
    <t>LIQUIDACAO BOLETO 17207543000187 CONECTTIVA TELE</t>
  </si>
  <si>
    <t>LIQUIDACAO BOLETO 02616320000104 S R A VOLPATO C</t>
  </si>
  <si>
    <t>Materiais de uso e consumo</t>
  </si>
  <si>
    <t>COMPRA CADEADOS</t>
  </si>
  <si>
    <t>PAGAMENTO PIX 55150005000192 55 150 005 EDI CARL</t>
  </si>
  <si>
    <t>LIQUIDACAO BOLETO 13107739000149 ESCRITORIO GEST</t>
  </si>
  <si>
    <t>LIQUIDACAO BOLETO 58736290000116 LUMASA EMBALAGE</t>
  </si>
  <si>
    <t>PAGAMENTO PIX 45177751000116 ROTTA MONITORAMENTO</t>
  </si>
  <si>
    <t>Alimentação H.E Eliel</t>
  </si>
  <si>
    <t>PAGAMENTO PIX 13107739000149 GESTOR CONTABILIDAD</t>
  </si>
  <si>
    <t>LIQUIDACAO BOLETO SICREDI 10546614000127 PLASTSU</t>
  </si>
  <si>
    <t>LIQUIDACAO BOLETO 43455540000172 WESTER BIKE IND</t>
  </si>
  <si>
    <t>LIQUIDACAO BOLETO 41917794000130 PACKFILMES COME</t>
  </si>
  <si>
    <t>Vale</t>
  </si>
  <si>
    <t>PAGAMENTO PIX 00394460005887 RECEITA FEDERAL</t>
  </si>
  <si>
    <t>PAGAMENTO PIX 00360305000104 CEF MATRIZ</t>
  </si>
  <si>
    <t>FRETE MAQUINA DE PINTURA</t>
  </si>
  <si>
    <t>PAGAMENTO PIX 05052820976 TIAGO JOSE DA ROCHA</t>
  </si>
  <si>
    <t>IMPOSTOS E TAXAS</t>
  </si>
  <si>
    <t>Alteração de endereço</t>
  </si>
  <si>
    <t>LIQUIDACAO BOLETO 76958966000106 PM DE ARAPONGAS</t>
  </si>
  <si>
    <t>LIQUIDACAO BOLETO 29685362000145 JWE BIKE IND E</t>
  </si>
  <si>
    <t>LIQUIDACAO BOLETO 09365007000181 OX DA AMAZ IND</t>
  </si>
  <si>
    <t>LIQUIDACAO BOLETO 40624122000173 THR INDUSTRIA E</t>
  </si>
  <si>
    <t>LIQUIDACAO BOLETO 17079502000152 GRAN RESIDENCE</t>
  </si>
  <si>
    <t>LIQUIDACAO BOLETO 08646040000117 FUNDO PENITENCI</t>
  </si>
  <si>
    <t>DAS</t>
  </si>
  <si>
    <t>PAGAMENTO PIX SICREDI 60599952920 BENILDE CAMARG</t>
  </si>
  <si>
    <t>PAGAMENTO PIX 03519100932 Luciane Da Silva</t>
  </si>
  <si>
    <t>PAGAMENTO PIX 14074792966 Giovana Caroline Queir</t>
  </si>
  <si>
    <t>FLAY PEDIDO 4307 - KIT BMX</t>
  </si>
  <si>
    <t>ABERTURA FILIAL FULL SP MERCADO LIVRE</t>
  </si>
  <si>
    <t>PAGAMENTO PIX 19995187000139 APPROVED LEGALIZACA</t>
  </si>
  <si>
    <t>INGLES</t>
  </si>
  <si>
    <t>LIQUIDACAO BOLETO 18147056000139 ALEX LOREJAN BO</t>
  </si>
  <si>
    <t>PAGAMENTO PIX 41403960000180 41.403.960 WASHINTO</t>
  </si>
  <si>
    <t>LIQUIDACAO BOLETO 20147617000141 JAMEF TRANSPORT</t>
  </si>
  <si>
    <t>PAGAMENTO PIX SICREDI 30082962000106 RESTAURANTE</t>
  </si>
  <si>
    <t>LIQUIDACAO BOLETO 35932506000113 MMV COMERCIO DE</t>
  </si>
  <si>
    <t>LIQUIDACAO BOLETO 39794229000180 MH INDUSTRIA E</t>
  </si>
  <si>
    <t>LIQUIDACAO BOLETO 11974598000136 Coltro Eletro e</t>
  </si>
  <si>
    <t>SERVIÇOS DE MANUTENÇÃO INDUSTRIAL</t>
  </si>
  <si>
    <t>LIQUIDACAO BOLETO 59223437000137 ELETRO TANGARA</t>
  </si>
  <si>
    <t>Consultoria COTTA</t>
  </si>
  <si>
    <t>PAGAMENTO PIX 10845420992 THAINA TAVARES COTTA</t>
  </si>
  <si>
    <t>FLAY - DOC SAIDA 7761 - QUADRO AÇO</t>
  </si>
  <si>
    <t>FLAY - PED. 263 - KIT BMX</t>
  </si>
  <si>
    <t>PAGAMENTO PIX 04368898000106 COPEL-DIS</t>
  </si>
  <si>
    <t>CHEQUE DEVOLVIDO</t>
  </si>
  <si>
    <t>LIQUIDACAO BOLETO 85342681000129 GRAFIMAX INDUST</t>
  </si>
  <si>
    <t>FLAY - PEDI 4296 - QUADRO AÇO</t>
  </si>
  <si>
    <t>TAXAS DIVERSAS</t>
  </si>
  <si>
    <t>FLAY - PED. 263 - KIT BMX (CHEQUE)</t>
  </si>
  <si>
    <t>PAGAMENTO PIX SICREDI 11266008900 GABRIELA MORET</t>
  </si>
  <si>
    <t>HONORÁRIOS ADVOGATÍCIOS</t>
  </si>
  <si>
    <t>Jurídico</t>
  </si>
  <si>
    <t>PAGAMENTO PIX 28607189000102 ITAMAR WILSON DE BR</t>
  </si>
  <si>
    <t>PAGAMENTO PIX 11650262957 ELISIEE CATARINA BARBO</t>
  </si>
  <si>
    <t>FLAY - DOC SAIDA 7776 - KIT BMX</t>
  </si>
  <si>
    <t>PAGAMENTO PIX 07575500960 Almir Rogerio Proniewi</t>
  </si>
  <si>
    <t>ADIANTAMENTO SALARIAL</t>
  </si>
  <si>
    <t>diaria</t>
  </si>
  <si>
    <t>PAGAMENTO PIX 04261851962 EDERSON MARQUES DOS SA</t>
  </si>
  <si>
    <t>PAGAMENTO PIX 91441170359 FRANCISCO ASSIS COSMO</t>
  </si>
  <si>
    <t>13° 1ª parc.</t>
  </si>
  <si>
    <t>ENTREGA TRANSPORTADORA</t>
  </si>
  <si>
    <t>PAGAMENTO PIX 44932649000116 THAINA LANZA OLIVO</t>
  </si>
  <si>
    <t>PAGAMENTO PIX 07396701406 ANA MARIA LOPES DE MAC</t>
  </si>
  <si>
    <t>IOF ADICIONAL PJCH. ESPE</t>
  </si>
  <si>
    <t>IOF BASICO CH PJ</t>
  </si>
  <si>
    <t>PAGAMENTO PIX 11097180980 Julia Alves Jaques</t>
  </si>
  <si>
    <t>LIQUIDACAO BOLETO 07500522000100 OPFACTOR GESTAO</t>
  </si>
  <si>
    <t>FLAY KIT BMX PED VENDA 263</t>
  </si>
  <si>
    <t>PAGAMENTO PIX 00411301000108 JR COMERCIO DE BICI</t>
  </si>
  <si>
    <t>LIQUIDACAO BOLETO SICREDI 11321721000110 CLEANPA</t>
  </si>
  <si>
    <t>empilhadeira</t>
  </si>
  <si>
    <t>PAGAMENTO PIX 48697278000196 GOTT SAUDE</t>
  </si>
  <si>
    <t>PAGAMENTO PIX 54913333000130 RESTAURANTE TORELLI</t>
  </si>
  <si>
    <t>PAGAMENTO PIX 58736290000116 LUMASA EMBALAGENS L</t>
  </si>
  <si>
    <t>FLAY - KIT BMX - DOC SAIDA 7769</t>
  </si>
  <si>
    <t>FELIPE CAPRIOLI</t>
  </si>
  <si>
    <t>FLAY QUADROS AÇO DOC SAIDA 7923</t>
  </si>
  <si>
    <t>Pagamento</t>
  </si>
  <si>
    <t>LIQUIDACAO BOLETO 53842122000191 URBANO SA SOC C</t>
  </si>
  <si>
    <t>COMPRA NOTBOOK</t>
  </si>
  <si>
    <t>PAGAMENTO PIX SICREDI 10948753927 ANDRESSA MARTI</t>
  </si>
  <si>
    <t>PAGAMENTO PIX 09204360992 Thais de Andrade Neves</t>
  </si>
  <si>
    <t>PAGAMENTO PIX 05807168992 TATIANE CARNEIRO LIMA</t>
  </si>
  <si>
    <t>Diferença Salarial</t>
  </si>
  <si>
    <t>pagaemento felipe trabalhista</t>
  </si>
  <si>
    <t>PAGAMENTO PIX 06779119989 DONIZETE FERNANDES DA</t>
  </si>
  <si>
    <t>SEGURO DE VEICULOS</t>
  </si>
  <si>
    <t>seguro carro</t>
  </si>
  <si>
    <t>LIQUIDACAO BOLETO 76515071000199 SERVOPA ADM DE</t>
  </si>
  <si>
    <t>PAGAMENTO PIX 03891516452 JOAO PAULO PEREIRA DE</t>
  </si>
  <si>
    <t>PAGAMENTO PIX 71329765591 Denilson Vieira</t>
  </si>
  <si>
    <t>PAGAMENTO PIX 42580969896 MARCOS DOUGLAS NOGUEIR</t>
  </si>
  <si>
    <t>FLAY KIT BMX PED VENDA 4307</t>
  </si>
  <si>
    <t>Saar Adesivos</t>
  </si>
  <si>
    <t>LIQUIDACAO BOLETO 57036794000160 VTS DIGITAL LTD</t>
  </si>
  <si>
    <t>PAGAMENTO PIX SICREDI 11984521000147 JOSE FABIO</t>
  </si>
  <si>
    <t>PAGAMENTO PIX SICREDI 51750767000179 FEEDSTOCK L</t>
  </si>
  <si>
    <t>Detran</t>
  </si>
  <si>
    <t>PAGAMENTO PIX 78206513000140 DEPARTAMENTO DE TRA</t>
  </si>
  <si>
    <t>PAGAMENTO PIX 76416890000189 GOVERNO DO PARANA S</t>
  </si>
  <si>
    <t>devolução emprestimo</t>
  </si>
  <si>
    <t>PAGAMENTO PIX SICREDI 51690751000118 V G A TRANS</t>
  </si>
  <si>
    <t>Flay</t>
  </si>
  <si>
    <t>CHEQUE COMPE SICREDI NÚMERO ANF 135</t>
  </si>
  <si>
    <t>arquiteta projeto casas construir</t>
  </si>
  <si>
    <t>Montagem Bicicletas</t>
  </si>
  <si>
    <t>Consultoria SAC</t>
  </si>
  <si>
    <t>LIQUIDACAO BOLETO 26442792000148 PREDIZE SISTEMA</t>
  </si>
  <si>
    <t>transferencia carro</t>
  </si>
  <si>
    <t>PAGAMENTO PIX 00688123961 EDMAR APARECIDO DE ALM</t>
  </si>
  <si>
    <t>ADESIVOS BIKES LUAN PEREIRA</t>
  </si>
  <si>
    <t>aluguel barracão juriti vermelho</t>
  </si>
  <si>
    <t>PAGAMENTO PIX 08065576000149 ALMEIDA SILVA EMPRE</t>
  </si>
  <si>
    <t>ADS MAGALU</t>
  </si>
  <si>
    <t>ADS SHOPEE</t>
  </si>
  <si>
    <t>LIQUIDACAO BOLETO 53197141000102 GS1 BRASIL ASSO</t>
  </si>
  <si>
    <t>LIQUIDACAO BOLETO 84995265000167 DOMINIO LOG TRA</t>
  </si>
  <si>
    <t>LIQUIDACAO BOLETO 63026177000187 CERTSHIFT SOFTW</t>
  </si>
  <si>
    <t>marketing com produtos</t>
  </si>
  <si>
    <t>FRETE ENTREGA BIKES LUAN PEREIRA GUARAVERA</t>
  </si>
  <si>
    <t>PAGAMENTO PIX 02545051985 MARCOS PASQUIM</t>
  </si>
  <si>
    <t>COMPRAS NACIONAIS AUTO P PRA FRENTE BRAS ARAPONG</t>
  </si>
  <si>
    <t>PAGAMENTO PIX 11725487578 CAUA SOUZA LIMA</t>
  </si>
  <si>
    <t>PAGAMENTO PIX 03898756432 Magda da Silva Pinto M</t>
  </si>
  <si>
    <t>PAGAMENTO PIX 05142200900 ALEXANDRO DA SILVA</t>
  </si>
  <si>
    <t>PAGAMENTO PIX 11628922931 Marlon Pilutti de Oliv</t>
  </si>
  <si>
    <t>LIQUIDACAO BOLETO 31346662000141 THM TRANSPORTE</t>
  </si>
  <si>
    <t>PAGAMENTO PIX 04368898000106 COPELDIS</t>
  </si>
  <si>
    <t>Financiamento carro Vinicius</t>
  </si>
  <si>
    <t>PAGAMENTO PIX 12161079980 Barbara Yasmin Dona</t>
  </si>
  <si>
    <t>Impostos</t>
  </si>
  <si>
    <t>DEBITO TED/IB 76958966000106 MUNICIPIO DE ARAPON</t>
  </si>
  <si>
    <t>denilson prestador de serviço</t>
  </si>
  <si>
    <t>PAGAMENTO PIX 63998922000150 63.998.922 ADEMILSO</t>
  </si>
  <si>
    <t>PAGAMENTO PIX 40672943875 BRUNA FIAMMA PEREIRA P</t>
  </si>
  <si>
    <t>PAGAMENTO PIX 12481562771 Lucianne Silva Soledad</t>
  </si>
  <si>
    <t>ferramentas atacadao 2 rodas</t>
  </si>
  <si>
    <t>PAGAMENTO PIX 81119042000148 ORLANDINI COMERCIO</t>
  </si>
  <si>
    <t>FLAY QUADROS AÇO DOC SAIDA 4296</t>
  </si>
  <si>
    <t>FRETE QUADROS MACOL</t>
  </si>
  <si>
    <t>PAGAMENTO PIX 08748127000103 TR PEREIRA</t>
  </si>
  <si>
    <t>13º 2ª parc.</t>
  </si>
  <si>
    <t>13° 2ª parc.</t>
  </si>
  <si>
    <t>PAGAMENTO PIX 12937262902 ANDRESSA CRISTINA DA S</t>
  </si>
  <si>
    <t>PAGAMENTO PIX 34394685850 ROSELI DANIEL DA SILVA</t>
  </si>
  <si>
    <t>ferramenta</t>
  </si>
  <si>
    <t>PAGAMENTO PIX 06113448000106 L A CONSTANTINO BIC</t>
  </si>
  <si>
    <t>PAGAMENTO PIX 09176731901 ENAIRA MACIEL GAMELEIR</t>
  </si>
  <si>
    <t>PAGAMENTO PIX 04397621000101 CASA DOS PARAFUSOS</t>
  </si>
  <si>
    <t>PAGAMENTO PIX 10668311908 MARIA EDUARDA DA SILVA</t>
  </si>
  <si>
    <t>Diárias Motorista</t>
  </si>
  <si>
    <t>PAGAMENTO PIX 10668311908 GELCIO FERREIRA CAMARGO</t>
  </si>
  <si>
    <t>LIQUIDACAO BOLETO 18016343000100 AGEX ENCOMENDAS</t>
  </si>
  <si>
    <t>PAGAMENTO PIX 06122726990 JOSE LUIZ DE OLIVEIRA</t>
  </si>
  <si>
    <t>instalação ar condicionado</t>
  </si>
  <si>
    <t>PAGAMENTO PIX 21974066000152 CLAILTON AQUECEDORE</t>
  </si>
  <si>
    <t>Confraternização</t>
  </si>
  <si>
    <t>xandao carne assada gott</t>
  </si>
  <si>
    <t>PAGAMENTO PIX SICREDI 44246475000138 TM COMERCIO</t>
  </si>
  <si>
    <t>LIQUIDACAO BOLETO 48912086000155 RODOMIX EXPRESS</t>
  </si>
  <si>
    <t>2 parcela acerto gustavo roda trabalhista</t>
  </si>
  <si>
    <t>PAGAMENTO PIX 18458437899 ALESSANDRO DA SILVA LO</t>
  </si>
  <si>
    <t>PAGAMENTO PIX SICREDI 07783101917 WILLIAN RODRIG</t>
  </si>
  <si>
    <t>PAGAMENTO PIX 09813036923 DEBORA ALICE ALVES SIL</t>
  </si>
  <si>
    <t>PAGAMENTO PIX 17677619452 EDUARDA VITORIA LINO D</t>
  </si>
  <si>
    <t>PAGAMENTO PIX 06304646933 ALLAN VINICIUS DE ASSI</t>
  </si>
  <si>
    <t>PAGAMENTO PIX 07107853643 Pablo Portes Westerman</t>
  </si>
  <si>
    <t>PAGAMENTO PIX 07961320709 Olavo Vieira Pereira</t>
  </si>
  <si>
    <t>Vcto Novembro</t>
  </si>
  <si>
    <t>PAGAMENTO PIX SICREDI 00804701903 PATRICIA SHARL</t>
  </si>
  <si>
    <t>IOF ADICIONAL PJ-CH. ESPE</t>
  </si>
  <si>
    <t>PAGAMENTO PIX 39780310000101 FERNANDA PEREIRA DE</t>
  </si>
  <si>
    <t>INSS 13º</t>
  </si>
  <si>
    <t>FGTS VCTO DEZ/25</t>
  </si>
  <si>
    <t>INSS VCTO DEZ/25</t>
  </si>
  <si>
    <t>FGTS 13º</t>
  </si>
  <si>
    <t>PAGAMENTO PIX 11946565954 mariana vieira</t>
  </si>
  <si>
    <t>PAGAMENTO PIX 70242110169 Wanessa Rodrigues dos</t>
  </si>
  <si>
    <t>PAGAMENTO PIX 70078768462 Loame Augusto de Olive</t>
  </si>
  <si>
    <t>PAGAMENTO PIX 01086094131 Alacides Noleto da Sil</t>
  </si>
  <si>
    <t>PAGAMENTO PIX 07042988302 WESLEY DO NASCIMENTO D</t>
  </si>
  <si>
    <t>PAGAMENTO PIX 63403781968 MARCOS PALACIO BARBOSA</t>
  </si>
  <si>
    <t>transporte</t>
  </si>
  <si>
    <t>Limpeza</t>
  </si>
  <si>
    <t>Adesivos</t>
  </si>
  <si>
    <t>PAGAMENTO PIX 03369460000180 CESNO</t>
  </si>
  <si>
    <t>CHIP COMERCIAL</t>
  </si>
  <si>
    <t>PAGAMENTO PIX 81126864000156 SUPERFER COMERCIAL</t>
  </si>
  <si>
    <t>Shopee Acelera</t>
  </si>
  <si>
    <t>PAGAMENTO PIX 38372267000182 SHPP BRASIL INSTITU</t>
  </si>
  <si>
    <t>PAGAMENTO PIX 10247273945 Adriano Alberto Maciel</t>
  </si>
  <si>
    <t>PAGAMENTO PIX 06960001994 QUELLI FERNANDA GUERRA</t>
  </si>
  <si>
    <t>PAGAMENTO PIX 11193043930 ALINE PACHECO DA SILVA</t>
  </si>
  <si>
    <t>LIQUIDACAO BOLETO 06905724000160 IMOBILIARIA BER</t>
  </si>
  <si>
    <t>Rimaxx</t>
  </si>
  <si>
    <t>PAGAMENTO PIX SICREDI 10197595000170 SUCATAS PER</t>
  </si>
  <si>
    <t>PAGAMENTO PIX 00772258996 PAULO CESAR ACABIO</t>
  </si>
  <si>
    <t>Tek System</t>
  </si>
  <si>
    <t>LIQUIDACAO BOLETO 08065576000149 ALMEIDA SILVA E</t>
  </si>
  <si>
    <t>PAGAMENTO PIX 42379769800 Douglas Gonçalves More</t>
  </si>
  <si>
    <t>LIQUIDACAO BOLETO 08796448938 tatiane bilci</t>
  </si>
  <si>
    <t>DESPESAS MANUTENCAO VEICULOS</t>
  </si>
  <si>
    <t>PAGAMENTO PIX 07136593948 JEFFERSON HENRIQUE DE</t>
  </si>
  <si>
    <t>compra cadeiras</t>
  </si>
  <si>
    <t>PAGAMENTO PIX 11097651932 KAUANI APARECIDA DA SI</t>
  </si>
  <si>
    <t>PAGAMENTO PIX 14715377900 Camille Vitória Fernan</t>
  </si>
  <si>
    <t>PAGAMENTO PIX 11570071985 Bryan Joao de Souza</t>
  </si>
  <si>
    <t>PAGAMENTO PIX 12963859902 GUSTAVO FELIX BARBOSA</t>
  </si>
  <si>
    <t>MONTAGEM RODAS</t>
  </si>
  <si>
    <t>PAGAMENTO PIX 01875494006 Deise De Melo Da Silva</t>
  </si>
  <si>
    <t>PAGAMENTO PIX 10400275554 RAIANY NATIVIDADE ALVE</t>
  </si>
  <si>
    <t>PAGAMENTO PIX 24167415000112 TS TECK - COMERCIO</t>
  </si>
  <si>
    <t>???</t>
  </si>
  <si>
    <t>PAGAMENTO PIX 06905724000160 IMOBILIARIA BERTONI</t>
  </si>
  <si>
    <t>PAGAMENTO PIX SICREDI 15653974000141 W BRAZIL TR</t>
  </si>
  <si>
    <t>PAGAMENTO PIX 37177760000189 LUCIANA DE ALMEIDA</t>
  </si>
  <si>
    <t>LIQUIDACAO BOLETO 84709955000102 CIA INDL H CARL</t>
  </si>
  <si>
    <t>Artes Luan Pereira</t>
  </si>
  <si>
    <t>GUIA ISS</t>
  </si>
  <si>
    <t>controle de praga</t>
  </si>
  <si>
    <t>LIQUIDACAO BOLETO 31394217000157 AGROSYSTEM CONT</t>
  </si>
  <si>
    <t>LIQUIDACAO BOLETO SICREDI 54703167000148 MBG TRA</t>
  </si>
  <si>
    <t>FGTS RESCISÃO MARIANA</t>
  </si>
  <si>
    <t>FGTS RESCISÃO FERNANDO</t>
  </si>
  <si>
    <t>FGTS RESCISÃO ELIEL</t>
  </si>
  <si>
    <t>PAGAMENTO PIX 11946565954 MARIANA VIEIRA COSTA</t>
  </si>
  <si>
    <t>LIQUIDACAO BOLETO 13609932000188 CGL INDUSTRIA E</t>
  </si>
  <si>
    <t>PAGAMENTO PIX 11188063952 Luis Henrique Pacheco</t>
  </si>
  <si>
    <t>PAGAMENTO PIX 08870076946 Renan Araujo da Cruz</t>
  </si>
  <si>
    <t>FLAY QUADRO AÇO PEDID 9100</t>
  </si>
  <si>
    <t>ADESIVO</t>
  </si>
  <si>
    <t>ADIANT. DEPOSITANTE</t>
  </si>
  <si>
    <t>LIQUIDACAO BOLETO SICREDI 95370078000104 BRAS ON</t>
  </si>
  <si>
    <t>FOLHA CHEQUE</t>
  </si>
  <si>
    <t>LIQUIDACAO BOLETO 04195643000199 TRANSPORTES OUR</t>
  </si>
  <si>
    <t>PAGAMENTO PIX 09060563905 Larissa dos Anjos Mass</t>
  </si>
  <si>
    <t>PAGAMENTO PIX 43391537884 GABRIELA DE LIMA MESQU</t>
  </si>
  <si>
    <t>IOF BASICO AD PJ</t>
  </si>
  <si>
    <t>JUROS ADTO. CREDITO</t>
  </si>
  <si>
    <t>IOF ADICIONAL PJ-AD. DEP.</t>
  </si>
  <si>
    <t>PAGAMENTO PIX 08254473994 ROSA PATRICIA MORAIS</t>
  </si>
  <si>
    <t>DESIGNER GRÁFICO</t>
  </si>
  <si>
    <t>SALA COMERCIAL SP</t>
  </si>
  <si>
    <t>PAGAMENTO PIX 07748506981 DIEGO AFONSO CAMINHA</t>
  </si>
  <si>
    <t>ENGENHEIRO - PROJETO BARRAÇÃO</t>
  </si>
  <si>
    <t>PAGAMENTO PIX 29994641000190 ANGELO LANDIM LANCO</t>
  </si>
  <si>
    <t>ADESIVOS LUAN PEREIRA</t>
  </si>
  <si>
    <t>ACORDO FELIPE GABRIEL</t>
  </si>
  <si>
    <t>PAGAMENTO PIX 12004998911 Lucas Landim Santos</t>
  </si>
  <si>
    <t>VENTILADORES PRODUÇÃO</t>
  </si>
  <si>
    <t>MANUTENÇÃO PREDIAL</t>
  </si>
  <si>
    <t>PAGAMENTO PIX 12020241650 Luiz Fernandes Pereira</t>
  </si>
  <si>
    <t>PAGAMENTO PIX 00106667106 Davi Pereira da Silva</t>
  </si>
  <si>
    <t>PAGAMENTO PIX 98615777187 SIMONE ESCALANTE BARBO</t>
  </si>
  <si>
    <t>PAGAMENTO PIX 06934468970 CAMILA TELES VERONEZ</t>
  </si>
  <si>
    <t>MARCAS E PATENTES</t>
  </si>
  <si>
    <t>LIQUIDACAO BOLETO SICREDI 20430938000159 PROVINC</t>
  </si>
  <si>
    <t>ACORDO ALEX SANDRO</t>
  </si>
  <si>
    <t>PAGAMENTO PIX SICREDI 41467174000146 EVANDRO BUE</t>
  </si>
  <si>
    <t>JUROS CHEQUE INADIMPLENTE</t>
  </si>
  <si>
    <t>CONSÓRCIO CARRO MATEUS</t>
  </si>
  <si>
    <t>PAGAMENTO PIX 61327045000160 ISAPA IMPORTACAO E</t>
  </si>
  <si>
    <t>BARRACÃO JURITI VERMELHA</t>
  </si>
  <si>
    <t>MAGALU</t>
  </si>
  <si>
    <t>PAGAMENTO PIX SICREDI 03336686000184 DOMINGUES C</t>
  </si>
  <si>
    <t>LIQUIDACAO BOLETO 00411301000108 JR COMERCIO DE</t>
  </si>
  <si>
    <t>PAGAMENTO PIX 05595378751 PAULA CRISTINA PINTO D</t>
  </si>
  <si>
    <t>MercadoLivre</t>
  </si>
  <si>
    <t>Shopee</t>
  </si>
  <si>
    <t>Mapfre (Parc 8/12)</t>
  </si>
  <si>
    <t>Posto Taquari</t>
  </si>
  <si>
    <t>Restaurante Abençoado</t>
  </si>
  <si>
    <t>Uber</t>
  </si>
  <si>
    <t>Rodo Stop</t>
  </si>
  <si>
    <t>Villa Country</t>
  </si>
  <si>
    <t>EC Clubeb2b</t>
  </si>
  <si>
    <t>Bacio di Latte</t>
  </si>
  <si>
    <t>Dinamite São Conrado</t>
  </si>
  <si>
    <t>Hotel San Gabriel</t>
  </si>
  <si>
    <t>Uber (pendente)</t>
  </si>
  <si>
    <t>Estorno Hotel San Gabriel</t>
  </si>
  <si>
    <t>Malassise Ribeirete</t>
  </si>
  <si>
    <t>Rancho do Tiothor</t>
  </si>
  <si>
    <t>Adobe</t>
  </si>
  <si>
    <t>Superfer Comercial</t>
  </si>
  <si>
    <t>DR Comércio de Tintas</t>
  </si>
  <si>
    <t>BR1 China Lin do Brasil</t>
  </si>
  <si>
    <t>Churrascaria Herança</t>
  </si>
  <si>
    <t>Sem Parar</t>
  </si>
  <si>
    <t>Mapfre (Parc 7/8)</t>
  </si>
  <si>
    <t>Padaria Chij</t>
  </si>
  <si>
    <t>AUTO POSTO VERONA</t>
  </si>
  <si>
    <t>Lin Criattiva (Parc 2/6)</t>
  </si>
  <si>
    <t>MP Motortech (Parc 2/3)</t>
  </si>
  <si>
    <t>MercadoLivre (Parc 2/2)</t>
  </si>
  <si>
    <t>MP Climário (Parc 2/10)</t>
  </si>
  <si>
    <t>MercadoLivre (Parc 3/5)</t>
  </si>
  <si>
    <t>Keb Continental (Virtual)</t>
  </si>
  <si>
    <t>Pro TeamViewer (Parc 2/10)</t>
  </si>
  <si>
    <t>Vindi Tray Ecommerce (Parc 4/6)</t>
  </si>
  <si>
    <t>LIQUIDACAO BOLETO 18500673000176 NA PISTA DUAS R</t>
  </si>
  <si>
    <t>THOR</t>
  </si>
  <si>
    <t>LIQUIDACAO BOLETO 09365007000181 OX AMAZ IND BIC</t>
  </si>
  <si>
    <t>TAXA SITE GOTT</t>
  </si>
  <si>
    <t>LIQUIDACAO BOLETO 14338304000178 YAPAY PAGAMENTO</t>
  </si>
  <si>
    <t>SISTEMA LOGÍSTICO</t>
  </si>
  <si>
    <t>LIQUIDACAO BOLETO 19337462000127 INTELIPOST CONS</t>
  </si>
  <si>
    <t>PAGAMENTO PIX SICREDI 11584484900 AMANDA MARCELE</t>
  </si>
  <si>
    <t>PAGAMENTO PIX 07685170957 EDER HENRIQUE DE OLIVE</t>
  </si>
  <si>
    <t>LIQUIDACAO BOLETO 08851789000104 BEIJA FLOR P AU</t>
  </si>
  <si>
    <t>LIQUIDACAO BOLETO 48740351000165 BRASPRESS TRANS</t>
  </si>
  <si>
    <t>CAIXAS ORGANIZADORAS</t>
  </si>
  <si>
    <t>LIQUIDACAO BOLETO 54126426000115 EXTINCENDIO SOL</t>
  </si>
  <si>
    <t>LIQUIDACAO BOLETO 43234803000113 VEGA DISTRIBUID</t>
  </si>
  <si>
    <t>COMPLEMENTO SALARIAL</t>
  </si>
  <si>
    <t>ok</t>
  </si>
  <si>
    <t>Gustavo Motorista</t>
  </si>
  <si>
    <t>PAGAMENTO PIX SICREDI 09901003911 GUSTAVO HENRIQ</t>
  </si>
  <si>
    <t>RECRUTAMENTO</t>
  </si>
  <si>
    <t>LIQUIDACAO BOLETO 04602593000117 CONTHATO ASSESS</t>
  </si>
  <si>
    <t>ACERTO LANCAMENTO CHEQUE</t>
  </si>
  <si>
    <t>PAGAMENTO PIX 09690637924 Anne Caroline Machado</t>
  </si>
  <si>
    <t>Confirmar Mateus</t>
  </si>
  <si>
    <t>LIQUIDACAO BOLETO 58288571000153 ID CERTIFICACAO</t>
  </si>
  <si>
    <t>LIQUIDACAO BOLETO 54988934000102 CODEWAVE TECHNO</t>
  </si>
  <si>
    <t>LIQUIDACAO BOLETO 11121355000155 GRYNVEST SA</t>
  </si>
  <si>
    <t>Sala SP</t>
  </si>
  <si>
    <t>Braspress</t>
  </si>
  <si>
    <t>Etiquetas</t>
  </si>
  <si>
    <t>PAGAMENTO PIX 76484013000145 SANEPAR</t>
  </si>
  <si>
    <t>PAGAMENTO PIX 39050796826 JOAO VICTOR DA SILVA P</t>
  </si>
  <si>
    <t>PAGAMENTO PIX 30293554000195 AGEU ALVES DE MOURA</t>
  </si>
  <si>
    <t>PAGAMENTO PIX 15179683645 EDIMARA MOREIRA VEIGA</t>
  </si>
  <si>
    <t>PAGAMENTO PIX 14027644999 Fernanda Yanaga Takeut</t>
  </si>
  <si>
    <t>TRADE DE IMPORTAÇÃO</t>
  </si>
  <si>
    <t>Busca de Itens China - Go Trade</t>
  </si>
  <si>
    <t>PAGAMENTO PIX 30743110000104 GRIMS &amp; GRIMS ASSES</t>
  </si>
  <si>
    <t>ICMS SC</t>
  </si>
  <si>
    <t>ARRECADACAO ESTADUAL</t>
  </si>
  <si>
    <t>PAGAMENTO PIX 97478458904 EVANDRO LUIZ DA SILVA</t>
  </si>
  <si>
    <t>DEBITO CONVENIOS 00000000000191 GRUJUDC-C</t>
  </si>
  <si>
    <t>OUTROS IMPOSTOS</t>
  </si>
  <si>
    <t>DIFAL</t>
  </si>
  <si>
    <t>DEBITO CONVENIOS 12200192000169 SEFAZAL</t>
  </si>
  <si>
    <t>PAGAMENTO PIX 82951310000156 SECRETARIA DE ESTAD</t>
  </si>
  <si>
    <t>Av. Maracanã</t>
  </si>
  <si>
    <t>165629 2</t>
  </si>
  <si>
    <t>JR COMERCIO DE BICICLETAS E ACESSORIOS L</t>
  </si>
  <si>
    <t>165650 2</t>
  </si>
  <si>
    <t>VEGA DISTRIBUIDORA LTDA</t>
  </si>
  <si>
    <t>30363 002</t>
  </si>
  <si>
    <t>CONECTTIVA TELECOM LTDA ME</t>
  </si>
  <si>
    <t>119476-1</t>
  </si>
  <si>
    <t>ANYMARKET TECHNOLOGIES S A</t>
  </si>
  <si>
    <t>158045 5</t>
  </si>
  <si>
    <t>JULIO ANDO CIA LTDA</t>
  </si>
  <si>
    <t>052295-2/3</t>
  </si>
  <si>
    <t>AROSUL IND COM DE PECAS</t>
  </si>
  <si>
    <t>A18244-2/3</t>
  </si>
  <si>
    <t>NA PISTA DUAS RODAS COMERCIAL</t>
  </si>
  <si>
    <t>INTELIPOST</t>
  </si>
  <si>
    <t>INTELIPOST CONSULTORIA E TECNOLOGIA DE L</t>
  </si>
  <si>
    <t>PREDIZE</t>
  </si>
  <si>
    <t>verba para churrasco Magalu</t>
  </si>
  <si>
    <t>PAGAMENTO PIX 63385287000135 ANDRE MONTEIRO BUFF</t>
  </si>
  <si>
    <t>30301 003</t>
  </si>
  <si>
    <t>N/D</t>
  </si>
  <si>
    <t>00002224/2</t>
  </si>
  <si>
    <t>Empilhadeira Fev e Mar</t>
  </si>
  <si>
    <t>PAGAMENTO PIX 43234803000113 VEGA DISTRIBUIDORA</t>
  </si>
  <si>
    <t>PAGAMENTO PIX 21685001858 TADEU ASSADURIAN GEBAR</t>
  </si>
  <si>
    <t>PAGAMENTO PIX 10573521000191 MERCADO PAGO INSTIT</t>
  </si>
  <si>
    <t>15981 2 2</t>
  </si>
  <si>
    <t>OPFACTOR GESTAO DE CREDITO</t>
  </si>
  <si>
    <t>161412 4</t>
  </si>
  <si>
    <t>16080 2 2</t>
  </si>
  <si>
    <t>30314 003</t>
  </si>
  <si>
    <t>1063-003</t>
  </si>
  <si>
    <t>P1063-003</t>
  </si>
  <si>
    <t>VTS DIGITAL LTDA</t>
  </si>
  <si>
    <t>NF 23274/1</t>
  </si>
  <si>
    <t>DR DIGITAL COMUNICACAO VISUAL LTDA - ME</t>
  </si>
  <si>
    <t>0000700/00</t>
  </si>
  <si>
    <t>166824 2</t>
  </si>
  <si>
    <t>016137-2/3</t>
  </si>
  <si>
    <t>K. MORI COMERCIO DE EXPORTACAO E IMPORTACAO DE EQU</t>
  </si>
  <si>
    <t>Controle de Pragas</t>
  </si>
  <si>
    <t>AGROSYSTEM CONTROLE DE PRAGAS URBANAS</t>
  </si>
  <si>
    <t>PM DE ARAPONGAS</t>
  </si>
  <si>
    <t>PAGAMENTO PIX 07459015000161 TRACK &amp; BIKES E TRA</t>
  </si>
  <si>
    <t>ICMS SP</t>
  </si>
  <si>
    <t>PAGAMENTO PIX 46377222000390 DIRETORIA GERAL DE</t>
  </si>
  <si>
    <t>FUNDO SOCIAL SC</t>
  </si>
  <si>
    <t>FUNDO EDUCAÇÃO SC</t>
  </si>
  <si>
    <t>PAGAMENTO PIX SICREDI 08074709965 TEREZA DE JESU</t>
  </si>
  <si>
    <t>PAGAMENTO PIX 11715074963 Michel Henrique Alves</t>
  </si>
  <si>
    <t>14061-002</t>
  </si>
  <si>
    <t>FMD FUNDO DE INVESTIMENTO EM DIREITOS CR</t>
  </si>
  <si>
    <t>016144-2/3</t>
  </si>
  <si>
    <t>P14061-002</t>
  </si>
  <si>
    <t>J ALVES JAQUES COM. DE PECAS E ACESS. BICIC</t>
  </si>
  <si>
    <t>158827 5</t>
  </si>
  <si>
    <t>00021-02</t>
  </si>
  <si>
    <t>ZOEMAQ INDUSTRIA E COMERCIO DE MAQUINAS LTDA</t>
  </si>
  <si>
    <t>312318-2/4</t>
  </si>
  <si>
    <t>S R A VOLPATO COM PECAS EIRELI</t>
  </si>
  <si>
    <t>CLEANPAR HIGIENE E LIMPEZA PRO</t>
  </si>
  <si>
    <t>165287 4</t>
  </si>
  <si>
    <t>30423 002</t>
  </si>
  <si>
    <t>167497 2</t>
  </si>
  <si>
    <t>RODOMIX EXPRESS</t>
  </si>
  <si>
    <t>Montagem bikes LP</t>
  </si>
  <si>
    <t>PAGAMENTO PIX 09628637932 Guilherme Prieto de So</t>
  </si>
  <si>
    <t>14064-002</t>
  </si>
  <si>
    <t>P5368-002</t>
  </si>
  <si>
    <t>5368-002</t>
  </si>
  <si>
    <t>P14064-02</t>
  </si>
  <si>
    <t>5367-002</t>
  </si>
  <si>
    <t>053551-1/3</t>
  </si>
  <si>
    <t>DIFAL PIAUÍ</t>
  </si>
  <si>
    <t>PAGAMENTO PIX 06553481000149 ESTADO DO PIAUI</t>
  </si>
  <si>
    <t>DIFAL CEARÁ</t>
  </si>
  <si>
    <t>PAGAMENTO PIX 07954597000152 SECRETARIA DA FAZEN</t>
  </si>
  <si>
    <t>DIFAL ALAGOAS</t>
  </si>
  <si>
    <t>30613 001</t>
  </si>
  <si>
    <t>30449 002</t>
  </si>
  <si>
    <t>5394-002</t>
  </si>
  <si>
    <t>P5392-002</t>
  </si>
  <si>
    <t>5393-002</t>
  </si>
  <si>
    <t>P5394-002</t>
  </si>
  <si>
    <t>5392-002</t>
  </si>
  <si>
    <t>PAGAMENTO PIX TRANSPORTADORA LMS</t>
  </si>
  <si>
    <t>168040 2</t>
  </si>
  <si>
    <t>Rodas</t>
  </si>
  <si>
    <t>Lançamento de Produtos</t>
  </si>
  <si>
    <t>PAGAMENTO PIX 32373134000144 ROGER LEANDRO BENAZ</t>
  </si>
  <si>
    <t>PAGAMENTO PIX 17462895000189 AUTO POSTO MOREIRAO</t>
  </si>
  <si>
    <t>Regulagem bikes LP</t>
  </si>
  <si>
    <t>PAGAMENTO PIX 04864424977 Ademilson Pereira Niza</t>
  </si>
  <si>
    <t>PAGAMENTO PIX 05382334439 José Cícero da Silva</t>
  </si>
  <si>
    <t>PAGAMENTO PIX 03333012502 Rones Franklin Dias da</t>
  </si>
  <si>
    <t>6 de 9</t>
  </si>
  <si>
    <t>PAGAMENTO PIX 62496667000184 62.496.667 ARIANE S</t>
  </si>
  <si>
    <t>PAGAMENTO PIX 48781598000120 MMC SERVICOS DE ENG</t>
  </si>
  <si>
    <t>COFINS</t>
  </si>
  <si>
    <t>PIS</t>
  </si>
  <si>
    <t>Montagem de Rodas</t>
  </si>
  <si>
    <t>PAGAMENTO PIX 02558157000162 TELEFONICA BRAS</t>
  </si>
  <si>
    <t>LIQUIDACAO BOLETO 04195643000199 TRANSPS OURO NE</t>
  </si>
  <si>
    <t>AGENTES DE AFILIADOS</t>
  </si>
  <si>
    <t>PAGAMENTO PIX SICREDI 48627422000118 SILVERADO E</t>
  </si>
  <si>
    <t>TRANSFERÊNCIA SICREDI PARA BRADESCO</t>
  </si>
  <si>
    <t>INVESTIMENTO MERCADO LIVRE</t>
  </si>
  <si>
    <t>PAGAMENTO PIX 48479982861 Vitoria Gabriele Dos S</t>
  </si>
  <si>
    <t>IOF S/ OPER. CREDITO PJ</t>
  </si>
  <si>
    <t>IOF ADICIONAL PJ</t>
  </si>
  <si>
    <t>RESSARC DESP ADMINISTRATI</t>
  </si>
  <si>
    <t>VINICIUS</t>
  </si>
  <si>
    <t>LIQUIDACAO CONTRATO</t>
  </si>
  <si>
    <t>PAGAMENTO PIX SICREDI 19953526915 AIRTON FERREIR</t>
  </si>
  <si>
    <t>Brasspress</t>
  </si>
  <si>
    <t>Endereço fiscal SP</t>
  </si>
  <si>
    <t>Correios</t>
  </si>
  <si>
    <t>PAGAMENTO PIX SICREDI 34999229000101 E DE SOUZA</t>
  </si>
  <si>
    <t>PAGAMENTO PIX 09831962907 Gabriela Fernanda Rodr</t>
  </si>
  <si>
    <t>CHECAR (MATEUS)</t>
  </si>
  <si>
    <t>LIQUIDACAO BOLETO 90221150978 Otavio Guilherme M</t>
  </si>
  <si>
    <t>PAGAMENTO PIX 24803312000100 ZAFFALAO E GIMENEZ</t>
  </si>
  <si>
    <t>DEBITO CONVENIOS 03795072000160 SEFTOON-C</t>
  </si>
  <si>
    <t xml:space="preserve">          CONSORCIO</t>
  </si>
  <si>
    <t>LIQUIDACAO BOLETO SICREDI 07808907000120 ADMINIS</t>
  </si>
  <si>
    <t>LIQUIDACAO BOLETO 11468186000124 ATLANTA FUNDO D</t>
  </si>
  <si>
    <t>MONTAGEM DE BICICLETAS (GABRIELA)</t>
  </si>
  <si>
    <t>PAGAMENTO PIX SICREDI 06073021941 ADRIANA CRISTI</t>
  </si>
  <si>
    <t>RIMAXX (GABRIELA)</t>
  </si>
  <si>
    <t>FLAY (Gabriela)</t>
  </si>
  <si>
    <t>EDE SOUZA CONSTANTIN</t>
  </si>
  <si>
    <t>Joseademirmurari</t>
  </si>
  <si>
    <t>JIM COM ZOIO BIKE E</t>
  </si>
  <si>
    <t>Mapfre Pcl9de12</t>
  </si>
  <si>
    <t>LANCHONETE REI DA CA</t>
  </si>
  <si>
    <t>KAFE SANTA CRUZ REST</t>
  </si>
  <si>
    <t>AUTO POSTO REI DA CA</t>
  </si>
  <si>
    <t>MULTIPARK</t>
  </si>
  <si>
    <t>Shopee SHOPEE SHPSTE</t>
  </si>
  <si>
    <t>SLAVIERO EMPREENDIME</t>
  </si>
  <si>
    <t>RODOSERVSTAR</t>
  </si>
  <si>
    <t>PALOMA RESTAURANTE E</t>
  </si>
  <si>
    <t>AUTO POSTO SANTA TER</t>
  </si>
  <si>
    <t>PARDINHO</t>
  </si>
  <si>
    <t>ZIG Fazenda Churrasc</t>
  </si>
  <si>
    <t>BR1 CHINA LINK DO BR</t>
  </si>
  <si>
    <t>ELETRO ARAPONGAS</t>
  </si>
  <si>
    <t>MERCADO PAGO MERC</t>
  </si>
  <si>
    <t>Mlp Magalu Ads Ma</t>
  </si>
  <si>
    <t>RECANTO DO CAPITAO G</t>
  </si>
  <si>
    <t>ADS TIKTOK</t>
  </si>
  <si>
    <t>DL TikTok Ads</t>
  </si>
  <si>
    <t>MERCADOLIVRE MERCADO</t>
  </si>
  <si>
    <t>IDALCI ALVES GONCALV</t>
  </si>
  <si>
    <t>LOJAS G</t>
  </si>
  <si>
    <t>SUP VERONA</t>
  </si>
  <si>
    <t>Mapfre Pcl8de8</t>
  </si>
  <si>
    <t>MERCADO PAGO 2PRO</t>
  </si>
  <si>
    <t>MERCADOLIVRE 2PRODU 01/04</t>
  </si>
  <si>
    <t>SUPERFER COMERCIAL 02/02</t>
  </si>
  <si>
    <t>DR COMERCIO DE TINT 02/02</t>
  </si>
  <si>
    <t>LINK CRIATTIVA COM 03/06</t>
  </si>
  <si>
    <t>MP MOTORTECH 03/03</t>
  </si>
  <si>
    <t>MP CLIMARIO 03/10</t>
  </si>
  <si>
    <t>MERCADOLIVRE MERCAD 04/05</t>
  </si>
  <si>
    <t>Webcontinental</t>
  </si>
  <si>
    <t>Ppro Teamviewer 01</t>
  </si>
  <si>
    <t>Vindi Trayecommer</t>
  </si>
  <si>
    <t>DEBITO CONVENIOS 03795072000160 SEFAZ-CE</t>
  </si>
  <si>
    <t>PAGAMENTO PIX 03177753911 DENILSON MOREIRA</t>
  </si>
  <si>
    <t>PAGAMENTO PIX 09835759910 Julio Cesar Fagundes</t>
  </si>
  <si>
    <t>SUPORTE SISTEMA-EXTERNO (Gabriela)</t>
  </si>
  <si>
    <t>PAGAMENTO PIX 07252360946 Bruno William de Souza</t>
  </si>
  <si>
    <t>Acerto Matheus CLT p/ PJ . Parc 1/2</t>
  </si>
  <si>
    <t>LIQUIDACAO BOLETO 00411301000108 JR COMERCIO B A</t>
  </si>
  <si>
    <t>Implantações e Treinamentos</t>
  </si>
  <si>
    <t>LIQUIDACAO BOLETO 30688036000170 J ALVES JAQUES</t>
  </si>
  <si>
    <t>LIQUIDACAO BOLETO 03835842000151 AROSUL INDUSTRI</t>
  </si>
  <si>
    <t>PGTO SEFA PR 76416890000189 SEFAPR</t>
  </si>
  <si>
    <t>PAGAMENTO PIX 12283538750 Thalita Joia de Lima</t>
  </si>
  <si>
    <t>PAGAMENTO PIX 29871036892 MARCELA BARREIROS RODR</t>
  </si>
  <si>
    <t>9482-9481</t>
  </si>
  <si>
    <t>LIQUIDACAO BOLETO 60746948000112 BANCO BRADESCO</t>
  </si>
  <si>
    <t>DESP MEDICINA TRABALHO E CIPA</t>
  </si>
  <si>
    <t>PAGAMENTO PIX 28315813000190 BUENO ROSSONI LTDA</t>
  </si>
  <si>
    <t>PAGAMENTO PIX 13347016000117 FACEBOOK SERVICOS O</t>
  </si>
  <si>
    <t>PAGAMENTO PIX 41512783000170 Oficina Wr Caminhoe</t>
  </si>
  <si>
    <t>PAGAMENTO PIX SICREDI 48912086000155 RODOMIX EXP</t>
  </si>
  <si>
    <t>Carro Vinicius</t>
  </si>
  <si>
    <t>PAGAMENTO PIX 61550141000172 YELUM SEGURADORA</t>
  </si>
  <si>
    <t>PAGAMENTO PIX 08828457996 POLIANA ROSA DE OLIVEI</t>
  </si>
  <si>
    <t>PAGAMENTO PIX 07026302175 Gabriel Luciano Santos</t>
  </si>
  <si>
    <t>PAGAMENTO PIX 66063534000175 66.063.534 MATHEUS</t>
  </si>
  <si>
    <t>LIQUIDACAO BOLETO 00428307000198 EXPRESSO SAO MI</t>
  </si>
  <si>
    <t>053688-1/3</t>
  </si>
  <si>
    <t>166824 3</t>
  </si>
  <si>
    <t>161412 5</t>
  </si>
  <si>
    <t>0161337-3/3</t>
  </si>
  <si>
    <t>LIQUIDACAO BOLETO 29619686000185 J A GOMES DE SO</t>
  </si>
  <si>
    <t>16137 1 2</t>
  </si>
  <si>
    <t>230584c</t>
  </si>
  <si>
    <t>LIQUIDACAO BOLETO 35322923000144 JHC COM DE PECA</t>
  </si>
  <si>
    <t>PAGAMENTO PIX 60599952920 Benilde Camargo Machad</t>
  </si>
  <si>
    <t>PAGAMENTO PIX 51164665000171 PARAISO 300 ADM</t>
  </si>
  <si>
    <t>PAGAMENTO PIX 64418897000150 64.418.897 LETICIA</t>
  </si>
  <si>
    <t>PAGAMENTO PIX SICREDI 03853553940 MARCIO RODRIGO</t>
  </si>
  <si>
    <t>PAGAMENTO PIX 47922346468 Wilma Pereira Almada</t>
  </si>
  <si>
    <t>PAGAMENTO PIX 28813823000155 DENILSON SEMER SOAR</t>
  </si>
  <si>
    <t>Churrasco Magalu</t>
  </si>
  <si>
    <t>PAGAMENTO PIX 10957479913 Moisés Almeida Moreira</t>
  </si>
  <si>
    <t>Janta Funcionários</t>
  </si>
  <si>
    <t>LIQUIDACAO BOLETO 03391625000110 COMPEX TECNOLOG</t>
  </si>
  <si>
    <t>COMPRA TESTE COWBIKE</t>
  </si>
  <si>
    <t>Novo prestador de serviços</t>
  </si>
  <si>
    <t>PAGAMENTO PIX 10650439961 JULIO CESAR DA SILVA</t>
  </si>
  <si>
    <t>PAGAMENTO PIX SICREDI 77540292000180 DECANINI DE</t>
  </si>
  <si>
    <t>PAGAMENTO PIX 00965596000164 TARUGAO - PARAFUSOS</t>
  </si>
  <si>
    <t>Compra caixas papelão</t>
  </si>
  <si>
    <t>PAGAMENTO PIX 10708175000101 HAVOK DISTRIBUIDORA</t>
  </si>
  <si>
    <t>ABERTURA DE CONTA UNICRED</t>
  </si>
  <si>
    <t>LIQUIDACAO BOLETO 73443863000107 UNICRED VALE EU</t>
  </si>
  <si>
    <t>Aluguel Impressora</t>
  </si>
  <si>
    <t>P14064</t>
  </si>
  <si>
    <t>P5368</t>
  </si>
  <si>
    <t>LIQUIDACAO BOLETO SICREDI 05730733000103 ARAMARC</t>
  </si>
  <si>
    <t>PAGAMENTO PIX 13236697000146 EBANX</t>
  </si>
  <si>
    <t>DIFAL-ALAGOAS (Gabriela)</t>
  </si>
  <si>
    <t>FELIPE (Gabriela)</t>
  </si>
  <si>
    <t>Sorteio Instagram</t>
  </si>
  <si>
    <t>LIVE 24hrs</t>
  </si>
  <si>
    <t>PAGAMENTO PIX 04578250903 Juliana Lusia Silva Fe</t>
  </si>
  <si>
    <t>PAGAMENTO PIX 65840442000191 65.840.442 GABRIELA</t>
  </si>
  <si>
    <t xml:space="preserve">     COMISSÕES E TAXAS DOS MARKETPLACES</t>
  </si>
  <si>
    <t>P 5392</t>
  </si>
  <si>
    <t xml:space="preserve">          SERVIÇOS DE MANUTENÇÃO INDUSTRIAL</t>
  </si>
  <si>
    <t>compra de materiais para mesas da produção</t>
  </si>
  <si>
    <t>P 5393</t>
  </si>
  <si>
    <t>9195-3</t>
  </si>
  <si>
    <t>MOLIANI E GIRALDI LTDA</t>
  </si>
  <si>
    <t>JULIO CESAR FAGUNDES</t>
  </si>
  <si>
    <t>EVELYN VITORIA MACHADO</t>
  </si>
  <si>
    <t>BRYAN JOÃO</t>
  </si>
  <si>
    <t>RODOMIX</t>
  </si>
  <si>
    <t>ADRIANA CRISTINA LOPES</t>
  </si>
  <si>
    <t>ANDRESSA ANDRADE HORSTH OLIVEIRA</t>
  </si>
  <si>
    <t>7-030</t>
  </si>
  <si>
    <t>PARCELAMENTO SIMPLES NACIONAL-02</t>
  </si>
  <si>
    <t>9-030</t>
  </si>
  <si>
    <t>PARCELAMENTO SIMPLES NACIONAL-04</t>
  </si>
  <si>
    <t>PAGAMENTO PIX 15566465000181 JOSE ADEMIR MURARI</t>
  </si>
  <si>
    <t>Inclusão</t>
  </si>
  <si>
    <t>Conclusão</t>
  </si>
  <si>
    <t>Responsáveis</t>
  </si>
  <si>
    <t>Gravidade</t>
  </si>
  <si>
    <t>TOD - Tarefa Operacional Diária (COMPROMISSOS)</t>
  </si>
  <si>
    <t>Descrição da Solução</t>
  </si>
  <si>
    <t>Matheus e Eduardo</t>
  </si>
  <si>
    <t>Apresentação da DRE de fev/26</t>
  </si>
  <si>
    <t>Documento enviado</t>
  </si>
  <si>
    <t>Mateus</t>
  </si>
  <si>
    <t>Encerramento do contrato do barracão da Juriti Vermelha R$ 6.770,00</t>
  </si>
  <si>
    <t>Entrega das chaves</t>
  </si>
  <si>
    <t>Análise de currículos para contratações</t>
  </si>
  <si>
    <t>Análise realizada</t>
  </si>
  <si>
    <t>Contratação compras e contas a pagar</t>
  </si>
  <si>
    <t>Contratada Gabriela Fernanda</t>
  </si>
  <si>
    <t>Vinícius</t>
  </si>
  <si>
    <t>Gravação Luan Pereira</t>
  </si>
  <si>
    <t>Gravação realizada</t>
  </si>
  <si>
    <t xml:space="preserve">Matheus  </t>
  </si>
  <si>
    <t>Contratação aux. estoque</t>
  </si>
  <si>
    <t>Em teste</t>
  </si>
  <si>
    <t>Tick Tock a receber - Verificar conta corrente de recebimento</t>
  </si>
  <si>
    <t>ok. Recebimento PIX 27415911000136 Bytedance Brasil</t>
  </si>
  <si>
    <t xml:space="preserve">Matheus </t>
  </si>
  <si>
    <t>Verificar se o aluguel do barracão da Juriti Vermelha saiu, ou não aparece mais no DDA</t>
  </si>
  <si>
    <t>Aluguel Juriti Vermelha saiu do DDA</t>
  </si>
  <si>
    <t>Fluxo de caixa de março</t>
  </si>
  <si>
    <t>Positivo em R$ 44.402,94</t>
  </si>
  <si>
    <t>Definir Metas para abril/2026</t>
  </si>
  <si>
    <t>Faturamento R$ 1.500.000,00, 2130 bikes</t>
  </si>
  <si>
    <t>Matheus</t>
  </si>
  <si>
    <t>Demissões</t>
  </si>
  <si>
    <t xml:space="preserve">Meire - OK </t>
  </si>
  <si>
    <t>Eliminar acessos do Lucas Landim</t>
  </si>
  <si>
    <t>Acessos eliminados</t>
  </si>
  <si>
    <t>Contratação contas a receber</t>
  </si>
  <si>
    <t>Poliana</t>
  </si>
  <si>
    <t>Lançamento Luan Pereira</t>
  </si>
  <si>
    <t>Analisar/limpar DDA - análise conta por conta (conciliação)</t>
  </si>
  <si>
    <t>Análise das contas pagar da DFC - contas analíticas</t>
  </si>
  <si>
    <t>Mateus e Ana</t>
  </si>
  <si>
    <t>Conferência nas plataformas sobre as entregas dos pedidos para liberarmos os recebimentos</t>
  </si>
  <si>
    <t>Definir estoque mínimo de peças</t>
  </si>
  <si>
    <t>Encerrar BR1 China Link do Brasil R$ 1.600,00</t>
  </si>
  <si>
    <t>Margem de contribuição por produto</t>
  </si>
  <si>
    <t>POPs, controles, indicadores</t>
  </si>
  <si>
    <t>Possíveis lançamentos duplicados da Prefeitura Municipal de Arapongas no DDA</t>
  </si>
  <si>
    <t>Verificando</t>
  </si>
  <si>
    <t>Projeção de compras abril</t>
  </si>
  <si>
    <t>Projeção de vendas abril</t>
  </si>
  <si>
    <t>Recebimentos e contas a receber (processo)</t>
  </si>
  <si>
    <t>Resumo mensal sempre atualizado diariamente do recebimento apontado no extrato Sicredi. Recebimento por canal.</t>
  </si>
  <si>
    <t>Solução envio de xmls para o Escritório (manual e domínio) - Fiscal.</t>
  </si>
  <si>
    <t>Mateus e Matheus</t>
  </si>
  <si>
    <t>Projeção de impostos competência março</t>
  </si>
  <si>
    <t>Redução de custos - análise de possibilidades</t>
  </si>
  <si>
    <t>Marketing e lives - análise março e planejamento de abril</t>
  </si>
  <si>
    <t>Cheques devolvidos e protestos (controle de contas a pagar)</t>
  </si>
  <si>
    <t>Análise da reimplantação do sistema ERP</t>
  </si>
  <si>
    <t>Levantamento de impostos e taxas em atraso</t>
  </si>
  <si>
    <t>Lançamento de contas no DDA (muitas contas não estão lá)</t>
  </si>
  <si>
    <t>Controle de devoluções e avarias</t>
  </si>
  <si>
    <t>Lançar todas as contas a pagar possíveis no DDA</t>
  </si>
  <si>
    <t>Transferir todos os funcionários de CNPJ (nova empresa)</t>
  </si>
  <si>
    <t>Precificação e custos</t>
  </si>
  <si>
    <t>Mês</t>
  </si>
  <si>
    <t>04</t>
  </si>
  <si>
    <t>05</t>
  </si>
  <si>
    <t>06</t>
  </si>
  <si>
    <t>07</t>
  </si>
  <si>
    <t>OUTROS</t>
  </si>
  <si>
    <t>Beneficiário</t>
  </si>
  <si>
    <t>Nº Doc</t>
  </si>
  <si>
    <t>Vencto</t>
  </si>
  <si>
    <t>Valor (R$)</t>
  </si>
  <si>
    <t>Ano</t>
  </si>
  <si>
    <t>DDA</t>
  </si>
  <si>
    <t>164721 8</t>
  </si>
  <si>
    <t>Dia</t>
  </si>
  <si>
    <t>Data</t>
  </si>
  <si>
    <t>Sem</t>
  </si>
  <si>
    <t>SOLUTIKA TECNOLOGIA LTDA</t>
  </si>
  <si>
    <t>01</t>
  </si>
  <si>
    <t>02</t>
  </si>
  <si>
    <t>03</t>
  </si>
  <si>
    <t>176542 1</t>
  </si>
  <si>
    <t>TOTAL A PAGAR DDA</t>
  </si>
  <si>
    <t>163115 5</t>
  </si>
  <si>
    <t>JR COMERCIO B ACESSORIOS LTDA</t>
  </si>
  <si>
    <t>174646 1</t>
  </si>
  <si>
    <t>J A GOMES DE SOUZA</t>
  </si>
  <si>
    <t>08</t>
  </si>
  <si>
    <t>JHC COM DE PECAS E ACESS P BICICLETAS LTDA</t>
  </si>
  <si>
    <t>09</t>
  </si>
  <si>
    <t>Saldo a Pagar</t>
  </si>
  <si>
    <t>163170 5</t>
  </si>
  <si>
    <t>LUMASA EMBALAGENS LTDA</t>
  </si>
  <si>
    <t>505-2</t>
  </si>
  <si>
    <t>5221 - 1</t>
  </si>
  <si>
    <t>30675 002</t>
  </si>
  <si>
    <t>5226 - 1</t>
  </si>
  <si>
    <t>WESTER BIKE INDUSTRIA E COMERCIO LTDA</t>
  </si>
  <si>
    <t>00002499/1</t>
  </si>
  <si>
    <t>LEGACY MONITORAMENTO LTDA</t>
  </si>
  <si>
    <t>EMPRESA BRASILEIRA DE CORREIOS E TELEGRAFOS - ECT</t>
  </si>
  <si>
    <t>COMPANY HERO LTDA</t>
  </si>
  <si>
    <t> </t>
  </si>
  <si>
    <t>TEK SYSTEM INFORMATICA LTDA</t>
  </si>
  <si>
    <t>7883-CTR F</t>
  </si>
  <si>
    <t>176776 1</t>
  </si>
  <si>
    <t>164999 4</t>
  </si>
  <si>
    <t>165093 4</t>
  </si>
  <si>
    <t>165074 4</t>
  </si>
  <si>
    <t>30509 003</t>
  </si>
  <si>
    <t>KALF IND COM PLASTICOS LTDA</t>
  </si>
  <si>
    <t>177140 1</t>
  </si>
  <si>
    <t>30926 001</t>
  </si>
  <si>
    <t>BLUE CYCLE</t>
  </si>
  <si>
    <t>1324-001</t>
  </si>
  <si>
    <t>5237 - 1</t>
  </si>
  <si>
    <t>GRAFIMAX INDUSTRIA GRAFICA LTDA</t>
  </si>
  <si>
    <t>1.28996-1/3</t>
  </si>
  <si>
    <t>CJ714 001</t>
  </si>
  <si>
    <t>SPEED TECNET</t>
  </si>
  <si>
    <t>165267 4</t>
  </si>
  <si>
    <t>165287 7</t>
  </si>
  <si>
    <t>052633-2/4</t>
  </si>
  <si>
    <t>ATLANTA FUNDO DE INV EM DIR CRED N PAD</t>
  </si>
  <si>
    <t>074518-002</t>
  </si>
  <si>
    <t>URBANO SA SOC CRED FINAN INVES</t>
  </si>
  <si>
    <t>1346-001</t>
  </si>
  <si>
    <t>1345-001</t>
  </si>
  <si>
    <t>WB BIKE INDUSTRIA E COMERCIO LTDA</t>
  </si>
  <si>
    <t>004690/01</t>
  </si>
  <si>
    <t>505-3</t>
  </si>
  <si>
    <t>172403 2</t>
  </si>
  <si>
    <t>173676 2</t>
  </si>
  <si>
    <t>5126 - 2</t>
  </si>
  <si>
    <t>5261 - 1</t>
  </si>
  <si>
    <t>30530 003</t>
  </si>
  <si>
    <t>AROSUL INDUSTRIA E COMERCIO DE PECAS EIRELLI - EPP</t>
  </si>
  <si>
    <t>052654.2.4</t>
  </si>
  <si>
    <t>016345-2/2</t>
  </si>
  <si>
    <t>1.28770-3/3</t>
  </si>
  <si>
    <t>165650 4</t>
  </si>
  <si>
    <t>165629 4</t>
  </si>
  <si>
    <t>175569 1</t>
  </si>
  <si>
    <t>536-1</t>
  </si>
  <si>
    <t>004700/01</t>
  </si>
  <si>
    <t>1356-001</t>
  </si>
  <si>
    <t>30978 001</t>
  </si>
  <si>
    <t>052684-2/3</t>
  </si>
  <si>
    <t>175875 1</t>
  </si>
  <si>
    <t>ISAPA IMPORTACAO E COMERCIO LTDA</t>
  </si>
  <si>
    <t>178194 1</t>
  </si>
  <si>
    <t>30995 001</t>
  </si>
  <si>
    <t>5294 - 1</t>
  </si>
  <si>
    <t>LUBRIARA COMERCIO DE LUBRIFI</t>
  </si>
  <si>
    <t>164721 9</t>
  </si>
  <si>
    <t>166137 4</t>
  </si>
  <si>
    <t>166592 4</t>
  </si>
  <si>
    <t>P5550-002</t>
  </si>
  <si>
    <t>14101-002</t>
  </si>
  <si>
    <t>P14101-002</t>
  </si>
  <si>
    <t>5550-002</t>
  </si>
  <si>
    <t>AD FLEX ETIQUETAS LTDA</t>
  </si>
  <si>
    <t>176173 1</t>
  </si>
  <si>
    <t>053688-2/3</t>
  </si>
  <si>
    <t>WB BIKE IND E COM LTDA</t>
  </si>
  <si>
    <t>004639/02</t>
  </si>
  <si>
    <t>166824 4</t>
  </si>
  <si>
    <t>16137 2 2</t>
  </si>
  <si>
    <t>OX AMAZ IND BICICLETAS S A</t>
  </si>
  <si>
    <t>230584D</t>
  </si>
  <si>
    <t>5156 - 2</t>
  </si>
  <si>
    <t>0000700/01</t>
  </si>
  <si>
    <t>536-2</t>
  </si>
  <si>
    <t>178794 1</t>
  </si>
  <si>
    <t>5310 - 1</t>
  </si>
  <si>
    <t>312318-4/4</t>
  </si>
  <si>
    <t>16144 2 2</t>
  </si>
  <si>
    <t>1.28996-2/3</t>
  </si>
  <si>
    <t>016379-2/3</t>
  </si>
  <si>
    <t>00021-04</t>
  </si>
  <si>
    <t>165287 8</t>
  </si>
  <si>
    <t>167497 4</t>
  </si>
  <si>
    <t>176739 1</t>
  </si>
  <si>
    <t>COMPEX TECNOLOGIA</t>
  </si>
  <si>
    <t>25122 2 3</t>
  </si>
  <si>
    <t>8301 2 3</t>
  </si>
  <si>
    <t>053551-3/3</t>
  </si>
  <si>
    <t>ARAMARCAS PROPRIEDADE INTELECT</t>
  </si>
  <si>
    <t>5185 - 2</t>
  </si>
  <si>
    <t>003683 001</t>
  </si>
  <si>
    <t>009738-2/3</t>
  </si>
  <si>
    <t>174043 2</t>
  </si>
  <si>
    <t>175844 2</t>
  </si>
  <si>
    <t>174098 2</t>
  </si>
  <si>
    <t>30613 003</t>
  </si>
  <si>
    <t>16402 1 3</t>
  </si>
  <si>
    <t>016402-2/2</t>
  </si>
  <si>
    <t>536-3</t>
  </si>
  <si>
    <t>5611-001</t>
  </si>
  <si>
    <t>5610-001</t>
  </si>
  <si>
    <t>31078 001</t>
  </si>
  <si>
    <t>1110-001</t>
  </si>
  <si>
    <t>1111-001</t>
  </si>
  <si>
    <t>SAAR IMP LTDA</t>
  </si>
  <si>
    <t>168040 4</t>
  </si>
  <si>
    <t>177406 1</t>
  </si>
  <si>
    <t>176542 2</t>
  </si>
  <si>
    <t>174646 2</t>
  </si>
  <si>
    <t>5221 - 2</t>
  </si>
  <si>
    <t>5226 - 2</t>
  </si>
  <si>
    <t>30675 003</t>
  </si>
  <si>
    <t>5237 - 2</t>
  </si>
  <si>
    <t>1.28996-3/3</t>
  </si>
  <si>
    <t>176776 2</t>
  </si>
  <si>
    <t>164999 5</t>
  </si>
  <si>
    <t>165074 5</t>
  </si>
  <si>
    <t>165093 5</t>
  </si>
  <si>
    <t>177140 2</t>
  </si>
  <si>
    <t>30926 002</t>
  </si>
  <si>
    <t>1324-002</t>
  </si>
  <si>
    <t>CJ714 002</t>
  </si>
  <si>
    <t>165267 5</t>
  </si>
  <si>
    <t>165287 9</t>
  </si>
  <si>
    <t>074518-003</t>
  </si>
  <si>
    <t>052633-3/4</t>
  </si>
  <si>
    <t>5126 - 3</t>
  </si>
  <si>
    <t>1346-002</t>
  </si>
  <si>
    <t>1345-002</t>
  </si>
  <si>
    <t>004690/02</t>
  </si>
  <si>
    <t>5261 - 2</t>
  </si>
  <si>
    <t>003683 002</t>
  </si>
  <si>
    <t>172403 3</t>
  </si>
  <si>
    <t>173676 3</t>
  </si>
  <si>
    <t>052654.3.4</t>
  </si>
  <si>
    <t>16345 1 2</t>
  </si>
  <si>
    <t>175569 2</t>
  </si>
  <si>
    <t>175571 1</t>
  </si>
  <si>
    <t>5294 - 2</t>
  </si>
  <si>
    <t>1356-002</t>
  </si>
  <si>
    <t>004700/02</t>
  </si>
  <si>
    <t>30978 002</t>
  </si>
  <si>
    <t>175875 2</t>
  </si>
  <si>
    <t>178194 2</t>
  </si>
  <si>
    <t>30995 002</t>
  </si>
  <si>
    <t>166592 5</t>
  </si>
  <si>
    <t>052684-3/3</t>
  </si>
  <si>
    <t>P5550-003</t>
  </si>
  <si>
    <t>14101-003</t>
  </si>
  <si>
    <t>P14101-003</t>
  </si>
  <si>
    <t>5550-003</t>
  </si>
  <si>
    <t>5156 - 3</t>
  </si>
  <si>
    <t>176173 2</t>
  </si>
  <si>
    <t>053688-3/3</t>
  </si>
  <si>
    <t>004639/03</t>
  </si>
  <si>
    <t>5310 - 2</t>
  </si>
  <si>
    <t>166824 5</t>
  </si>
  <si>
    <t>230584E</t>
  </si>
  <si>
    <t>178794 2</t>
  </si>
  <si>
    <t>016379-3/3</t>
  </si>
  <si>
    <t>16379 1 2</t>
  </si>
  <si>
    <t>167497 5</t>
  </si>
  <si>
    <t>5185 - 3</t>
  </si>
  <si>
    <t>176739 2</t>
  </si>
  <si>
    <t>003683 003</t>
  </si>
  <si>
    <t>00021-05</t>
  </si>
  <si>
    <t>25122 3 3</t>
  </si>
  <si>
    <t>8301 3 3</t>
  </si>
  <si>
    <t>009738-3/3</t>
  </si>
  <si>
    <t>174098 3</t>
  </si>
  <si>
    <t>174043 3</t>
  </si>
  <si>
    <t>175844 3</t>
  </si>
  <si>
    <t>16402 2 3</t>
  </si>
  <si>
    <t>5611-002</t>
  </si>
  <si>
    <t>31078 002</t>
  </si>
  <si>
    <t>1111-002</t>
  </si>
  <si>
    <t>1110-002</t>
  </si>
  <si>
    <t>168040 5</t>
  </si>
  <si>
    <t>5221 - 3</t>
  </si>
  <si>
    <t>177406 2</t>
  </si>
  <si>
    <t>176542 3</t>
  </si>
  <si>
    <t>5226 - 3</t>
  </si>
  <si>
    <t>174646 3</t>
  </si>
  <si>
    <t>5237 - 3</t>
  </si>
  <si>
    <t>176776 3</t>
  </si>
  <si>
    <t>5126 - 4</t>
  </si>
  <si>
    <t>30926 003</t>
  </si>
  <si>
    <t>177140 3</t>
  </si>
  <si>
    <t>1324-003</t>
  </si>
  <si>
    <t>5261 - 3</t>
  </si>
  <si>
    <t>003683 004</t>
  </si>
  <si>
    <t>CJ714 003</t>
  </si>
  <si>
    <t>052633-4/4</t>
  </si>
  <si>
    <t>1346-003</t>
  </si>
  <si>
    <t>1345-003</t>
  </si>
  <si>
    <t>004690/03</t>
  </si>
  <si>
    <t>172403 4</t>
  </si>
  <si>
    <t>173676 4</t>
  </si>
  <si>
    <t>5294 - 3</t>
  </si>
  <si>
    <t>16345 2 2</t>
  </si>
  <si>
    <t>175569 3</t>
  </si>
  <si>
    <t>052654.4.4</t>
  </si>
  <si>
    <t>1356-003</t>
  </si>
  <si>
    <t>004700/03</t>
  </si>
  <si>
    <t>30978 003</t>
  </si>
  <si>
    <t>5156 - 4</t>
  </si>
  <si>
    <t>175875 3</t>
  </si>
  <si>
    <t>178194 3</t>
  </si>
  <si>
    <t>30995 003</t>
  </si>
  <si>
    <t>5310 - 3</t>
  </si>
  <si>
    <t>176173 3</t>
  </si>
  <si>
    <t>230584F</t>
  </si>
  <si>
    <t>178794 3</t>
  </si>
  <si>
    <t>5185 - 4</t>
  </si>
  <si>
    <t>16379 2 2</t>
  </si>
  <si>
    <t>176739 3</t>
  </si>
  <si>
    <t>00021-06</t>
  </si>
  <si>
    <t>175844 4</t>
  </si>
  <si>
    <t>174043 4</t>
  </si>
  <si>
    <t>174098 4</t>
  </si>
  <si>
    <t>16402 3 3</t>
  </si>
  <si>
    <t>5611-003</t>
  </si>
  <si>
    <t>31078 003</t>
  </si>
  <si>
    <t>5221 - 4</t>
  </si>
  <si>
    <t>1111-003</t>
  </si>
  <si>
    <t>1110-003</t>
  </si>
  <si>
    <t>5226 - 4</t>
  </si>
  <si>
    <t>177406 3</t>
  </si>
  <si>
    <t>176542 4</t>
  </si>
  <si>
    <t>5237 - 4</t>
  </si>
  <si>
    <t>174646 4</t>
  </si>
  <si>
    <t>5261 - 4</t>
  </si>
  <si>
    <t>177140 4</t>
  </si>
  <si>
    <t>5294 - 4</t>
  </si>
  <si>
    <t>172403 5</t>
  </si>
  <si>
    <t>5310 - 4</t>
  </si>
  <si>
    <t>175875 4</t>
  </si>
  <si>
    <t>178194 4</t>
  </si>
  <si>
    <t>178794 4</t>
  </si>
  <si>
    <t>176739 4</t>
  </si>
  <si>
    <t>00021-07</t>
  </si>
  <si>
    <t>174098 5</t>
  </si>
  <si>
    <t>174043 5</t>
  </si>
  <si>
    <t>177406 4</t>
  </si>
  <si>
    <t>176542 5</t>
  </si>
  <si>
    <t>174646 5</t>
  </si>
  <si>
    <t>175875 5</t>
  </si>
  <si>
    <t>00021-08</t>
  </si>
  <si>
    <t>177406 5</t>
  </si>
  <si>
    <t>00021-09</t>
  </si>
  <si>
    <t>00021-10</t>
  </si>
  <si>
    <t>00021-11</t>
  </si>
  <si>
    <t>00021-12</t>
  </si>
  <si>
    <t>00021-13</t>
  </si>
  <si>
    <t>00021-14</t>
  </si>
  <si>
    <t>00021-15</t>
  </si>
  <si>
    <t>00021-16</t>
  </si>
  <si>
    <t>00021-17</t>
  </si>
  <si>
    <t>00021-18</t>
  </si>
  <si>
    <t>00021-19</t>
  </si>
  <si>
    <t>00021-20</t>
  </si>
  <si>
    <t>00021-21</t>
  </si>
  <si>
    <t>00021-22</t>
  </si>
  <si>
    <t>00021-23</t>
  </si>
  <si>
    <t>00021-24</t>
  </si>
  <si>
    <t>00021-25</t>
  </si>
  <si>
    <t>00021-26</t>
  </si>
  <si>
    <t>00021-27</t>
  </si>
  <si>
    <t>00021-28</t>
  </si>
  <si>
    <t>00021-29</t>
  </si>
  <si>
    <t>00021-30</t>
  </si>
  <si>
    <t>00021-31</t>
  </si>
  <si>
    <t>00021-32</t>
  </si>
  <si>
    <t>00021-33</t>
  </si>
  <si>
    <t xml:space="preserve"> </t>
  </si>
  <si>
    <t>Banco</t>
  </si>
  <si>
    <t>Descrição</t>
  </si>
  <si>
    <t>Documento</t>
  </si>
  <si>
    <t>Mktplace</t>
  </si>
  <si>
    <t>Saldo</t>
  </si>
  <si>
    <t>Recebido Mês</t>
  </si>
  <si>
    <t>Sicredi</t>
  </si>
  <si>
    <t>02/04/2026</t>
  </si>
  <si>
    <t>RECEBIMENTO PIX 48697278000196 GOTT SAUDE COMERC</t>
  </si>
  <si>
    <t>PIX_CRED</t>
  </si>
  <si>
    <t>Abril</t>
  </si>
  <si>
    <t>Mês de Competência</t>
  </si>
  <si>
    <t>Entradas</t>
  </si>
  <si>
    <t>Saídas</t>
  </si>
  <si>
    <t>Fluxo de Caixa</t>
  </si>
  <si>
    <t>06/04/2026</t>
  </si>
  <si>
    <t>Recebido</t>
  </si>
  <si>
    <t>GETNET CREDITO MASTER | GETNET | 0001-96</t>
  </si>
  <si>
    <t>819244258</t>
  </si>
  <si>
    <t>RECEBIMENTO PIX 13884775000119 HUB INSTITUICAO D</t>
  </si>
  <si>
    <t>07/04/2026</t>
  </si>
  <si>
    <t xml:space="preserve">RECEBIMENTO PIX 27415911000136 Bytedance Brasil </t>
  </si>
  <si>
    <t>Saldo Inicial Conta</t>
  </si>
  <si>
    <t>Saldo Final Conta</t>
  </si>
  <si>
    <t>Fluxo de Conta</t>
  </si>
  <si>
    <t>08/04/2026</t>
  </si>
  <si>
    <t>RECEBIMENTO PIX SICREDI 42965989000118 L A T SHO</t>
  </si>
  <si>
    <t>CX297608</t>
  </si>
  <si>
    <t>TED 61074175000138 MAPFRE SEGUROS GERAIS S.A.</t>
  </si>
  <si>
    <t>Meta Faturamento Bruto</t>
  </si>
  <si>
    <t>Faturamento Bruto</t>
  </si>
  <si>
    <t>Desempenho da Meta</t>
  </si>
  <si>
    <t>GETNET CREDITO VISA | GETNET | 0001-96</t>
  </si>
  <si>
    <t>GETNET CREDITO ELO | GETNET | 0001-96</t>
  </si>
  <si>
    <t>10/04/2026</t>
  </si>
  <si>
    <t>RECEBIMENTO PIX 08584116000127 WEBCONTINENTAL LT</t>
  </si>
  <si>
    <t>bikes</t>
  </si>
  <si>
    <t>1667</t>
  </si>
  <si>
    <t>RECEBIMENTO PIX 57436421000187 57.436.421 AUDINE</t>
  </si>
  <si>
    <t>13/04/2026</t>
  </si>
  <si>
    <t>Março</t>
  </si>
  <si>
    <t>14/04/2026</t>
  </si>
  <si>
    <t>Saldo Inicial</t>
  </si>
  <si>
    <t>Saldo Final</t>
  </si>
  <si>
    <t>17/04/2026</t>
  </si>
  <si>
    <t>GETNET CREDITO AMEX | GETNET | 0001-96</t>
  </si>
  <si>
    <t>20/04/2026</t>
  </si>
  <si>
    <t>TED 33041260065290 GRUPO CASAS BAHIA S A</t>
  </si>
  <si>
    <t>RECEBIMENTO PIX 45990586000117 TAC STORE</t>
  </si>
  <si>
    <t>Meta do Mês de abr/26</t>
  </si>
  <si>
    <t>Faturamento R$ 1.500.000,00</t>
  </si>
  <si>
    <t>24/04/2026</t>
  </si>
  <si>
    <t>27/04/2026</t>
  </si>
  <si>
    <t>RECEBIMENTO PIX 42580969896 MARCOS DOUGLAS NOGUE</t>
  </si>
  <si>
    <t>2.130 bikes</t>
  </si>
  <si>
    <t>30/04/2026</t>
  </si>
  <si>
    <t>RECEBIMENTO PIX SICREDI 42989044000136 INUSITTA</t>
  </si>
  <si>
    <t>CX201949</t>
  </si>
  <si>
    <t>RECEBIMENTO PIX 40318112841 Felipe Guedes da Sil</t>
  </si>
  <si>
    <t>RECEBIMENTO PIX 27415911000136 Bytedance Brasil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</si>
  <si>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</si>
  <si>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</si>
  <si>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</si>
  <si>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</si>
  <si>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</si>
  <si>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</si>
  <si>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</si>
  <si>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</si>
  <si>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</si>
  <si>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</si>
  <si>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</si>
  <si>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</si>
  <si>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FATURAMENTO BRUTO 2025</t>
  </si>
  <si>
    <t>FATURAMENTO BRUTO 2026</t>
  </si>
  <si>
    <t>VARIAÇÃO 26X25</t>
  </si>
  <si>
    <t>BIKES FATURADAS 2025</t>
  </si>
  <si>
    <t>BIKES FATURADAS 2026</t>
  </si>
  <si>
    <t>out/25</t>
  </si>
  <si>
    <t>nov/25</t>
  </si>
  <si>
    <t>dez/25</t>
  </si>
  <si>
    <t>jan/26</t>
  </si>
  <si>
    <t>R$</t>
  </si>
  <si>
    <t>A.V.</t>
  </si>
  <si>
    <t>TOTAL FATURADO</t>
  </si>
  <si>
    <t>SHOPEE</t>
  </si>
  <si>
    <t>AMAZON</t>
  </si>
  <si>
    <t>MELI</t>
  </si>
  <si>
    <t>NETSHOES</t>
  </si>
  <si>
    <t>Janeiro</t>
  </si>
  <si>
    <t>TIKTOK</t>
  </si>
  <si>
    <t>Carnê Digital / Cartão de Crédito</t>
  </si>
  <si>
    <t>Pix / Cartão Presente / Nubank</t>
  </si>
  <si>
    <t>VIA VAREJO</t>
  </si>
  <si>
    <t>NEXTSHOP</t>
  </si>
  <si>
    <t>WEB CONTINENTAL</t>
  </si>
  <si>
    <t>CENTAURO</t>
  </si>
  <si>
    <t>TOTAL RECEBIDO</t>
  </si>
  <si>
    <t>% RECEBIDO</t>
  </si>
  <si>
    <t>A RECEBER</t>
  </si>
  <si>
    <t>Somente boleto</t>
  </si>
  <si>
    <t>Classificar o contas a pagar</t>
  </si>
  <si>
    <t>Lançar o CPV</t>
  </si>
  <si>
    <t>Estoque de Peças</t>
  </si>
  <si>
    <t>Estoque de P.A.</t>
  </si>
  <si>
    <t>Estoque de P.A. no Full</t>
  </si>
  <si>
    <t>VCTO</t>
  </si>
  <si>
    <t>(Tudo)</t>
  </si>
  <si>
    <t>Soma de VALOR</t>
  </si>
  <si>
    <t>ALIMENTAÇÃO</t>
  </si>
  <si>
    <t>COMBUSTÍVEL</t>
  </si>
  <si>
    <t>BR1 China Lin Do Brasil</t>
  </si>
  <si>
    <t>COMPRA DE MÓVEIS E UTENSÍLIOS</t>
  </si>
  <si>
    <t>DESP DE MARKETING E PROPAGANDA</t>
  </si>
  <si>
    <t>Auto Posto Verona</t>
  </si>
  <si>
    <t>FERRAMENTAS PARA MANUTENÇÃO</t>
  </si>
  <si>
    <t>OUTRAS DESPESAS ADMINISTRATIVAS</t>
  </si>
  <si>
    <t>PEÇAS</t>
  </si>
  <si>
    <t>REEMBOLSO</t>
  </si>
  <si>
    <t>TX. BANCÁRIA</t>
  </si>
  <si>
    <t>TINTAS (COMO CLASSIFICAR?)</t>
  </si>
  <si>
    <t>Total Geral</t>
  </si>
  <si>
    <t>Mercadolivre (Parc 2/2)</t>
  </si>
  <si>
    <t>Mercadolivre (Parc 3/5)</t>
  </si>
  <si>
    <t>Mapfre Pcl7de12</t>
  </si>
  <si>
    <t>Shopee Shopee Shpstecn ,00</t>
  </si>
  <si>
    <t>Link Criattiva Com 01</t>
  </si>
  <si>
    <t>Mp Motortech 01</t>
  </si>
  <si>
    <t>Santos Br1 China Link Do Bras ,00</t>
  </si>
  <si>
    <t>Palhoca Ec Clubeb2b ,95</t>
  </si>
  <si>
    <t>Orlandini Comercio De</t>
  </si>
  <si>
    <t>Gp Bike Store</t>
  </si>
  <si>
    <t>Office Bike</t>
  </si>
  <si>
    <t>Osasco Sem Parar</t>
  </si>
  <si>
    <t>Mercadolivre Mercadoli Jundia</t>
  </si>
  <si>
    <t>Braslia Mercadolivre Easyte 01</t>
  </si>
  <si>
    <t>Santo Andre Mercadolivre Theenigma</t>
  </si>
  <si>
    <t>Jundia Mercadolivre Mercadoli</t>
  </si>
  <si>
    <t>Churrascaria Heranca ,00</t>
  </si>
  <si>
    <t>Mapfre Pcl6de8</t>
  </si>
  <si>
    <t>Palhoca Ec Clubeb2b ,29</t>
  </si>
  <si>
    <t>Palhoca Ec Clubeb2b ,85</t>
  </si>
  <si>
    <t>Palhoca Ec Clubeb2b ,51</t>
  </si>
  <si>
    <t>Vila Velha Mp Climario 01</t>
  </si>
  <si>
    <t>Mercadolivre Mercad 02</t>
  </si>
  <si>
    <t>Vindi Trayecommer 06</t>
  </si>
  <si>
    <t>Prado Comercio De P 06</t>
  </si>
  <si>
    <t>Mercadolivre Mercadoli</t>
  </si>
  <si>
    <t>Bauru Mercadolivre Mercadoli</t>
  </si>
  <si>
    <t>Porto Alegre Webcontinental</t>
  </si>
  <si>
    <t>Amazon Marketplace</t>
  </si>
  <si>
    <t>Vindi Trayecommer 03</t>
  </si>
  <si>
    <t>Kim Casa De Carne E C</t>
  </si>
  <si>
    <t>Mapfre</t>
  </si>
  <si>
    <t>Mercadolivre Mercad</t>
  </si>
  <si>
    <t>Shopee Shopee Shpstecn</t>
  </si>
  <si>
    <t>Ebn Adobe</t>
  </si>
  <si>
    <t>Mp Clubeb2b</t>
  </si>
  <si>
    <t>Br1 China Link Do Bras</t>
  </si>
  <si>
    <t>Casa De Carne Siriema</t>
  </si>
  <si>
    <t>Jefersonfaria</t>
  </si>
  <si>
    <t>Panificadora Viana Ltd</t>
  </si>
  <si>
    <t>Auto Posto Aguia Do Ib</t>
  </si>
  <si>
    <t>Castelinho Da Pamonha</t>
  </si>
  <si>
    <t>Restaurante Paloma</t>
  </si>
  <si>
    <t>Mp Park Est Lava Rap</t>
  </si>
  <si>
    <t>Ape Smart Studio</t>
  </si>
  <si>
    <t>Ifd La Braciera Sant</t>
  </si>
  <si>
    <t>Padaria Chik Matriz</t>
  </si>
  <si>
    <t>Mp Lpqbrrestaura</t>
  </si>
  <si>
    <t>Nova Faria Lima</t>
  </si>
  <si>
    <t>G E G Auto Posto</t>
  </si>
  <si>
    <t>Rodosnack Gg</t>
  </si>
  <si>
    <t>Restaurante Posto Cafe</t>
  </si>
  <si>
    <t>Hous Coffee</t>
  </si>
  <si>
    <t>Prado Comercio De P</t>
  </si>
  <si>
    <t>Mercadolivre Viking</t>
  </si>
  <si>
    <t>Th Virtual</t>
  </si>
  <si>
    <t>Garden Hotels Empreend</t>
  </si>
  <si>
    <t>Rosim</t>
  </si>
  <si>
    <t>Grill Sul Leme</t>
  </si>
  <si>
    <t>Borelli Patio</t>
  </si>
  <si>
    <t>Coco Bambu Conceito Pa</t>
  </si>
  <si>
    <t>Sua Academia</t>
  </si>
  <si>
    <t>Smart Market Mercado A</t>
  </si>
  <si>
    <t>Rodosnack Esmeralda</t>
  </si>
  <si>
    <t>Auto Posto Bola Branca</t>
  </si>
  <si>
    <t>Lojade</t>
  </si>
  <si>
    <t>Mapfre Pcl</t>
  </si>
  <si>
    <t>Uber Pending</t>
  </si>
  <si>
    <t>Br1 Br1 China Link Do</t>
  </si>
  <si>
    <t>Espetaria Porco E Cia</t>
  </si>
  <si>
    <t>Mercadolivre Pgcomerci</t>
  </si>
  <si>
    <t>Mercadolivre Rededistr</t>
  </si>
  <si>
    <t>JF Leite Filho Restau</t>
  </si>
  <si>
    <t>Mp Franco</t>
  </si>
  <si>
    <t>Mc Favorito</t>
  </si>
  <si>
    <t>Restaurante Santa Juli</t>
  </si>
  <si>
    <t>Viana Conveniencia</t>
  </si>
  <si>
    <t>Hot Vallet</t>
  </si>
  <si>
    <t>Pmphbdrocastello Branc</t>
  </si>
  <si>
    <t>Ape Administracao D</t>
  </si>
  <si>
    <t>Ycell Store</t>
  </si>
  <si>
    <t>Anuidade Diferenc 0113</t>
  </si>
  <si>
    <t>Parx</t>
  </si>
  <si>
    <t>Mp Veronasgrill</t>
  </si>
  <si>
    <t>Mp Victorneto</t>
  </si>
  <si>
    <t>Parx 27</t>
  </si>
  <si>
    <t>Jdw</t>
  </si>
  <si>
    <t>Uber Trip</t>
  </si>
  <si>
    <t>Ifd Cantina Do Piero</t>
  </si>
  <si>
    <t>Rodovias Integradas Do</t>
  </si>
  <si>
    <t>Auto Posto Limoeiro</t>
  </si>
  <si>
    <t>Chacara Flora</t>
  </si>
  <si>
    <t>Posto Avenida Brasil</t>
  </si>
  <si>
    <t>Rest Quinta Do Marques</t>
  </si>
  <si>
    <t>Posto Quinta Do Marque</t>
  </si>
  <si>
    <t>HY Nishikawa Me</t>
  </si>
  <si>
    <t>Restaurante E Lanchone</t>
  </si>
  <si>
    <t>Mania De Churrasco Pri</t>
  </si>
  <si>
    <t>Lanches Maristela Par</t>
  </si>
  <si>
    <t>Outback Paulista</t>
  </si>
  <si>
    <t>Posto Rodosery</t>
  </si>
  <si>
    <t>Canto Da Mata Forneri</t>
  </si>
  <si>
    <t>Mercadopago Farmink</t>
  </si>
  <si>
    <t>Mercadolivre Eshop</t>
  </si>
  <si>
    <t>Grupo Casas Bahia S</t>
  </si>
  <si>
    <t>Teamviewer</t>
  </si>
  <si>
    <t>DEMONSTARATIVO DE RESULTADOS GOTT</t>
  </si>
  <si>
    <t>Gráfico linha</t>
  </si>
  <si>
    <t>Gráfico coluna</t>
  </si>
  <si>
    <t>PONTO DE EQUILÍBRIO GERENCIAL EM Nº DE BIKES FATURADAS</t>
  </si>
  <si>
    <t>PONTO DE EQUILÍBRIO OPERACIONAL EM Nº DE BIKES FATURADAS</t>
  </si>
  <si>
    <t>DEMONSTRATIVO DE FLUXO DE CAIXA GOTT</t>
  </si>
  <si>
    <t>ENTRADAS X FATURAMENTO</t>
  </si>
  <si>
    <t>INDICADOR ENTRADAS X FATURAMENTO</t>
  </si>
  <si>
    <t>BIKES FATURADAS</t>
  </si>
  <si>
    <t>QUANTIDADE FATURADA TOTAL</t>
  </si>
  <si>
    <t>CUSTO FICHA TÉCNICA</t>
  </si>
  <si>
    <t>CPV</t>
  </si>
  <si>
    <t>BALANÇO PATRIMONIAL</t>
  </si>
  <si>
    <t>INDICADORES</t>
  </si>
  <si>
    <t>Ticket Médio de Venda</t>
  </si>
  <si>
    <t>Ticket Médio de Custo</t>
  </si>
  <si>
    <t>Multiplicador</t>
  </si>
  <si>
    <t>PRODUTIVIDADE FAT. BRUTO/FUNCIONÁRIO</t>
  </si>
  <si>
    <t>MARKETING COM PRODUTOS</t>
  </si>
  <si>
    <t>Faturamento bruto</t>
  </si>
  <si>
    <t>Margem de contribuição</t>
  </si>
  <si>
    <t>Lucro</t>
  </si>
  <si>
    <t>Lucratividade</t>
  </si>
  <si>
    <t>Valor recebido</t>
  </si>
  <si>
    <t>Valor pago</t>
  </si>
  <si>
    <t>Fluxo de caixa</t>
  </si>
  <si>
    <t>Estoque</t>
  </si>
  <si>
    <t>Estoque geral em dias</t>
  </si>
  <si>
    <t>Contas a pagar</t>
  </si>
  <si>
    <t>Ponto de equilíbrio</t>
  </si>
  <si>
    <t>Ponto de equilíbrio em bikes</t>
  </si>
  <si>
    <t>Ticket médio de vendas</t>
  </si>
  <si>
    <t>PONTO DE EQUILÍBRIO GERENCIAL EM BIKES FATURADAS</t>
  </si>
  <si>
    <t>FATURAMENTO X ENTRADAS</t>
  </si>
  <si>
    <t>BALANÇO PATRIMONIAL GOTT</t>
  </si>
  <si>
    <t>OUTROS COMERCIAIS</t>
  </si>
  <si>
    <t>QUANTIDADE FATURADA GOTT</t>
  </si>
  <si>
    <t>QUANTIDADE FATURADA VIVER DE MARKETING</t>
  </si>
  <si>
    <t>DIFERENÇA R$</t>
  </si>
  <si>
    <t>DIFERENÇA %</t>
  </si>
  <si>
    <t>Indicadores diários</t>
  </si>
  <si>
    <t>DESPESAS FUNCIONÁRIO/FATURAMENTO BRUTO</t>
  </si>
  <si>
    <t>1. Faturamento</t>
  </si>
  <si>
    <t>2. DDA</t>
  </si>
  <si>
    <t>3. Contas recebidas</t>
  </si>
  <si>
    <t>4. Contas pagas</t>
  </si>
  <si>
    <t>5. Compras</t>
  </si>
  <si>
    <t>6. Saldo bancário</t>
  </si>
  <si>
    <t>7. Bikes montadas</t>
  </si>
  <si>
    <t>8. Bikes faturadas</t>
  </si>
  <si>
    <t>PRODUTIVIDADE FATURAMENTO BRUTO/DESPESAS COM FUNCIONÁRIOS</t>
  </si>
  <si>
    <t>RESUMO GOTT</t>
  </si>
  <si>
    <t>LUCRO</t>
  </si>
  <si>
    <t>LUCRO ACUMULADO</t>
  </si>
  <si>
    <t>CAIXA COM APORTES EXTERNOS</t>
  </si>
  <si>
    <t>CAIXA SEM APORTES EXTERNOS</t>
  </si>
  <si>
    <t>PATRIMONIAL</t>
  </si>
  <si>
    <t>Variação do Saldo Patrimonial</t>
  </si>
  <si>
    <t>Estoque Geral Preço de Venda</t>
  </si>
  <si>
    <t>Nº de Biclicletas a Faturar com o Estoque atual</t>
  </si>
  <si>
    <t>DIFERENÇA ENTRE PAGAMENTOS &amp; CPV</t>
  </si>
  <si>
    <t>FATURAMENTO TOTAL</t>
  </si>
  <si>
    <t>QTDE FATURADA</t>
  </si>
  <si>
    <t>BMX</t>
  </si>
  <si>
    <t>Aro 29 aço 21 Imp (referência)</t>
  </si>
  <si>
    <t>Ara 29 AL 21 Shimano</t>
  </si>
  <si>
    <t>Aro 29 AL 21 Imp</t>
  </si>
  <si>
    <t>Aro 29 AL 24 Shimano Imp</t>
  </si>
  <si>
    <t>Aro 29 AL 24 Shimano DNTTRS</t>
  </si>
  <si>
    <t>Aro 29 AL 21 Shimano DNTTRS</t>
  </si>
  <si>
    <t>Ara 29 AL 24 Imp</t>
  </si>
  <si>
    <t>Aro 29 aço 21 Imp c/ Suspensão (Nova)</t>
  </si>
  <si>
    <t>FATURAMENTO GOTT</t>
  </si>
  <si>
    <t>Aro 29 AL 21 Shimano</t>
  </si>
  <si>
    <t>Aro 29 AL 24 Imp</t>
  </si>
  <si>
    <t>FATURAMENTO VIVER DE MARKETING</t>
  </si>
  <si>
    <t>GOTT DEMONSTRATIVO DE RESULTADOS</t>
  </si>
  <si>
    <t>fev/26</t>
  </si>
  <si>
    <t>mar/26</t>
  </si>
  <si>
    <t>A.H.</t>
  </si>
  <si>
    <t>(+) FATURAMENTO BRUTO</t>
  </si>
  <si>
    <t>(-) IMPOSTOS S/ VENDAS</t>
  </si>
  <si>
    <t>(-) DEVOLUÇÕES</t>
  </si>
  <si>
    <t>(-) DESPESAS COM TRANSPORTE</t>
  </si>
  <si>
    <t xml:space="preserve">      TRANSPORTE - PAGAMENTO ENTREGA</t>
  </si>
  <si>
    <t xml:space="preserve">      TRANSPORTE - PAGAMENTO FRETE</t>
  </si>
  <si>
    <t xml:space="preserve">      FRETE DE SAÍDA</t>
  </si>
  <si>
    <t>(-) RECEITA OPERACIONAL LÍQUIDA</t>
  </si>
  <si>
    <t>(-) CUSTOS VARIÁVEIS OPERACIONAIS</t>
  </si>
  <si>
    <t>(-) CUSTO DOS PRODUTOS VENDIDOS</t>
  </si>
  <si>
    <t>(-) DESPESAS DE VENDA</t>
  </si>
  <si>
    <t xml:space="preserve">     COMISSÕES AFILIADOS</t>
  </si>
  <si>
    <t xml:space="preserve">     ANYMARKET TAXAS</t>
  </si>
  <si>
    <t xml:space="preserve">     ADS MAGALU</t>
  </si>
  <si>
    <t xml:space="preserve">     ADS SHOPEE</t>
  </si>
  <si>
    <t xml:space="preserve">     ADS TIKTOK</t>
  </si>
  <si>
    <t xml:space="preserve">     REEMBOLSO SAC</t>
  </si>
  <si>
    <t>(=) MARGEM DE CONTRIBUIÇÃO</t>
  </si>
  <si>
    <t>(-) CUSTOS FIXOS OPERACIONAIS</t>
  </si>
  <si>
    <t>(=) RESULTADO OPERACIONAL</t>
  </si>
  <si>
    <t>(-) IMPOSTO SOBRE O LUCRO</t>
  </si>
  <si>
    <t>(=) RESULTADO APÓS IMPOSTO SOBRE O LUCRO</t>
  </si>
  <si>
    <t>(-) DESPESAS NÃO OPERACIONAIS</t>
  </si>
  <si>
    <t>(+) RECEITAS NÃO OPERACIONAIS</t>
  </si>
  <si>
    <t>(=) RESULTADO APÓS DESPESAS E RECEITAS NÃO OPERACIONAIS</t>
  </si>
  <si>
    <t>(-) INVESTIMENTOS</t>
  </si>
  <si>
    <t>(-) AMORTIZAÇÕES</t>
  </si>
  <si>
    <t>(=) RESULTADO ANTES DAS DISTRIBUIÇÕES</t>
  </si>
  <si>
    <t>(-) DISTRIBUIÇÃO DE LUCROS &amp; OUTROS</t>
  </si>
  <si>
    <t xml:space="preserve">      DISTRIBUIÇÃO DE LUCROS</t>
  </si>
  <si>
    <t xml:space="preserve">      GRAN RESIDENCE</t>
  </si>
  <si>
    <t xml:space="preserve">      TERRENO LINHAM</t>
  </si>
  <si>
    <t xml:space="preserve">      PROJETO CASAS CONSTRUIR</t>
  </si>
  <si>
    <t>(=) RESULTADO APÓS DISTRIBUIÇÕES</t>
  </si>
  <si>
    <t>(=) PONTO DE EQUILÍBRIO GERENCIAL</t>
  </si>
  <si>
    <t>(=) PONTO DE EQUILÍBRIO OPERACIONAL</t>
  </si>
  <si>
    <t>GOTT DEMONSTRATIVO DE FLUXO DE CAIXA</t>
  </si>
  <si>
    <t>abr/26</t>
  </si>
  <si>
    <t>(+) ENTRADAS OPERACIONAIS BRUTAS</t>
  </si>
  <si>
    <t xml:space="preserve">      RECEITA DE VENDA </t>
  </si>
  <si>
    <t xml:space="preserve">     ICMS SC</t>
  </si>
  <si>
    <t xml:space="preserve">     ICMS SP</t>
  </si>
  <si>
    <t xml:space="preserve">     PIS</t>
  </si>
  <si>
    <t xml:space="preserve">     COFINS</t>
  </si>
  <si>
    <t xml:space="preserve">     DIFAL</t>
  </si>
  <si>
    <t xml:space="preserve">     FUNDO EDUCAÇÃO SC</t>
  </si>
  <si>
    <t xml:space="preserve">     FUNDO SOCIAL SC</t>
  </si>
  <si>
    <t xml:space="preserve">     SIMPLES NACIONAL</t>
  </si>
  <si>
    <t xml:space="preserve">     OUTROS IMPOSTOS</t>
  </si>
  <si>
    <t xml:space="preserve">     (-) EM ABERTO</t>
  </si>
  <si>
    <t>(-) PAGAMENTOS DOS CUSTOS VARIÁVEIS OPERACIONAIS</t>
  </si>
  <si>
    <t>(-) PAGAMENTOS DAS MERCADORIAS VENDIDAS</t>
  </si>
  <si>
    <t xml:space="preserve">      PEÇAS</t>
  </si>
  <si>
    <t xml:space="preserve">      EMBALAGENS</t>
  </si>
  <si>
    <t xml:space="preserve">      MONTAGEM DE RODAS</t>
  </si>
  <si>
    <t xml:space="preserve">      FRETE ENTRADA</t>
  </si>
  <si>
    <t>(-) CUSTOS INDUSTRIAIS</t>
  </si>
  <si>
    <t xml:space="preserve">     (-) CUSTOS INDUSTRIAIS</t>
  </si>
  <si>
    <t xml:space="preserve">          FERRAMENTAS PARA MANUTENÇÃO</t>
  </si>
  <si>
    <t xml:space="preserve">          EMPILHADEIRA</t>
  </si>
  <si>
    <t>(-) GASTOS COM SÓCIOS</t>
  </si>
  <si>
    <t xml:space="preserve">     (-) RETIRADAS</t>
  </si>
  <si>
    <t xml:space="preserve">          PRÓ LABORE </t>
  </si>
  <si>
    <t>(-) DESPESAS COM FUNCIONARIOS</t>
  </si>
  <si>
    <t xml:space="preserve">     (-) REMUNERAÇÃO</t>
  </si>
  <si>
    <t xml:space="preserve">          SALÁRIOS</t>
  </si>
  <si>
    <t xml:space="preserve">          VALES</t>
  </si>
  <si>
    <t xml:space="preserve">          ADIANTAMENTO SALARIAL</t>
  </si>
  <si>
    <t xml:space="preserve">          DIÁRIAS</t>
  </si>
  <si>
    <t xml:space="preserve">          AJUDA DE CUSTO FUNCIONÁRIO</t>
  </si>
  <si>
    <t xml:space="preserve">          BONIFICAÇÃO</t>
  </si>
  <si>
    <t xml:space="preserve">          13 SALARIO</t>
  </si>
  <si>
    <t xml:space="preserve">          RESCISÕES</t>
  </si>
  <si>
    <t xml:space="preserve">          FUNDO PENITENCIÁRIO</t>
  </si>
  <si>
    <t xml:space="preserve">     (-) ENCARGOS SOCIAIS</t>
  </si>
  <si>
    <t xml:space="preserve">          INSS</t>
  </si>
  <si>
    <t xml:space="preserve">          FGTS</t>
  </si>
  <si>
    <t xml:space="preserve">          IRPF</t>
  </si>
  <si>
    <t xml:space="preserve">     (-) BENEFÍCIOS</t>
  </si>
  <si>
    <t xml:space="preserve">          TICKET ALIMENTAÇÃO</t>
  </si>
  <si>
    <t xml:space="preserve">          UNIFORMES GOTT</t>
  </si>
  <si>
    <t xml:space="preserve">          ALIMENTAÇÃO</t>
  </si>
  <si>
    <t xml:space="preserve">          SEGURO DE VIDA</t>
  </si>
  <si>
    <t xml:space="preserve">     (-) OUTROS GASTOS COM FUNCIONÁRIOS</t>
  </si>
  <si>
    <t xml:space="preserve">          DESP MEDICINA TRABALHO E CIPA</t>
  </si>
  <si>
    <t xml:space="preserve">          TREINAMENTO DE FUNCIONÁRIO</t>
  </si>
  <si>
    <t xml:space="preserve">          OUTRAS DESP FUNCIONARIOS</t>
  </si>
  <si>
    <t>(-) DESPESAS ADMINISTRATIVAS</t>
  </si>
  <si>
    <t xml:space="preserve">     (-) GASTOS COM OCUPAÇÃO</t>
  </si>
  <si>
    <t xml:space="preserve">          COPEL</t>
  </si>
  <si>
    <t xml:space="preserve">          TELEFONIA</t>
  </si>
  <si>
    <t xml:space="preserve">          SANEPAR</t>
  </si>
  <si>
    <t xml:space="preserve">          SERVIÇOS DE SEGURANÇA</t>
  </si>
  <si>
    <t xml:space="preserve">          MANUTENÇÃO PREDIAL</t>
  </si>
  <si>
    <t xml:space="preserve">          ALUGUEL</t>
  </si>
  <si>
    <t xml:space="preserve">          INTERNET</t>
  </si>
  <si>
    <t xml:space="preserve">    (-) DESPESAS COM TECNOLOGIA</t>
  </si>
  <si>
    <t xml:space="preserve">         ERP</t>
  </si>
  <si>
    <t xml:space="preserve">         INTELIPOST</t>
  </si>
  <si>
    <t xml:space="preserve">         PREDIZE</t>
  </si>
  <si>
    <t xml:space="preserve">         EQUIPAMENTOS DE INFORMÁTICA</t>
  </si>
  <si>
    <t xml:space="preserve">         ASSINATURAS</t>
  </si>
  <si>
    <t xml:space="preserve">         T.I</t>
  </si>
  <si>
    <t xml:space="preserve">    (-) DESPESAS COM SERVIÇO DE TERCEIROS</t>
  </si>
  <si>
    <t xml:space="preserve">         CONTABILIDADE</t>
  </si>
  <si>
    <t xml:space="preserve">         MARCAS E PATENTES</t>
  </si>
  <si>
    <t xml:space="preserve">         SERVIÇO TERCEIRIZADO</t>
  </si>
  <si>
    <t xml:space="preserve">         RECRUTAMENTO</t>
  </si>
  <si>
    <t xml:space="preserve">         DESIGNER GRAFICO</t>
  </si>
  <si>
    <t xml:space="preserve">         CONSULTORIAS</t>
  </si>
  <si>
    <t xml:space="preserve">         TRADE DE IMPORTAÇÃO</t>
  </si>
  <si>
    <t xml:space="preserve">         HONORÁRIOS ADVOGATÍCIOS</t>
  </si>
  <si>
    <t xml:space="preserve">    (-) DESPESAS COM MATERIAIS DE CONSUMO</t>
  </si>
  <si>
    <t xml:space="preserve">          MATERIAL DE ESCRITÓRIO</t>
  </si>
  <si>
    <t xml:space="preserve">          DESPESAS DIVERSAS</t>
  </si>
  <si>
    <t xml:space="preserve">          MATERIAIS DE USO E CONSUMO</t>
  </si>
  <si>
    <t xml:space="preserve">          MOSTRUARIO / CATALOGO</t>
  </si>
  <si>
    <t xml:space="preserve">    (-) OUTROS GASTOS ADMINISTRATIVOS</t>
  </si>
  <si>
    <t xml:space="preserve">          SEGUROS</t>
  </si>
  <si>
    <t xml:space="preserve">          CONFRATERNIZAÇÃO</t>
  </si>
  <si>
    <t xml:space="preserve">          ALVARÁ</t>
  </si>
  <si>
    <t xml:space="preserve">          IMPOSTOS E TAXAS</t>
  </si>
  <si>
    <t xml:space="preserve">          CFR</t>
  </si>
  <si>
    <t xml:space="preserve">          ISS</t>
  </si>
  <si>
    <t xml:space="preserve">          REEMBOLSO</t>
  </si>
  <si>
    <t xml:space="preserve">          OUTRAS DESPESAS ADMINISTRATIVAS</t>
  </si>
  <si>
    <t>(-) INVESTIMENTOS EM MARKETING</t>
  </si>
  <si>
    <t xml:space="preserve">     DESP DE MARKETING E PROPAGANDA</t>
  </si>
  <si>
    <t xml:space="preserve">     MARKETING COM PRODUTOS</t>
  </si>
  <si>
    <t xml:space="preserve">     LANÇAMENTO DE PRODUTOS</t>
  </si>
  <si>
    <t xml:space="preserve">     AGENTES DE AFILIADOS</t>
  </si>
  <si>
    <t>(-) DESPESAS COM VEÍCULOS</t>
  </si>
  <si>
    <t xml:space="preserve">          COMBUSTÍVEL</t>
  </si>
  <si>
    <t xml:space="preserve">          DESPESAS MANUTENCAO VEICULOS</t>
  </si>
  <si>
    <t xml:space="preserve">          SEGURO DE VEICULOS</t>
  </si>
  <si>
    <t xml:space="preserve">          DETRAN</t>
  </si>
  <si>
    <t xml:space="preserve">          ESTACIONAMENTO</t>
  </si>
  <si>
    <t xml:space="preserve">          MULTAS VEICULOS</t>
  </si>
  <si>
    <t xml:space="preserve">          RASTREAMENTO VIA SATELITE</t>
  </si>
  <si>
    <t>(-) DESPESAS DE VIAGEM</t>
  </si>
  <si>
    <t xml:space="preserve">          DESPESAS DE VIAGEM</t>
  </si>
  <si>
    <t>(-) DESPESAS FINANCEIRAS</t>
  </si>
  <si>
    <t xml:space="preserve">          TX. BANCÁRIA</t>
  </si>
  <si>
    <t xml:space="preserve">          JUROS DE CONTAS PAGAS EM ATRASO</t>
  </si>
  <si>
    <t xml:space="preserve">           JUROS CHEQUE ESPECIAL</t>
  </si>
  <si>
    <t>(-) DESPESAS TRIBUTÁRIAS</t>
  </si>
  <si>
    <t xml:space="preserve">          OUTRAS TAXAS E IMPOSTOS</t>
  </si>
  <si>
    <t>(+) RECEITAS FINANCEIRAS</t>
  </si>
  <si>
    <t xml:space="preserve">          RECEITA DE JUROS</t>
  </si>
  <si>
    <t xml:space="preserve">          DESCONTO OBTIDO</t>
  </si>
  <si>
    <t xml:space="preserve">          CSLL </t>
  </si>
  <si>
    <t xml:space="preserve">          IRPJ</t>
  </si>
  <si>
    <t xml:space="preserve">          PAGAMENTO DE EMPRÉSTIMOS </t>
  </si>
  <si>
    <t xml:space="preserve">          AJUSTE SALDO ENTRADA</t>
  </si>
  <si>
    <t xml:space="preserve">          RECEBIMENTO DE EMPRÉSTIMO ADONAI</t>
  </si>
  <si>
    <t xml:space="preserve">          RECEBIMENTO EMPRESTIMOS CONCEDIDOS</t>
  </si>
  <si>
    <t xml:space="preserve">          EMPRESTIMO / FINANC. REALIZADO</t>
  </si>
  <si>
    <t xml:space="preserve">          RECUPERAÇÃO DE DESPESAS</t>
  </si>
  <si>
    <t xml:space="preserve">          COMPRA DE MÁQUINA</t>
  </si>
  <si>
    <t xml:space="preserve">          COMPRA DE EQUIPAMENTO</t>
  </si>
  <si>
    <t xml:space="preserve">          COMPRA DE VEICULO</t>
  </si>
  <si>
    <t xml:space="preserve">          COMPRA DE MÓVEIS E UTENSÍLIOS</t>
  </si>
  <si>
    <t xml:space="preserve">          INSTALACOES</t>
  </si>
  <si>
    <t xml:space="preserve">          APLICAÇÃO FINANCEIRA</t>
  </si>
  <si>
    <t xml:space="preserve">          INVESTIMENTOS</t>
  </si>
  <si>
    <t xml:space="preserve">          PAGAMENTO EMPRÉSTIMO REALIZADO</t>
  </si>
  <si>
    <t xml:space="preserve">          TRABALHISTA</t>
  </si>
  <si>
    <t xml:space="preserve">          SIMPLES NACIONAL PARCELAMENTO</t>
  </si>
  <si>
    <t xml:space="preserve">          AMORTIZAÇÃO FELIPE </t>
  </si>
  <si>
    <t>FLUXO DE CAIXA (ENTRADAS - SAÍDAS)</t>
  </si>
  <si>
    <t>ENTRADAS NO MÊS</t>
  </si>
  <si>
    <t>SAÍDAS NO MÊS</t>
  </si>
  <si>
    <t xml:space="preserve">      TRANSFERÊNCIA SICREDI PARA BRADESCO</t>
  </si>
  <si>
    <t>Balanço Patrimonial GOTT</t>
  </si>
  <si>
    <t>Grafico linha</t>
  </si>
  <si>
    <t>(+) Estoque Geral Preço de Custo</t>
  </si>
  <si>
    <t>Estoques</t>
  </si>
  <si>
    <t>diminuíram</t>
  </si>
  <si>
    <t xml:space="preserve">        Estoque de Peças</t>
  </si>
  <si>
    <t xml:space="preserve">        Estoque de P.A.</t>
  </si>
  <si>
    <t xml:space="preserve">        Estoque de P.A. no Full</t>
  </si>
  <si>
    <t>(+) Disponibilidades</t>
  </si>
  <si>
    <t>Disponibilidades</t>
  </si>
  <si>
    <t>aumentaram</t>
  </si>
  <si>
    <t xml:space="preserve">        Caixinha</t>
  </si>
  <si>
    <t xml:space="preserve">        Bradesco</t>
  </si>
  <si>
    <t xml:space="preserve">        Sicredi agência 0723 c/c 70.636-3</t>
  </si>
  <si>
    <t xml:space="preserve">        Empréstimo Adonai</t>
  </si>
  <si>
    <t xml:space="preserve">        Empréstimo Feedstock</t>
  </si>
  <si>
    <t>(+) Contas a Receber</t>
  </si>
  <si>
    <t>Contas a Receber</t>
  </si>
  <si>
    <t xml:space="preserve">        Contas a Receber em Atraso</t>
  </si>
  <si>
    <t xml:space="preserve">        Contas a Receber a Vencer</t>
  </si>
  <si>
    <t>(=) Total de Ativos</t>
  </si>
  <si>
    <t>Ativos</t>
  </si>
  <si>
    <t>diminuiram</t>
  </si>
  <si>
    <t>(-) Contas a Pagar DDA</t>
  </si>
  <si>
    <t>Contas a Pagar</t>
  </si>
  <si>
    <t>(=) Saldo Patrimonial</t>
  </si>
  <si>
    <t>Saldo Patrimonial</t>
  </si>
  <si>
    <t>diminuiu</t>
  </si>
  <si>
    <t>Variação das Disponibilidades</t>
  </si>
  <si>
    <t>(=) Faturamento Gerencial</t>
  </si>
  <si>
    <t>(=) Faturamento Contábil</t>
  </si>
  <si>
    <t>(=) Fat. Contábil/Fat. Gerencial</t>
  </si>
  <si>
    <t>CMV = Est. Inicial + Compras - Est. Final</t>
  </si>
  <si>
    <t>Custo da Mercadoria Vendida (R$)</t>
  </si>
  <si>
    <t>(+) Estoque inicial (R$)</t>
  </si>
  <si>
    <t>(+) Compras (R$)</t>
  </si>
  <si>
    <t>(-) Estoque Final (R$)</t>
  </si>
  <si>
    <t>Custo dos Produtos Vendidos (R$) - CPV Ficha Técnica</t>
  </si>
  <si>
    <t>Giro de Estoque Geral em Dias</t>
  </si>
  <si>
    <t xml:space="preserve">Giro de Estoque Geral </t>
  </si>
  <si>
    <t>Estoque inicial (R$)</t>
  </si>
  <si>
    <t>Estoque Final (R$)</t>
  </si>
  <si>
    <t>Estoque Médio (R$)</t>
  </si>
  <si>
    <t>Giro de Estoque Peças em Dias</t>
  </si>
  <si>
    <t>Giro de Estoque Peças</t>
  </si>
  <si>
    <t>CG = Estoque + Saldos bancários + Contas a Receber - Contas a Pagar</t>
  </si>
  <si>
    <t>Capital de Giro disponível</t>
  </si>
  <si>
    <t>Número de Funcionários</t>
  </si>
  <si>
    <t>TOTAL</t>
  </si>
  <si>
    <t>PRODUÇÃO</t>
  </si>
  <si>
    <t>KITs MONTADOS</t>
  </si>
  <si>
    <t>AÇO</t>
  </si>
  <si>
    <t>AÇO VORTEX</t>
  </si>
  <si>
    <t>AÇO SUPENSÃO</t>
  </si>
  <si>
    <t>AL 21v</t>
  </si>
  <si>
    <t>AL 24v</t>
  </si>
  <si>
    <t>SHIMANO</t>
  </si>
  <si>
    <t>NÃO CONFORMIDADES</t>
  </si>
  <si>
    <t>08/01/2026</t>
  </si>
  <si>
    <t>09/01/2026</t>
  </si>
  <si>
    <t>12/01/2026</t>
  </si>
  <si>
    <t>13/01/2026</t>
  </si>
  <si>
    <t>Falta de peças</t>
  </si>
  <si>
    <t>14/01/2026</t>
  </si>
  <si>
    <t>Faltaram 2 pessoas da equipe de montagem de kits</t>
  </si>
  <si>
    <t>15/01/2026</t>
  </si>
  <si>
    <t>16/01/2026</t>
  </si>
  <si>
    <t>Início da tranferência de kits finalizados para o estoque de peças</t>
  </si>
  <si>
    <t>19/01/2026</t>
  </si>
  <si>
    <t>Falta de mão de obra</t>
  </si>
  <si>
    <t>20/01/2026</t>
  </si>
  <si>
    <t>21/01/2026</t>
  </si>
  <si>
    <t>22/01/2026</t>
  </si>
  <si>
    <t>23/01/2026</t>
  </si>
  <si>
    <t>26/01/2026</t>
  </si>
  <si>
    <t>27/01/2026</t>
  </si>
  <si>
    <t>29/01/2026</t>
  </si>
  <si>
    <t>MÉDIA jan/26</t>
  </si>
  <si>
    <t>KITS</t>
  </si>
  <si>
    <t>FATURAMENTO ATÉ 19/01/2026</t>
  </si>
  <si>
    <t>QTDE</t>
  </si>
  <si>
    <t>PROJEÇÃO jan/26</t>
  </si>
  <si>
    <t xml:space="preserve">Aro 29 aço 21 Imp </t>
  </si>
  <si>
    <t xml:space="preserve">Ara 29 AL 21 Shimano </t>
  </si>
  <si>
    <t xml:space="preserve">Aro 29 AL 21 Shimano DNTTRS </t>
  </si>
  <si>
    <t xml:space="preserve">Ara 29 AL 24 Imp </t>
  </si>
  <si>
    <t xml:space="preserve">Aro 29 aço 21 Imp c/ Suspensão (Nova) </t>
  </si>
  <si>
    <t>ESTOQUE PULMÃO</t>
  </si>
  <si>
    <t>KITs ESTOCADOS</t>
  </si>
  <si>
    <t>28/01/2026</t>
  </si>
  <si>
    <t>PULMÃO</t>
  </si>
  <si>
    <t xml:space="preserve">Estoque de Peças </t>
  </si>
  <si>
    <t>Posição final último dia do mês</t>
  </si>
  <si>
    <t>30/10/2025</t>
  </si>
  <si>
    <t>ANF000125</t>
  </si>
  <si>
    <t>Estoque de Produto Acabado na Fábrica</t>
  </si>
  <si>
    <t>04/12/2025</t>
  </si>
  <si>
    <t>ANF000126</t>
  </si>
  <si>
    <t>Estoque de Produto Acabado por operação Full</t>
  </si>
  <si>
    <t>05/01/2026</t>
  </si>
  <si>
    <t>ANF000127</t>
  </si>
  <si>
    <t>Saldo bancário Sicredi 0723 c/c 70636-3</t>
  </si>
  <si>
    <t>ANF000139</t>
  </si>
  <si>
    <t>Conta a pagar DDA</t>
  </si>
  <si>
    <t>Lançamento de contas a pagar na planilha</t>
  </si>
  <si>
    <t>Entrada de pagamentos no mês (receitas)</t>
  </si>
  <si>
    <t>Somatório do mês</t>
  </si>
  <si>
    <t>Contas a receber</t>
  </si>
  <si>
    <t>Faturamento Bruto Gerencial</t>
  </si>
  <si>
    <t>Mensal</t>
  </si>
  <si>
    <t>Compra no mês (solicitação de compras)</t>
  </si>
  <si>
    <t>Margem de Contribuição</t>
  </si>
  <si>
    <t>Custo dos Produtos Vendidos</t>
  </si>
  <si>
    <t>Dias de estoque</t>
  </si>
  <si>
    <t>Necessidade de compra</t>
  </si>
  <si>
    <t>Estoque mínimo de peças/bike</t>
  </si>
  <si>
    <t>DATA</t>
  </si>
  <si>
    <t>AÇÃO</t>
  </si>
  <si>
    <t>ANÁLISE</t>
  </si>
  <si>
    <t>Iniciamos aplicação da Reoria das Restrições</t>
  </si>
  <si>
    <t>Cinco Passos Focais (Five Focusing Steps): 1. Identificar a restrição. 2. Explorar a restrição (maximizar seu uso). 3. Subordinar tudo à restrição. 4. Elevar a restrição (aumentar sua capacidade). 5. Repetir o ciclo (evitar inércia).</t>
  </si>
  <si>
    <t>Criada a estação 1, que será responsável pelas montagens de pré kits e kits</t>
  </si>
  <si>
    <t>Mudança de layout das meses e redistribuições de funções</t>
  </si>
  <si>
    <t>Comprado 100 caixas plásticas para armazenamento e transporte de pré kits</t>
  </si>
  <si>
    <t>Objetivo de organização e facilitação de contagem de estoques.</t>
  </si>
  <si>
    <t>Início da medição diária de pré kits e kits montados</t>
  </si>
  <si>
    <t>O que é medido pode ser gerenciado.</t>
  </si>
  <si>
    <t>Montar o organograma</t>
  </si>
  <si>
    <t>Sistema ERP</t>
  </si>
  <si>
    <t>Caixas plásticas</t>
  </si>
  <si>
    <t>Carrinhos</t>
  </si>
  <si>
    <t>ASTEC</t>
  </si>
  <si>
    <t>Pontuação nos ecommerces</t>
  </si>
  <si>
    <t>Reclame aqui</t>
  </si>
  <si>
    <t>Compras</t>
  </si>
  <si>
    <t>feito</t>
  </si>
  <si>
    <t>c. pagar vs extrato março</t>
  </si>
  <si>
    <t>atualização dos custos nas fichas técnicas</t>
  </si>
  <si>
    <t>emito relatório de estoque</t>
  </si>
  <si>
    <t>levantamento do est. full</t>
  </si>
  <si>
    <t>FINANCIAMENTO VINICIUS</t>
  </si>
  <si>
    <t>Valor</t>
  </si>
  <si>
    <t>C52321808</t>
  </si>
  <si>
    <t>Pix De Viver De Marketplace Comercio Ltda</t>
  </si>
  <si>
    <t>Pix De Viver De Marketplace</t>
  </si>
  <si>
    <t>SEGURO MAPFRE BMW</t>
  </si>
  <si>
    <t>Mapfre Pcl1de12</t>
  </si>
  <si>
    <t>Mapfre Pcl2de12</t>
  </si>
  <si>
    <t>Mapfre Pcl3de12</t>
  </si>
  <si>
    <t>Mapfre Pcl4de12</t>
  </si>
  <si>
    <t>Mapfre Pcl5de12</t>
  </si>
  <si>
    <t>Mapfre Pcl6de12</t>
  </si>
  <si>
    <t>Mapfre Pcl8de12</t>
  </si>
  <si>
    <t>CONSORCIO</t>
  </si>
  <si>
    <t>MONTAGEM DE BICICLETAS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</si>
</sst>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dd\ dd/mm/yy"/>
    <numFmt numFmtId="165" formatCode="mm/yyyy"/>
    <numFmt numFmtId="166" formatCode="#,##0.00_ ;[Red]\-#,##0.00\ "/>
    <numFmt numFmtId="167" formatCode="ddd\ dd/mm/yyyy"/>
    <numFmt numFmtId="168" formatCode="#,##0_ ;[Red]\-#,##0\ "/>
    <numFmt numFmtId="169" formatCode="&quot;R$&quot;\ #,##0.00"/>
    <numFmt numFmtId="170" formatCode="ddd"/>
    <numFmt numFmtId="171" formatCode="dddd"/>
    <numFmt numFmtId="172" formatCode="[$-F800]dddd\,\ mmmm\ dd\,\ yyyy"/>
    <numFmt numFmtId="173" formatCode="mmm"/>
    <numFmt numFmtId="174" formatCode="&quot;R$&quot;#,##0.00_);[Red]\(&quot;R$&quot;#,##0.00\)"/>
    <numFmt numFmtId="175" formatCode="_-[$R$-416]\ * #,##0.00_-;\-[$R$-416]\ * #,##0.00_-;_-[$R$-416]\ * &quot;-&quot;??_-;_-@_-"/>
    <numFmt numFmtId="176" formatCode="_-* #,##0_-;\-* #,##0_-;_-* &quot;-&quot;??_-;_-@_-"/>
  </numFmts>
  <fonts count="5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0"/>
      <color theme="0"/>
      <name val="Calibri"/>
      <family val="2"/>
    </font>
    <font>
      <sz val="10"/>
      <color theme="1"/>
      <name val="Calibri"/>
      <family val="2"/>
    </font>
    <font>
      <sz val="8"/>
      <name val="Aptos Narrow"/>
      <family val="2"/>
      <scheme val="minor"/>
    </font>
    <font>
      <i/>
      <sz val="10"/>
      <color rgb="FFFF0000"/>
      <name val="Calibri"/>
      <family val="2"/>
    </font>
    <font>
      <sz val="10"/>
      <name val="Calibri"/>
      <family val="2"/>
    </font>
    <font>
      <sz val="11"/>
      <color theme="0"/>
      <name val="Aptos Narrow"/>
      <family val="2"/>
      <scheme val="minor"/>
    </font>
    <font>
      <sz val="10"/>
      <color theme="3" tint="0.249977111117893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0"/>
      <color rgb="FF215C98"/>
      <name val="Calibri"/>
      <family val="2"/>
    </font>
    <font>
      <sz val="10"/>
      <color rgb="FF215C98"/>
      <name val="Aptos Narrow"/>
      <family val="2"/>
    </font>
    <font>
      <sz val="10"/>
      <name val="Arial"/>
      <family val="2"/>
    </font>
    <font>
      <i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7"/>
      <color rgb="FF000000"/>
      <name val="Aptos Narrow"/>
      <family val="2"/>
    </font>
    <font>
      <sz val="10"/>
      <color theme="1"/>
      <name val="Calibri"/>
      <family val="2"/>
    </font>
    <font>
      <b/>
      <i/>
      <sz val="10"/>
      <color rgb="FFFF0000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Aptos Narrow"/>
      <family val="2"/>
    </font>
    <font>
      <b/>
      <i/>
      <sz val="11"/>
      <color theme="1"/>
      <name val="Aptos Narrow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sz val="11"/>
      <color theme="0"/>
      <name val="Aptos Narrow"/>
      <family val="2"/>
    </font>
    <font>
      <strike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i/>
      <strike/>
      <sz val="11"/>
      <color rgb="FFFF0000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0"/>
      <name val="Aptos Narrow"/>
      <scheme val="minor"/>
    </font>
    <font>
      <i/>
      <sz val="11"/>
      <color theme="0"/>
      <name val="Aptos Narrow"/>
      <scheme val="minor"/>
    </font>
    <font>
      <i/>
      <sz val="16"/>
      <color theme="0"/>
      <name val="Aptos Narrow"/>
      <scheme val="minor"/>
    </font>
    <font>
      <i/>
      <sz val="10"/>
      <color theme="0"/>
      <name val="Aptos Narrow"/>
      <scheme val="minor"/>
    </font>
    <font>
      <sz val="10"/>
      <name val="Arial"/>
    </font>
    <font>
      <sz val="10"/>
      <color theme="1"/>
      <name val="Calibri"/>
    </font>
    <font>
      <sz val="11"/>
      <color rgb="FF000000"/>
      <name val="Calibri"/>
    </font>
    <font>
      <i/>
      <sz val="16"/>
      <color theme="0"/>
      <name val="Aptos Narrow"/>
      <family val="2"/>
      <scheme val="minor"/>
    </font>
    <font>
      <i/>
      <sz val="10"/>
      <color theme="0"/>
      <name val="Aptos Narrow"/>
      <family val="2"/>
      <scheme val="minor"/>
    </font>
    <font>
      <sz val="10"/>
      <color theme="1"/>
      <name val="Arial"/>
    </font>
    <font>
      <sz val="10"/>
      <color theme="0"/>
      <name val="Calibri"/>
    </font>
    <font>
      <sz val="11"/>
      <color rgb="FF000000"/>
      <name val="Arial"/>
      <charset val="1"/>
    </font>
    <font>
      <sz val="11"/>
      <color theme="1"/>
      <name val="Arial"/>
      <charset val="1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83D3B"/>
        <bgColor indexed="64"/>
      </patternFill>
    </fill>
    <fill>
      <patternFill patternType="solid">
        <fgColor rgb="FF19727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9FAA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3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/>
      <top/>
      <bottom style="thick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medium">
        <color indexed="9"/>
      </right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8" fillId="0" borderId="0"/>
  </cellStyleXfs>
  <cellXfs count="53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0" fontId="3" fillId="0" borderId="0" xfId="0" applyFont="1"/>
    <xf numFmtId="164" fontId="0" fillId="0" borderId="0" xfId="0" applyNumberFormat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  <xf numFmtId="10" fontId="5" fillId="0" borderId="0" xfId="0" applyNumberFormat="1" applyFont="1"/>
    <xf numFmtId="0" fontId="5" fillId="7" borderId="0" xfId="0" applyFont="1" applyFill="1"/>
    <xf numFmtId="166" fontId="5" fillId="0" borderId="0" xfId="0" applyNumberFormat="1" applyFont="1"/>
    <xf numFmtId="0" fontId="5" fillId="0" borderId="0" xfId="0" applyFont="1" applyAlignment="1">
      <alignment horizontal="center" vertic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10" borderId="0" xfId="0" applyFill="1" applyAlignment="1">
      <alignment horizontal="center"/>
    </xf>
    <xf numFmtId="164" fontId="0" fillId="10" borderId="0" xfId="0" applyNumberFormat="1" applyFill="1" applyAlignment="1">
      <alignment horizontal="left"/>
    </xf>
    <xf numFmtId="164" fontId="0" fillId="10" borderId="0" xfId="0" applyNumberFormat="1" applyFill="1" applyAlignment="1">
      <alignment horizontal="center"/>
    </xf>
    <xf numFmtId="0" fontId="0" fillId="10" borderId="0" xfId="0" applyFill="1"/>
    <xf numFmtId="17" fontId="0" fillId="10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17" fontId="0" fillId="11" borderId="0" xfId="0" applyNumberFormat="1" applyFill="1" applyAlignment="1">
      <alignment horizontal="center"/>
    </xf>
    <xf numFmtId="167" fontId="0" fillId="10" borderId="0" xfId="0" applyNumberFormat="1" applyFill="1" applyAlignment="1">
      <alignment horizontal="center"/>
    </xf>
    <xf numFmtId="165" fontId="0" fillId="10" borderId="0" xfId="0" applyNumberFormat="1" applyFill="1" applyAlignment="1">
      <alignment horizontal="center"/>
    </xf>
    <xf numFmtId="164" fontId="0" fillId="10" borderId="0" xfId="0" applyNumberFormat="1" applyFill="1" applyAlignment="1">
      <alignment horizontal="left" wrapText="1"/>
    </xf>
    <xf numFmtId="10" fontId="4" fillId="3" borderId="4" xfId="0" applyNumberFormat="1" applyFont="1" applyFill="1" applyBorder="1" applyAlignment="1">
      <alignment horizontal="center"/>
    </xf>
    <xf numFmtId="0" fontId="4" fillId="4" borderId="4" xfId="0" applyFont="1" applyFill="1" applyBorder="1"/>
    <xf numFmtId="166" fontId="4" fillId="4" borderId="4" xfId="0" applyNumberFormat="1" applyFont="1" applyFill="1" applyBorder="1"/>
    <xf numFmtId="10" fontId="4" fillId="4" borderId="4" xfId="0" applyNumberFormat="1" applyFont="1" applyFill="1" applyBorder="1"/>
    <xf numFmtId="0" fontId="5" fillId="6" borderId="4" xfId="0" applyFont="1" applyFill="1" applyBorder="1"/>
    <xf numFmtId="0" fontId="5" fillId="13" borderId="4" xfId="0" applyFont="1" applyFill="1" applyBorder="1"/>
    <xf numFmtId="166" fontId="5" fillId="6" borderId="4" xfId="0" applyNumberFormat="1" applyFont="1" applyFill="1" applyBorder="1"/>
    <xf numFmtId="10" fontId="5" fillId="6" borderId="4" xfId="0" applyNumberFormat="1" applyFont="1" applyFill="1" applyBorder="1"/>
    <xf numFmtId="0" fontId="5" fillId="0" borderId="4" xfId="0" applyFont="1" applyBorder="1"/>
    <xf numFmtId="0" fontId="5" fillId="7" borderId="4" xfId="0" applyFont="1" applyFill="1" applyBorder="1"/>
    <xf numFmtId="166" fontId="5" fillId="5" borderId="4" xfId="0" applyNumberFormat="1" applyFont="1" applyFill="1" applyBorder="1"/>
    <xf numFmtId="10" fontId="5" fillId="0" borderId="4" xfId="0" applyNumberFormat="1" applyFont="1" applyBorder="1"/>
    <xf numFmtId="0" fontId="5" fillId="8" borderId="4" xfId="0" applyFont="1" applyFill="1" applyBorder="1"/>
    <xf numFmtId="166" fontId="5" fillId="8" borderId="4" xfId="0" applyNumberFormat="1" applyFont="1" applyFill="1" applyBorder="1"/>
    <xf numFmtId="10" fontId="5" fillId="8" borderId="4" xfId="0" applyNumberFormat="1" applyFont="1" applyFill="1" applyBorder="1"/>
    <xf numFmtId="0" fontId="5" fillId="9" borderId="4" xfId="0" applyFont="1" applyFill="1" applyBorder="1"/>
    <xf numFmtId="166" fontId="5" fillId="9" borderId="4" xfId="0" applyNumberFormat="1" applyFont="1" applyFill="1" applyBorder="1"/>
    <xf numFmtId="10" fontId="5" fillId="9" borderId="4" xfId="0" applyNumberFormat="1" applyFont="1" applyFill="1" applyBorder="1"/>
    <xf numFmtId="166" fontId="5" fillId="0" borderId="4" xfId="0" applyNumberFormat="1" applyFont="1" applyBorder="1"/>
    <xf numFmtId="0" fontId="9" fillId="3" borderId="0" xfId="0" applyFont="1" applyFill="1" applyAlignment="1">
      <alignment horizontal="center" vertical="center"/>
    </xf>
    <xf numFmtId="17" fontId="9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9" fillId="4" borderId="0" xfId="0" applyFont="1" applyFill="1" applyAlignment="1">
      <alignment vertical="center"/>
    </xf>
    <xf numFmtId="166" fontId="9" fillId="4" borderId="0" xfId="0" applyNumberFormat="1" applyFont="1" applyFill="1" applyAlignment="1">
      <alignment vertical="center"/>
    </xf>
    <xf numFmtId="0" fontId="0" fillId="6" borderId="0" xfId="0" applyFill="1" applyAlignment="1">
      <alignment vertical="center"/>
    </xf>
    <xf numFmtId="166" fontId="0" fillId="6" borderId="0" xfId="0" applyNumberFormat="1" applyFill="1" applyAlignment="1">
      <alignment vertical="center"/>
    </xf>
    <xf numFmtId="0" fontId="9" fillId="14" borderId="0" xfId="0" applyFont="1" applyFill="1" applyAlignment="1">
      <alignment vertical="center"/>
    </xf>
    <xf numFmtId="166" fontId="9" fillId="14" borderId="0" xfId="0" applyNumberFormat="1" applyFont="1" applyFill="1" applyAlignment="1">
      <alignment vertical="center"/>
    </xf>
    <xf numFmtId="10" fontId="9" fillId="14" borderId="0" xfId="0" applyNumberFormat="1" applyFont="1" applyFill="1" applyAlignment="1">
      <alignment vertical="center"/>
    </xf>
    <xf numFmtId="0" fontId="0" fillId="9" borderId="0" xfId="0" applyFill="1" applyAlignment="1">
      <alignment vertical="center"/>
    </xf>
    <xf numFmtId="166" fontId="0" fillId="9" borderId="0" xfId="0" applyNumberFormat="1" applyFill="1" applyAlignment="1">
      <alignment vertical="center"/>
    </xf>
    <xf numFmtId="10" fontId="9" fillId="4" borderId="0" xfId="0" applyNumberFormat="1" applyFont="1" applyFill="1" applyAlignment="1">
      <alignment vertical="center"/>
    </xf>
    <xf numFmtId="0" fontId="9" fillId="6" borderId="0" xfId="0" applyFont="1" applyFill="1" applyAlignment="1">
      <alignment vertical="center"/>
    </xf>
    <xf numFmtId="166" fontId="9" fillId="6" borderId="0" xfId="0" applyNumberFormat="1" applyFont="1" applyFill="1" applyAlignment="1">
      <alignment vertical="center"/>
    </xf>
    <xf numFmtId="10" fontId="9" fillId="6" borderId="0" xfId="0" applyNumberFormat="1" applyFont="1" applyFill="1" applyAlignment="1">
      <alignment vertical="center"/>
    </xf>
    <xf numFmtId="0" fontId="0" fillId="5" borderId="0" xfId="0" applyFill="1" applyAlignment="1">
      <alignment vertical="center"/>
    </xf>
    <xf numFmtId="166" fontId="0" fillId="5" borderId="0" xfId="0" applyNumberFormat="1" applyFill="1" applyAlignment="1">
      <alignment vertical="center"/>
    </xf>
    <xf numFmtId="166" fontId="0" fillId="0" borderId="0" xfId="0" applyNumberFormat="1" applyAlignment="1">
      <alignment vertical="center"/>
    </xf>
    <xf numFmtId="168" fontId="0" fillId="0" borderId="0" xfId="0" applyNumberFormat="1" applyAlignment="1">
      <alignment vertical="center"/>
    </xf>
    <xf numFmtId="10" fontId="4" fillId="3" borderId="5" xfId="0" applyNumberFormat="1" applyFont="1" applyFill="1" applyBorder="1" applyAlignment="1">
      <alignment horizontal="center"/>
    </xf>
    <xf numFmtId="10" fontId="4" fillId="4" borderId="5" xfId="0" applyNumberFormat="1" applyFont="1" applyFill="1" applyBorder="1"/>
    <xf numFmtId="10" fontId="5" fillId="0" borderId="5" xfId="0" applyNumberFormat="1" applyFont="1" applyBorder="1"/>
    <xf numFmtId="10" fontId="5" fillId="6" borderId="5" xfId="0" applyNumberFormat="1" applyFont="1" applyFill="1" applyBorder="1"/>
    <xf numFmtId="10" fontId="5" fillId="8" borderId="5" xfId="0" applyNumberFormat="1" applyFont="1" applyFill="1" applyBorder="1"/>
    <xf numFmtId="10" fontId="5" fillId="9" borderId="5" xfId="0" applyNumberFormat="1" applyFont="1" applyFill="1" applyBorder="1"/>
    <xf numFmtId="166" fontId="5" fillId="7" borderId="4" xfId="0" applyNumberFormat="1" applyFont="1" applyFill="1" applyBorder="1"/>
    <xf numFmtId="0" fontId="4" fillId="4" borderId="4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  <xf numFmtId="0" fontId="9" fillId="4" borderId="0" xfId="0" applyFont="1" applyFill="1"/>
    <xf numFmtId="17" fontId="9" fillId="4" borderId="1" xfId="0" applyNumberFormat="1" applyFont="1" applyFill="1" applyBorder="1" applyAlignment="1">
      <alignment horizontal="center"/>
    </xf>
    <xf numFmtId="168" fontId="9" fillId="4" borderId="0" xfId="0" applyNumberFormat="1" applyFont="1" applyFill="1" applyAlignment="1">
      <alignment vertical="center"/>
    </xf>
    <xf numFmtId="164" fontId="0" fillId="0" borderId="0" xfId="0" applyNumberFormat="1" applyAlignment="1">
      <alignment horizontal="center" wrapText="1"/>
    </xf>
    <xf numFmtId="164" fontId="0" fillId="12" borderId="0" xfId="0" applyNumberFormat="1" applyFill="1" applyAlignment="1">
      <alignment horizontal="left"/>
    </xf>
    <xf numFmtId="167" fontId="0" fillId="10" borderId="6" xfId="0" applyNumberFormat="1" applyFill="1" applyBorder="1" applyAlignment="1">
      <alignment horizontal="center"/>
    </xf>
    <xf numFmtId="168" fontId="9" fillId="4" borderId="0" xfId="0" applyNumberFormat="1" applyFont="1" applyFill="1" applyAlignment="1">
      <alignment horizontal="right" vertical="center"/>
    </xf>
    <xf numFmtId="164" fontId="0" fillId="12" borderId="0" xfId="0" applyNumberFormat="1" applyFill="1" applyAlignment="1">
      <alignment horizontal="center"/>
    </xf>
    <xf numFmtId="0" fontId="0" fillId="12" borderId="0" xfId="0" applyFill="1"/>
    <xf numFmtId="168" fontId="9" fillId="4" borderId="0" xfId="0" applyNumberFormat="1" applyFont="1" applyFill="1" applyAlignment="1">
      <alignment horizontal="center" vertical="center"/>
    </xf>
    <xf numFmtId="166" fontId="9" fillId="4" borderId="0" xfId="0" applyNumberFormat="1" applyFont="1" applyFill="1" applyAlignment="1">
      <alignment horizontal="center" vertical="center"/>
    </xf>
    <xf numFmtId="10" fontId="9" fillId="4" borderId="0" xfId="0" applyNumberFormat="1" applyFont="1" applyFill="1" applyAlignment="1">
      <alignment horizontal="right" vertical="center"/>
    </xf>
    <xf numFmtId="166" fontId="9" fillId="14" borderId="0" xfId="0" applyNumberFormat="1" applyFont="1" applyFill="1" applyAlignment="1">
      <alignment horizontal="center" vertical="center"/>
    </xf>
    <xf numFmtId="4" fontId="9" fillId="4" borderId="0" xfId="0" applyNumberFormat="1" applyFont="1" applyFill="1" applyAlignment="1">
      <alignment vertical="center"/>
    </xf>
    <xf numFmtId="164" fontId="0" fillId="10" borderId="7" xfId="0" applyNumberForma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10" borderId="0" xfId="0" applyFill="1" applyAlignment="1">
      <alignment wrapText="1"/>
    </xf>
    <xf numFmtId="166" fontId="5" fillId="13" borderId="4" xfId="0" applyNumberFormat="1" applyFont="1" applyFill="1" applyBorder="1"/>
    <xf numFmtId="167" fontId="0" fillId="2" borderId="6" xfId="0" applyNumberFormat="1" applyFill="1" applyBorder="1" applyAlignment="1">
      <alignment horizontal="center"/>
    </xf>
    <xf numFmtId="0" fontId="0" fillId="0" borderId="0" xfId="0" applyAlignment="1">
      <alignment vertical="center" wrapText="1"/>
    </xf>
    <xf numFmtId="0" fontId="12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4" borderId="1" xfId="0" applyFont="1" applyFill="1" applyBorder="1" applyAlignment="1">
      <alignment horizontal="center" vertical="center" wrapText="1"/>
    </xf>
    <xf numFmtId="17" fontId="12" fillId="4" borderId="1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/>
    <xf numFmtId="168" fontId="13" fillId="0" borderId="1" xfId="0" applyNumberFormat="1" applyFont="1" applyBorder="1"/>
    <xf numFmtId="166" fontId="13" fillId="0" borderId="1" xfId="0" applyNumberFormat="1" applyFont="1" applyBorder="1"/>
    <xf numFmtId="168" fontId="13" fillId="7" borderId="1" xfId="0" applyNumberFormat="1" applyFont="1" applyFill="1" applyBorder="1"/>
    <xf numFmtId="0" fontId="13" fillId="0" borderId="0" xfId="0" applyFont="1"/>
    <xf numFmtId="166" fontId="13" fillId="0" borderId="0" xfId="0" applyNumberFormat="1" applyFont="1"/>
    <xf numFmtId="10" fontId="14" fillId="0" borderId="0" xfId="0" applyNumberFormat="1" applyFont="1" applyAlignment="1">
      <alignment horizont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13" borderId="0" xfId="0" applyFont="1" applyFill="1" applyAlignment="1">
      <alignment horizontal="center"/>
    </xf>
    <xf numFmtId="0" fontId="9" fillId="3" borderId="0" xfId="0" applyFont="1" applyFill="1" applyAlignment="1">
      <alignment vertical="center"/>
    </xf>
    <xf numFmtId="166" fontId="9" fillId="3" borderId="0" xfId="0" applyNumberFormat="1" applyFont="1" applyFill="1" applyAlignment="1">
      <alignment vertical="center"/>
    </xf>
    <xf numFmtId="0" fontId="9" fillId="13" borderId="0" xfId="0" applyFont="1" applyFill="1" applyAlignment="1">
      <alignment vertical="center"/>
    </xf>
    <xf numFmtId="166" fontId="9" fillId="13" borderId="0" xfId="0" applyNumberFormat="1" applyFont="1" applyFill="1" applyAlignment="1">
      <alignment vertical="center"/>
    </xf>
    <xf numFmtId="10" fontId="9" fillId="13" borderId="0" xfId="0" applyNumberFormat="1" applyFont="1" applyFill="1" applyAlignment="1">
      <alignment vertical="center"/>
    </xf>
    <xf numFmtId="10" fontId="9" fillId="14" borderId="0" xfId="0" applyNumberFormat="1" applyFont="1" applyFill="1" applyAlignment="1">
      <alignment horizontal="center" vertical="center"/>
    </xf>
    <xf numFmtId="4" fontId="9" fillId="4" borderId="0" xfId="0" applyNumberFormat="1" applyFont="1" applyFill="1" applyAlignment="1">
      <alignment horizontal="center" vertical="center"/>
    </xf>
    <xf numFmtId="4" fontId="9" fillId="14" borderId="0" xfId="0" applyNumberFormat="1" applyFont="1" applyFill="1" applyAlignment="1">
      <alignment horizontal="center" vertical="center"/>
    </xf>
    <xf numFmtId="10" fontId="9" fillId="4" borderId="0" xfId="0" applyNumberFormat="1" applyFont="1" applyFill="1" applyAlignment="1">
      <alignment horizontal="center" vertical="center"/>
    </xf>
    <xf numFmtId="0" fontId="13" fillId="2" borderId="1" xfId="0" applyFont="1" applyFill="1" applyBorder="1"/>
    <xf numFmtId="168" fontId="13" fillId="2" borderId="1" xfId="0" applyNumberFormat="1" applyFont="1" applyFill="1" applyBorder="1"/>
    <xf numFmtId="166" fontId="13" fillId="2" borderId="1" xfId="0" applyNumberFormat="1" applyFont="1" applyFill="1" applyBorder="1"/>
    <xf numFmtId="168" fontId="12" fillId="13" borderId="9" xfId="0" applyNumberFormat="1" applyFont="1" applyFill="1" applyBorder="1" applyAlignment="1">
      <alignment horizontal="center"/>
    </xf>
    <xf numFmtId="166" fontId="12" fillId="13" borderId="9" xfId="0" applyNumberFormat="1" applyFont="1" applyFill="1" applyBorder="1" applyAlignment="1">
      <alignment horizontal="center"/>
    </xf>
    <xf numFmtId="166" fontId="12" fillId="13" borderId="9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6" borderId="4" xfId="0" applyFont="1" applyFill="1" applyBorder="1" applyAlignment="1">
      <alignment vertical="center"/>
    </xf>
    <xf numFmtId="166" fontId="4" fillId="6" borderId="4" xfId="0" applyNumberFormat="1" applyFont="1" applyFill="1" applyBorder="1" applyAlignment="1">
      <alignment vertical="center"/>
    </xf>
    <xf numFmtId="10" fontId="4" fillId="6" borderId="4" xfId="2" applyNumberFormat="1" applyFont="1" applyFill="1" applyBorder="1" applyAlignment="1">
      <alignment vertical="center"/>
    </xf>
    <xf numFmtId="166" fontId="5" fillId="0" borderId="0" xfId="0" applyNumberFormat="1" applyFont="1" applyAlignment="1">
      <alignment vertical="center"/>
    </xf>
    <xf numFmtId="0" fontId="5" fillId="0" borderId="4" xfId="0" applyFont="1" applyBorder="1" applyAlignment="1">
      <alignment vertical="center"/>
    </xf>
    <xf numFmtId="166" fontId="5" fillId="0" borderId="4" xfId="0" applyNumberFormat="1" applyFont="1" applyBorder="1" applyAlignment="1">
      <alignment vertical="center"/>
    </xf>
    <xf numFmtId="10" fontId="5" fillId="0" borderId="4" xfId="2" applyNumberFormat="1" applyFont="1" applyBorder="1" applyAlignment="1">
      <alignment vertical="center"/>
    </xf>
    <xf numFmtId="166" fontId="5" fillId="7" borderId="4" xfId="0" applyNumberFormat="1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4" fillId="4" borderId="4" xfId="0" applyFont="1" applyFill="1" applyBorder="1" applyAlignment="1">
      <alignment vertical="center"/>
    </xf>
    <xf numFmtId="166" fontId="4" fillId="4" borderId="4" xfId="0" applyNumberFormat="1" applyFont="1" applyFill="1" applyBorder="1" applyAlignment="1">
      <alignment vertical="center"/>
    </xf>
    <xf numFmtId="10" fontId="4" fillId="4" borderId="4" xfId="2" applyNumberFormat="1" applyFont="1" applyFill="1" applyBorder="1" applyAlignment="1">
      <alignment vertical="center"/>
    </xf>
    <xf numFmtId="4" fontId="5" fillId="0" borderId="0" xfId="0" applyNumberFormat="1" applyFont="1" applyAlignment="1">
      <alignment vertical="center"/>
    </xf>
    <xf numFmtId="4" fontId="4" fillId="4" borderId="4" xfId="0" applyNumberFormat="1" applyFont="1" applyFill="1" applyBorder="1" applyAlignment="1">
      <alignment vertical="center"/>
    </xf>
    <xf numFmtId="10" fontId="5" fillId="2" borderId="0" xfId="2" applyNumberFormat="1" applyFont="1" applyFill="1" applyAlignment="1">
      <alignment horizontal="center" vertical="center"/>
    </xf>
    <xf numFmtId="166" fontId="7" fillId="0" borderId="4" xfId="0" applyNumberFormat="1" applyFont="1" applyBorder="1" applyAlignment="1">
      <alignment vertical="center"/>
    </xf>
    <xf numFmtId="43" fontId="5" fillId="0" borderId="0" xfId="3" applyFont="1" applyAlignment="1">
      <alignment vertical="center"/>
    </xf>
    <xf numFmtId="4" fontId="4" fillId="6" borderId="4" xfId="0" applyNumberFormat="1" applyFont="1" applyFill="1" applyBorder="1" applyAlignment="1">
      <alignment vertical="center"/>
    </xf>
    <xf numFmtId="43" fontId="5" fillId="0" borderId="0" xfId="0" applyNumberFormat="1" applyFont="1" applyAlignment="1">
      <alignment vertical="center"/>
    </xf>
    <xf numFmtId="0" fontId="5" fillId="7" borderId="4" xfId="0" applyFont="1" applyFill="1" applyBorder="1" applyAlignment="1">
      <alignment vertical="center"/>
    </xf>
    <xf numFmtId="10" fontId="5" fillId="7" borderId="4" xfId="2" applyNumberFormat="1" applyFont="1" applyFill="1" applyBorder="1" applyAlignment="1">
      <alignment vertical="center"/>
    </xf>
    <xf numFmtId="166" fontId="8" fillId="7" borderId="4" xfId="0" applyNumberFormat="1" applyFont="1" applyFill="1" applyBorder="1" applyAlignment="1">
      <alignment vertical="center"/>
    </xf>
    <xf numFmtId="10" fontId="5" fillId="0" borderId="4" xfId="0" applyNumberFormat="1" applyFont="1" applyBorder="1" applyAlignment="1">
      <alignment vertical="center"/>
    </xf>
    <xf numFmtId="10" fontId="4" fillId="4" borderId="4" xfId="0" applyNumberFormat="1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168" fontId="5" fillId="2" borderId="4" xfId="0" applyNumberFormat="1" applyFont="1" applyFill="1" applyBorder="1" applyAlignment="1">
      <alignment horizontal="center" vertical="center"/>
    </xf>
    <xf numFmtId="10" fontId="5" fillId="2" borderId="4" xfId="0" applyNumberFormat="1" applyFont="1" applyFill="1" applyBorder="1" applyAlignment="1">
      <alignment vertical="center"/>
    </xf>
    <xf numFmtId="166" fontId="4" fillId="6" borderId="4" xfId="0" applyNumberFormat="1" applyFont="1" applyFill="1" applyBorder="1" applyAlignment="1">
      <alignment horizontal="center" vertical="center"/>
    </xf>
    <xf numFmtId="10" fontId="4" fillId="6" borderId="4" xfId="0" applyNumberFormat="1" applyFont="1" applyFill="1" applyBorder="1" applyAlignment="1">
      <alignment vertical="center"/>
    </xf>
    <xf numFmtId="10" fontId="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vertical="center"/>
    </xf>
    <xf numFmtId="3" fontId="9" fillId="4" borderId="0" xfId="0" applyNumberFormat="1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8" fontId="9" fillId="4" borderId="1" xfId="0" applyNumberFormat="1" applyFont="1" applyFill="1" applyBorder="1" applyAlignment="1">
      <alignment horizontal="center" vertical="center"/>
    </xf>
    <xf numFmtId="168" fontId="9" fillId="4" borderId="1" xfId="0" applyNumberFormat="1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vertical="center"/>
    </xf>
    <xf numFmtId="168" fontId="13" fillId="0" borderId="1" xfId="0" applyNumberFormat="1" applyFont="1" applyBorder="1" applyAlignment="1">
      <alignment horizontal="center"/>
    </xf>
    <xf numFmtId="168" fontId="13" fillId="2" borderId="1" xfId="0" applyNumberFormat="1" applyFont="1" applyFill="1" applyBorder="1" applyAlignment="1">
      <alignment horizontal="center"/>
    </xf>
    <xf numFmtId="168" fontId="13" fillId="7" borderId="1" xfId="0" applyNumberFormat="1" applyFont="1" applyFill="1" applyBorder="1" applyAlignment="1">
      <alignment horizontal="center"/>
    </xf>
    <xf numFmtId="168" fontId="9" fillId="14" borderId="0" xfId="0" applyNumberFormat="1" applyFont="1" applyFill="1" applyAlignment="1">
      <alignment vertical="center"/>
    </xf>
    <xf numFmtId="168" fontId="9" fillId="14" borderId="0" xfId="0" applyNumberFormat="1" applyFont="1" applyFill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166" fontId="0" fillId="0" borderId="0" xfId="0" applyNumberFormat="1"/>
    <xf numFmtId="3" fontId="0" fillId="0" borderId="1" xfId="0" applyNumberFormat="1" applyBorder="1" applyAlignment="1">
      <alignment vertical="center"/>
    </xf>
    <xf numFmtId="3" fontId="9" fillId="4" borderId="1" xfId="0" applyNumberFormat="1" applyFont="1" applyFill="1" applyBorder="1" applyAlignment="1">
      <alignment vertical="center"/>
    </xf>
    <xf numFmtId="0" fontId="9" fillId="4" borderId="1" xfId="0" applyFont="1" applyFill="1" applyBorder="1" applyAlignment="1">
      <alignment vertical="center"/>
    </xf>
    <xf numFmtId="0" fontId="9" fillId="14" borderId="1" xfId="0" applyFont="1" applyFill="1" applyBorder="1" applyAlignment="1">
      <alignment horizontal="center" vertical="center"/>
    </xf>
    <xf numFmtId="168" fontId="9" fillId="14" borderId="1" xfId="0" applyNumberFormat="1" applyFont="1" applyFill="1" applyBorder="1" applyAlignment="1">
      <alignment horizontal="center" vertical="center"/>
    </xf>
    <xf numFmtId="168" fontId="9" fillId="14" borderId="1" xfId="0" applyNumberFormat="1" applyFont="1" applyFill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 wrapText="1"/>
    </xf>
    <xf numFmtId="168" fontId="0" fillId="0" borderId="0" xfId="0" applyNumberFormat="1" applyAlignment="1">
      <alignment vertical="center" wrapText="1"/>
    </xf>
    <xf numFmtId="164" fontId="0" fillId="10" borderId="7" xfId="0" applyNumberFormat="1" applyFill="1" applyBorder="1" applyAlignment="1">
      <alignment horizontal="left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166" fontId="16" fillId="0" borderId="0" xfId="0" applyNumberFormat="1" applyFont="1" applyAlignment="1">
      <alignment vertical="center"/>
    </xf>
    <xf numFmtId="166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5" fillId="16" borderId="4" xfId="0" applyNumberFormat="1" applyFont="1" applyFill="1" applyBorder="1"/>
    <xf numFmtId="0" fontId="18" fillId="10" borderId="0" xfId="0" applyFont="1" applyFill="1" applyAlignment="1">
      <alignment horizontal="left"/>
    </xf>
    <xf numFmtId="4" fontId="4" fillId="4" borderId="4" xfId="0" applyNumberFormat="1" applyFont="1" applyFill="1" applyBorder="1"/>
    <xf numFmtId="0" fontId="19" fillId="0" borderId="0" xfId="0" applyFont="1" applyAlignment="1">
      <alignment vertical="center"/>
    </xf>
    <xf numFmtId="4" fontId="11" fillId="0" borderId="0" xfId="0" applyNumberFormat="1" applyFont="1"/>
    <xf numFmtId="8" fontId="11" fillId="0" borderId="0" xfId="0" applyNumberFormat="1" applyFont="1"/>
    <xf numFmtId="0" fontId="11" fillId="0" borderId="0" xfId="0" applyFont="1"/>
    <xf numFmtId="0" fontId="0" fillId="5" borderId="0" xfId="0" applyFill="1"/>
    <xf numFmtId="14" fontId="0" fillId="5" borderId="0" xfId="0" applyNumberFormat="1" applyFill="1"/>
    <xf numFmtId="8" fontId="0" fillId="5" borderId="0" xfId="0" applyNumberFormat="1" applyFill="1"/>
    <xf numFmtId="0" fontId="0" fillId="5" borderId="0" xfId="0" applyFill="1" applyAlignment="1">
      <alignment wrapText="1"/>
    </xf>
    <xf numFmtId="0" fontId="0" fillId="17" borderId="0" xfId="0" applyFill="1"/>
    <xf numFmtId="14" fontId="0" fillId="17" borderId="0" xfId="0" applyNumberFormat="1" applyFill="1"/>
    <xf numFmtId="8" fontId="0" fillId="17" borderId="0" xfId="0" applyNumberFormat="1" applyFill="1"/>
    <xf numFmtId="0" fontId="0" fillId="18" borderId="0" xfId="0" applyFill="1"/>
    <xf numFmtId="14" fontId="0" fillId="18" borderId="0" xfId="0" applyNumberFormat="1" applyFill="1"/>
    <xf numFmtId="8" fontId="0" fillId="18" borderId="0" xfId="0" applyNumberFormat="1" applyFill="1"/>
    <xf numFmtId="0" fontId="0" fillId="19" borderId="0" xfId="0" applyFill="1"/>
    <xf numFmtId="14" fontId="0" fillId="19" borderId="0" xfId="0" applyNumberFormat="1" applyFill="1"/>
    <xf numFmtId="8" fontId="0" fillId="19" borderId="0" xfId="0" applyNumberFormat="1" applyFill="1"/>
    <xf numFmtId="0" fontId="0" fillId="20" borderId="0" xfId="0" applyFill="1"/>
    <xf numFmtId="14" fontId="0" fillId="20" borderId="0" xfId="0" applyNumberFormat="1" applyFill="1"/>
    <xf numFmtId="8" fontId="0" fillId="20" borderId="0" xfId="0" applyNumberFormat="1" applyFill="1"/>
    <xf numFmtId="0" fontId="0" fillId="21" borderId="0" xfId="0" applyFill="1"/>
    <xf numFmtId="14" fontId="0" fillId="21" borderId="0" xfId="0" applyNumberFormat="1" applyFill="1"/>
    <xf numFmtId="8" fontId="0" fillId="21" borderId="0" xfId="0" applyNumberFormat="1" applyFill="1"/>
    <xf numFmtId="0" fontId="0" fillId="22" borderId="0" xfId="0" applyFill="1"/>
    <xf numFmtId="14" fontId="0" fillId="22" borderId="0" xfId="0" applyNumberFormat="1" applyFill="1"/>
    <xf numFmtId="8" fontId="0" fillId="22" borderId="0" xfId="0" applyNumberFormat="1" applyFill="1"/>
    <xf numFmtId="0" fontId="0" fillId="23" borderId="0" xfId="0" applyFill="1"/>
    <xf numFmtId="14" fontId="0" fillId="23" borderId="0" xfId="0" applyNumberFormat="1" applyFill="1"/>
    <xf numFmtId="8" fontId="0" fillId="23" borderId="0" xfId="0" applyNumberFormat="1" applyFill="1"/>
    <xf numFmtId="10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0" fontId="21" fillId="0" borderId="0" xfId="0" applyFont="1"/>
    <xf numFmtId="164" fontId="0" fillId="0" borderId="0" xfId="0" applyNumberFormat="1" applyAlignment="1">
      <alignment wrapText="1"/>
    </xf>
    <xf numFmtId="166" fontId="22" fillId="0" borderId="0" xfId="0" applyNumberFormat="1" applyFont="1"/>
    <xf numFmtId="0" fontId="12" fillId="3" borderId="0" xfId="0" applyFont="1" applyFill="1" applyAlignment="1">
      <alignment horizontal="center" vertical="center"/>
    </xf>
    <xf numFmtId="17" fontId="12" fillId="3" borderId="0" xfId="0" applyNumberFormat="1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4" borderId="0" xfId="0" applyFont="1" applyFill="1" applyAlignment="1">
      <alignment vertical="center"/>
    </xf>
    <xf numFmtId="166" fontId="12" fillId="4" borderId="0" xfId="0" applyNumberFormat="1" applyFont="1" applyFill="1" applyAlignment="1">
      <alignment vertical="center"/>
    </xf>
    <xf numFmtId="168" fontId="12" fillId="4" borderId="0" xfId="0" applyNumberFormat="1" applyFont="1" applyFill="1" applyAlignment="1">
      <alignment horizontal="center" vertical="center"/>
    </xf>
    <xf numFmtId="166" fontId="5" fillId="24" borderId="4" xfId="0" applyNumberFormat="1" applyFont="1" applyFill="1" applyBorder="1"/>
    <xf numFmtId="0" fontId="13" fillId="0" borderId="1" xfId="0" applyFont="1" applyBorder="1" applyAlignment="1">
      <alignment vertical="center"/>
    </xf>
    <xf numFmtId="166" fontId="13" fillId="0" borderId="1" xfId="0" applyNumberFormat="1" applyFont="1" applyBorder="1" applyAlignment="1">
      <alignment vertical="center"/>
    </xf>
    <xf numFmtId="10" fontId="13" fillId="0" borderId="1" xfId="0" applyNumberFormat="1" applyFont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166" fontId="12" fillId="4" borderId="1" xfId="0" applyNumberFormat="1" applyFont="1" applyFill="1" applyBorder="1" applyAlignment="1">
      <alignment vertical="center"/>
    </xf>
    <xf numFmtId="10" fontId="12" fillId="4" borderId="1" xfId="0" applyNumberFormat="1" applyFont="1" applyFill="1" applyBorder="1" applyAlignment="1">
      <alignment vertical="center"/>
    </xf>
    <xf numFmtId="166" fontId="13" fillId="0" borderId="1" xfId="0" applyNumberFormat="1" applyFont="1" applyBorder="1" applyAlignment="1">
      <alignment horizontal="right" vertical="center"/>
    </xf>
    <xf numFmtId="166" fontId="13" fillId="0" borderId="1" xfId="0" applyNumberFormat="1" applyFont="1" applyBorder="1" applyAlignment="1">
      <alignment horizontal="right" vertical="center" wrapText="1"/>
    </xf>
    <xf numFmtId="10" fontId="13" fillId="0" borderId="0" xfId="0" applyNumberFormat="1" applyFont="1" applyAlignment="1">
      <alignment vertical="center"/>
    </xf>
    <xf numFmtId="169" fontId="0" fillId="10" borderId="0" xfId="1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4" fontId="0" fillId="12" borderId="0" xfId="0" applyNumberFormat="1" applyFill="1" applyAlignment="1">
      <alignment horizontal="center" wrapText="1"/>
    </xf>
    <xf numFmtId="169" fontId="0" fillId="12" borderId="0" xfId="1" applyNumberFormat="1" applyFont="1" applyFill="1" applyAlignment="1">
      <alignment horizontal="center"/>
    </xf>
    <xf numFmtId="169" fontId="13" fillId="0" borderId="0" xfId="0" applyNumberFormat="1" applyFont="1" applyAlignment="1">
      <alignment vertical="center"/>
    </xf>
    <xf numFmtId="10" fontId="12" fillId="4" borderId="0" xfId="0" applyNumberFormat="1" applyFont="1" applyFill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25" borderId="11" xfId="0" applyFont="1" applyFill="1" applyBorder="1"/>
    <xf numFmtId="0" fontId="24" fillId="25" borderId="12" xfId="0" applyFont="1" applyFill="1" applyBorder="1"/>
    <xf numFmtId="0" fontId="24" fillId="25" borderId="13" xfId="0" applyFont="1" applyFill="1" applyBorder="1"/>
    <xf numFmtId="169" fontId="0" fillId="0" borderId="0" xfId="0" applyNumberFormat="1"/>
    <xf numFmtId="166" fontId="5" fillId="2" borderId="4" xfId="0" applyNumberFormat="1" applyFont="1" applyFill="1" applyBorder="1" applyAlignment="1">
      <alignment vertical="center"/>
    </xf>
    <xf numFmtId="14" fontId="20" fillId="0" borderId="14" xfId="0" applyNumberFormat="1" applyFont="1" applyBorder="1"/>
    <xf numFmtId="0" fontId="20" fillId="0" borderId="15" xfId="0" applyFont="1" applyBorder="1"/>
    <xf numFmtId="0" fontId="20" fillId="0" borderId="16" xfId="0" applyFont="1" applyBorder="1"/>
    <xf numFmtId="14" fontId="20" fillId="0" borderId="17" xfId="0" applyNumberFormat="1" applyFont="1" applyBorder="1"/>
    <xf numFmtId="0" fontId="20" fillId="0" borderId="18" xfId="0" applyFont="1" applyBorder="1"/>
    <xf numFmtId="0" fontId="20" fillId="0" borderId="19" xfId="0" applyFont="1" applyBorder="1"/>
    <xf numFmtId="169" fontId="24" fillId="25" borderId="12" xfId="0" applyNumberFormat="1" applyFont="1" applyFill="1" applyBorder="1"/>
    <xf numFmtId="169" fontId="20" fillId="0" borderId="15" xfId="0" applyNumberFormat="1" applyFont="1" applyBorder="1"/>
    <xf numFmtId="169" fontId="20" fillId="0" borderId="18" xfId="0" applyNumberFormat="1" applyFont="1" applyBorder="1"/>
    <xf numFmtId="0" fontId="20" fillId="17" borderId="16" xfId="0" applyFont="1" applyFill="1" applyBorder="1"/>
    <xf numFmtId="0" fontId="0" fillId="0" borderId="0" xfId="0" pivotButton="1"/>
    <xf numFmtId="14" fontId="20" fillId="20" borderId="14" xfId="0" applyNumberFormat="1" applyFont="1" applyFill="1" applyBorder="1"/>
    <xf numFmtId="0" fontId="20" fillId="20" borderId="15" xfId="0" applyFont="1" applyFill="1" applyBorder="1"/>
    <xf numFmtId="169" fontId="20" fillId="20" borderId="15" xfId="0" applyNumberFormat="1" applyFont="1" applyFill="1" applyBorder="1"/>
    <xf numFmtId="0" fontId="20" fillId="20" borderId="16" xfId="0" applyFont="1" applyFill="1" applyBorder="1"/>
    <xf numFmtId="166" fontId="13" fillId="0" borderId="0" xfId="0" applyNumberFormat="1" applyFont="1" applyAlignment="1">
      <alignment vertical="center"/>
    </xf>
    <xf numFmtId="164" fontId="0" fillId="10" borderId="0" xfId="0" applyNumberFormat="1" applyFill="1" applyAlignment="1">
      <alignment horizontal="center" wrapText="1"/>
    </xf>
    <xf numFmtId="168" fontId="4" fillId="4" borderId="4" xfId="0" applyNumberFormat="1" applyFont="1" applyFill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4" fontId="0" fillId="15" borderId="0" xfId="0" applyNumberFormat="1" applyFill="1" applyAlignment="1">
      <alignment horizontal="center"/>
    </xf>
    <xf numFmtId="3" fontId="9" fillId="14" borderId="0" xfId="0" applyNumberFormat="1" applyFont="1" applyFill="1" applyAlignment="1">
      <alignment horizontal="center" vertical="center"/>
    </xf>
    <xf numFmtId="169" fontId="0" fillId="10" borderId="0" xfId="1" applyNumberFormat="1" applyFont="1" applyFill="1" applyBorder="1" applyAlignment="1">
      <alignment horizontal="center"/>
    </xf>
    <xf numFmtId="169" fontId="0" fillId="12" borderId="0" xfId="1" applyNumberFormat="1" applyFont="1" applyFill="1" applyBorder="1" applyAlignment="1">
      <alignment horizontal="center"/>
    </xf>
    <xf numFmtId="169" fontId="0" fillId="10" borderId="0" xfId="1" applyNumberFormat="1" applyFont="1" applyFill="1"/>
    <xf numFmtId="169" fontId="18" fillId="10" borderId="0" xfId="1" applyNumberFormat="1" applyFont="1" applyFill="1" applyAlignment="1">
      <alignment horizontal="right"/>
    </xf>
    <xf numFmtId="169" fontId="18" fillId="10" borderId="0" xfId="1" applyNumberFormat="1" applyFont="1" applyFill="1" applyAlignment="1">
      <alignment horizontal="center"/>
    </xf>
    <xf numFmtId="164" fontId="0" fillId="10" borderId="7" xfId="0" applyNumberFormat="1" applyFill="1" applyBorder="1" applyAlignment="1">
      <alignment horizontal="center" wrapText="1"/>
    </xf>
    <xf numFmtId="14" fontId="0" fillId="0" borderId="0" xfId="0" applyNumberFormat="1"/>
    <xf numFmtId="4" fontId="0" fillId="0" borderId="0" xfId="0" applyNumberFormat="1"/>
    <xf numFmtId="0" fontId="9" fillId="4" borderId="1" xfId="0" applyFont="1" applyFill="1" applyBorder="1"/>
    <xf numFmtId="49" fontId="9" fillId="4" borderId="1" xfId="0" applyNumberFormat="1" applyFont="1" applyFill="1" applyBorder="1" applyAlignment="1">
      <alignment horizontal="right"/>
    </xf>
    <xf numFmtId="0" fontId="9" fillId="4" borderId="1" xfId="0" applyFont="1" applyFill="1" applyBorder="1" applyAlignment="1">
      <alignment horizontal="center"/>
    </xf>
    <xf numFmtId="166" fontId="9" fillId="4" borderId="1" xfId="0" applyNumberFormat="1" applyFont="1" applyFill="1" applyBorder="1" applyAlignment="1">
      <alignment horizontal="center"/>
    </xf>
    <xf numFmtId="173" fontId="26" fillId="0" borderId="0" xfId="0" applyNumberFormat="1" applyFont="1" applyAlignment="1">
      <alignment horizontal="center"/>
    </xf>
    <xf numFmtId="49" fontId="9" fillId="4" borderId="1" xfId="0" applyNumberFormat="1" applyFont="1" applyFill="1" applyBorder="1" applyAlignment="1">
      <alignment horizontal="center"/>
    </xf>
    <xf numFmtId="0" fontId="25" fillId="10" borderId="0" xfId="0" applyFont="1" applyFill="1"/>
    <xf numFmtId="169" fontId="25" fillId="10" borderId="0" xfId="1" applyNumberFormat="1" applyFont="1" applyFill="1" applyBorder="1" applyAlignment="1">
      <alignment horizontal="center"/>
    </xf>
    <xf numFmtId="44" fontId="0" fillId="0" borderId="0" xfId="0" applyNumberFormat="1"/>
    <xf numFmtId="14" fontId="0" fillId="0" borderId="1" xfId="0" applyNumberFormat="1" applyBorder="1"/>
    <xf numFmtId="14" fontId="0" fillId="0" borderId="0" xfId="0" applyNumberFormat="1" applyAlignment="1">
      <alignment horizontal="center"/>
    </xf>
    <xf numFmtId="0" fontId="29" fillId="14" borderId="0" xfId="0" applyFont="1" applyFill="1"/>
    <xf numFmtId="44" fontId="9" fillId="14" borderId="0" xfId="0" applyNumberFormat="1" applyFont="1" applyFill="1"/>
    <xf numFmtId="166" fontId="0" fillId="2" borderId="1" xfId="0" applyNumberFormat="1" applyFill="1" applyBorder="1"/>
    <xf numFmtId="0" fontId="9" fillId="3" borderId="0" xfId="0" applyFont="1" applyFill="1"/>
    <xf numFmtId="44" fontId="9" fillId="3" borderId="0" xfId="0" applyNumberFormat="1" applyFont="1" applyFill="1"/>
    <xf numFmtId="4" fontId="0" fillId="0" borderId="0" xfId="0" applyNumberFormat="1" applyAlignment="1">
      <alignment vertical="center"/>
    </xf>
    <xf numFmtId="10" fontId="0" fillId="0" borderId="0" xfId="0" applyNumberFormat="1" applyAlignment="1">
      <alignment horizontal="center" vertical="center"/>
    </xf>
    <xf numFmtId="0" fontId="25" fillId="12" borderId="0" xfId="0" applyFont="1" applyFill="1"/>
    <xf numFmtId="169" fontId="25" fillId="12" borderId="0" xfId="1" applyNumberFormat="1" applyFont="1" applyFill="1" applyBorder="1" applyAlignment="1">
      <alignment horizontal="center"/>
    </xf>
    <xf numFmtId="0" fontId="20" fillId="10" borderId="0" xfId="0" applyFont="1" applyFill="1"/>
    <xf numFmtId="0" fontId="30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4" fontId="30" fillId="0" borderId="1" xfId="0" applyNumberFormat="1" applyFont="1" applyBorder="1"/>
    <xf numFmtId="0" fontId="30" fillId="0" borderId="1" xfId="0" applyFont="1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/>
    <xf numFmtId="0" fontId="0" fillId="7" borderId="1" xfId="0" applyFill="1" applyBorder="1"/>
    <xf numFmtId="14" fontId="30" fillId="7" borderId="1" xfId="0" applyNumberFormat="1" applyFont="1" applyFill="1" applyBorder="1"/>
    <xf numFmtId="0" fontId="26" fillId="0" borderId="0" xfId="0" applyFont="1" applyAlignment="1">
      <alignment horizontal="center"/>
    </xf>
    <xf numFmtId="0" fontId="31" fillId="14" borderId="21" xfId="0" applyFont="1" applyFill="1" applyBorder="1"/>
    <xf numFmtId="0" fontId="31" fillId="14" borderId="25" xfId="0" applyFont="1" applyFill="1" applyBorder="1"/>
    <xf numFmtId="173" fontId="32" fillId="14" borderId="24" xfId="0" applyNumberFormat="1" applyFont="1" applyFill="1" applyBorder="1" applyAlignment="1">
      <alignment horizontal="center"/>
    </xf>
    <xf numFmtId="0" fontId="31" fillId="14" borderId="23" xfId="0" applyFont="1" applyFill="1" applyBorder="1" applyAlignment="1">
      <alignment horizontal="center"/>
    </xf>
    <xf numFmtId="0" fontId="0" fillId="26" borderId="1" xfId="0" applyFill="1" applyBorder="1"/>
    <xf numFmtId="0" fontId="0" fillId="15" borderId="1" xfId="0" applyFill="1" applyBorder="1"/>
    <xf numFmtId="0" fontId="20" fillId="10" borderId="0" xfId="0" applyFont="1" applyFill="1" applyAlignment="1">
      <alignment horizontal="center"/>
    </xf>
    <xf numFmtId="0" fontId="31" fillId="14" borderId="22" xfId="0" applyFont="1" applyFill="1" applyBorder="1"/>
    <xf numFmtId="0" fontId="31" fillId="14" borderId="26" xfId="0" applyFont="1" applyFill="1" applyBorder="1"/>
    <xf numFmtId="169" fontId="32" fillId="14" borderId="24" xfId="0" applyNumberFormat="1" applyFont="1" applyFill="1" applyBorder="1" applyAlignment="1">
      <alignment horizontal="center"/>
    </xf>
    <xf numFmtId="44" fontId="9" fillId="4" borderId="0" xfId="0" applyNumberFormat="1" applyFont="1" applyFill="1"/>
    <xf numFmtId="49" fontId="0" fillId="7" borderId="1" xfId="0" applyNumberFormat="1" applyFill="1" applyBorder="1" applyAlignment="1">
      <alignment horizontal="right"/>
    </xf>
    <xf numFmtId="172" fontId="0" fillId="7" borderId="1" xfId="0" applyNumberFormat="1" applyFill="1" applyBorder="1"/>
    <xf numFmtId="171" fontId="0" fillId="7" borderId="1" xfId="0" applyNumberFormat="1" applyFill="1" applyBorder="1"/>
    <xf numFmtId="166" fontId="0" fillId="7" borderId="1" xfId="0" applyNumberFormat="1" applyFill="1" applyBorder="1"/>
    <xf numFmtId="0" fontId="0" fillId="7" borderId="0" xfId="0" applyFill="1"/>
    <xf numFmtId="170" fontId="0" fillId="7" borderId="1" xfId="0" applyNumberFormat="1" applyFill="1" applyBorder="1"/>
    <xf numFmtId="44" fontId="0" fillId="2" borderId="0" xfId="0" applyNumberFormat="1" applyFill="1"/>
    <xf numFmtId="0" fontId="0" fillId="27" borderId="27" xfId="0" applyFill="1" applyBorder="1" applyAlignment="1">
      <alignment horizontal="center" vertical="center"/>
    </xf>
    <xf numFmtId="0" fontId="9" fillId="27" borderId="28" xfId="0" applyFont="1" applyFill="1" applyBorder="1" applyAlignment="1">
      <alignment horizontal="center" vertical="center"/>
    </xf>
    <xf numFmtId="169" fontId="33" fillId="27" borderId="28" xfId="0" applyNumberFormat="1" applyFont="1" applyFill="1" applyBorder="1" applyAlignment="1">
      <alignment horizontal="center" vertical="center"/>
    </xf>
    <xf numFmtId="169" fontId="33" fillId="27" borderId="29" xfId="0" applyNumberFormat="1" applyFont="1" applyFill="1" applyBorder="1" applyAlignment="1">
      <alignment horizontal="center" vertical="center"/>
    </xf>
    <xf numFmtId="0" fontId="30" fillId="26" borderId="1" xfId="0" applyFont="1" applyFill="1" applyBorder="1"/>
    <xf numFmtId="0" fontId="34" fillId="0" borderId="1" xfId="0" applyFont="1" applyBorder="1"/>
    <xf numFmtId="0" fontId="35" fillId="0" borderId="1" xfId="0" applyFont="1" applyBorder="1"/>
    <xf numFmtId="166" fontId="0" fillId="28" borderId="1" xfId="0" applyNumberFormat="1" applyFill="1" applyBorder="1"/>
    <xf numFmtId="0" fontId="30" fillId="15" borderId="1" xfId="0" applyFont="1" applyFill="1" applyBorder="1"/>
    <xf numFmtId="14" fontId="0" fillId="7" borderId="1" xfId="0" applyNumberFormat="1" applyFill="1" applyBorder="1" applyAlignment="1">
      <alignment horizontal="center" vertical="center"/>
    </xf>
    <xf numFmtId="0" fontId="18" fillId="10" borderId="0" xfId="0" applyFont="1" applyFill="1" applyAlignment="1">
      <alignment horizontal="center"/>
    </xf>
    <xf numFmtId="167" fontId="0" fillId="12" borderId="0" xfId="0" applyNumberFormat="1" applyFill="1" applyAlignment="1">
      <alignment horizontal="center"/>
    </xf>
    <xf numFmtId="175" fontId="13" fillId="0" borderId="1" xfId="0" applyNumberFormat="1" applyFont="1" applyBorder="1"/>
    <xf numFmtId="175" fontId="13" fillId="2" borderId="1" xfId="0" applyNumberFormat="1" applyFont="1" applyFill="1" applyBorder="1"/>
    <xf numFmtId="175" fontId="12" fillId="13" borderId="9" xfId="0" applyNumberFormat="1" applyFont="1" applyFill="1" applyBorder="1"/>
    <xf numFmtId="175" fontId="13" fillId="0" borderId="0" xfId="0" applyNumberFormat="1" applyFont="1"/>
    <xf numFmtId="0" fontId="0" fillId="0" borderId="1" xfId="0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75" fontId="12" fillId="4" borderId="1" xfId="0" applyNumberFormat="1" applyFont="1" applyFill="1" applyBorder="1" applyAlignment="1">
      <alignment horizontal="center" vertical="center" wrapText="1"/>
    </xf>
    <xf numFmtId="0" fontId="0" fillId="29" borderId="1" xfId="0" applyFill="1" applyBorder="1"/>
    <xf numFmtId="0" fontId="27" fillId="4" borderId="20" xfId="0" applyFont="1" applyFill="1" applyBorder="1" applyAlignment="1">
      <alignment horizontal="left" vertical="center"/>
    </xf>
    <xf numFmtId="4" fontId="27" fillId="4" borderId="20" xfId="0" applyNumberFormat="1" applyFont="1" applyFill="1" applyBorder="1" applyAlignment="1">
      <alignment horizontal="left" vertical="center"/>
    </xf>
    <xf numFmtId="0" fontId="27" fillId="4" borderId="20" xfId="0" applyFont="1" applyFill="1" applyBorder="1" applyAlignment="1">
      <alignment horizontal="center" vertical="center"/>
    </xf>
    <xf numFmtId="44" fontId="9" fillId="14" borderId="1" xfId="0" applyNumberFormat="1" applyFont="1" applyFill="1" applyBorder="1" applyAlignment="1">
      <alignment vertical="center"/>
    </xf>
    <xf numFmtId="170" fontId="0" fillId="7" borderId="1" xfId="0" applyNumberFormat="1" applyFill="1" applyBorder="1" applyAlignment="1">
      <alignment horizontal="center" vertical="center"/>
    </xf>
    <xf numFmtId="44" fontId="0" fillId="7" borderId="1" xfId="0" applyNumberFormat="1" applyFill="1" applyBorder="1" applyAlignment="1">
      <alignment vertical="center"/>
    </xf>
    <xf numFmtId="44" fontId="0" fillId="0" borderId="0" xfId="0" applyNumberFormat="1" applyAlignment="1">
      <alignment vertical="center"/>
    </xf>
    <xf numFmtId="44" fontId="0" fillId="2" borderId="1" xfId="0" applyNumberFormat="1" applyFill="1" applyBorder="1" applyAlignment="1">
      <alignment vertical="center"/>
    </xf>
    <xf numFmtId="0" fontId="0" fillId="7" borderId="0" xfId="0" applyFill="1" applyAlignment="1">
      <alignment vertical="center"/>
    </xf>
    <xf numFmtId="169" fontId="0" fillId="0" borderId="0" xfId="0" applyNumberFormat="1" applyAlignment="1">
      <alignment horizontal="center" vertical="center"/>
    </xf>
    <xf numFmtId="0" fontId="18" fillId="12" borderId="0" xfId="0" applyFont="1" applyFill="1"/>
    <xf numFmtId="8" fontId="18" fillId="12" borderId="0" xfId="0" applyNumberFormat="1" applyFont="1" applyFill="1" applyAlignment="1">
      <alignment horizontal="center"/>
    </xf>
    <xf numFmtId="0" fontId="18" fillId="10" borderId="0" xfId="0" applyFont="1" applyFill="1"/>
    <xf numFmtId="8" fontId="18" fillId="10" borderId="0" xfId="0" applyNumberFormat="1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174" fontId="18" fillId="0" borderId="0" xfId="0" applyNumberFormat="1" applyFont="1" applyAlignment="1">
      <alignment horizontal="right" vertical="center"/>
    </xf>
    <xf numFmtId="44" fontId="18" fillId="0" borderId="0" xfId="0" applyNumberFormat="1" applyFont="1" applyAlignment="1">
      <alignment horizontal="right" vertical="center"/>
    </xf>
    <xf numFmtId="0" fontId="18" fillId="0" borderId="0" xfId="0" applyFont="1" applyAlignment="1">
      <alignment vertical="center"/>
    </xf>
    <xf numFmtId="0" fontId="36" fillId="4" borderId="27" xfId="0" applyFont="1" applyFill="1" applyBorder="1" applyAlignment="1">
      <alignment horizontal="center" vertical="center"/>
    </xf>
    <xf numFmtId="0" fontId="37" fillId="4" borderId="28" xfId="0" applyFont="1" applyFill="1" applyBorder="1" applyAlignment="1">
      <alignment horizontal="center" vertical="center"/>
    </xf>
    <xf numFmtId="169" fontId="38" fillId="4" borderId="28" xfId="0" applyNumberFormat="1" applyFont="1" applyFill="1" applyBorder="1" applyAlignment="1">
      <alignment horizontal="center" vertical="center"/>
    </xf>
    <xf numFmtId="0" fontId="39" fillId="4" borderId="28" xfId="0" applyFont="1" applyFill="1" applyBorder="1" applyAlignment="1">
      <alignment horizontal="center" vertical="center"/>
    </xf>
    <xf numFmtId="169" fontId="39" fillId="4" borderId="28" xfId="0" applyNumberFormat="1" applyFont="1" applyFill="1" applyBorder="1" applyAlignment="1">
      <alignment horizontal="center" vertical="center"/>
    </xf>
    <xf numFmtId="0" fontId="38" fillId="4" borderId="29" xfId="0" applyFont="1" applyFill="1" applyBorder="1" applyAlignment="1">
      <alignment horizontal="center" vertical="center"/>
    </xf>
    <xf numFmtId="169" fontId="38" fillId="4" borderId="29" xfId="0" applyNumberFormat="1" applyFont="1" applyFill="1" applyBorder="1" applyAlignment="1">
      <alignment horizontal="center" vertical="center"/>
    </xf>
    <xf numFmtId="0" fontId="37" fillId="14" borderId="27" xfId="0" applyFont="1" applyFill="1" applyBorder="1" applyAlignment="1">
      <alignment horizontal="center" vertical="center"/>
    </xf>
    <xf numFmtId="0" fontId="37" fillId="14" borderId="28" xfId="0" applyFont="1" applyFill="1" applyBorder="1" applyAlignment="1">
      <alignment horizontal="center" vertical="center"/>
    </xf>
    <xf numFmtId="0" fontId="39" fillId="14" borderId="28" xfId="0" applyFont="1" applyFill="1" applyBorder="1" applyAlignment="1">
      <alignment horizontal="center" vertical="center"/>
    </xf>
    <xf numFmtId="169" fontId="39" fillId="14" borderId="28" xfId="5" applyNumberFormat="1" applyFont="1" applyFill="1" applyBorder="1" applyAlignment="1">
      <alignment horizontal="center" vertical="center"/>
    </xf>
    <xf numFmtId="169" fontId="39" fillId="14" borderId="28" xfId="0" applyNumberFormat="1" applyFont="1" applyFill="1" applyBorder="1" applyAlignment="1">
      <alignment horizontal="center" vertical="center"/>
    </xf>
    <xf numFmtId="0" fontId="38" fillId="14" borderId="29" xfId="0" applyFont="1" applyFill="1" applyBorder="1" applyAlignment="1">
      <alignment horizontal="center" vertical="center"/>
    </xf>
    <xf numFmtId="169" fontId="40" fillId="14" borderId="29" xfId="5" applyNumberFormat="1" applyFont="1" applyFill="1" applyBorder="1" applyAlignment="1">
      <alignment horizontal="center" vertical="center"/>
    </xf>
    <xf numFmtId="169" fontId="38" fillId="14" borderId="29" xfId="0" applyNumberFormat="1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175" fontId="2" fillId="0" borderId="0" xfId="4" applyNumberFormat="1" applyFont="1" applyAlignment="1">
      <alignment horizontal="center"/>
    </xf>
    <xf numFmtId="175" fontId="0" fillId="0" borderId="0" xfId="0" applyNumberFormat="1" applyAlignment="1">
      <alignment horizontal="center"/>
    </xf>
    <xf numFmtId="0" fontId="11" fillId="0" borderId="30" xfId="0" applyFont="1" applyBorder="1" applyAlignment="1">
      <alignment horizontal="center"/>
    </xf>
    <xf numFmtId="175" fontId="11" fillId="0" borderId="30" xfId="4" applyNumberFormat="1" applyFont="1" applyBorder="1" applyAlignment="1">
      <alignment horizontal="center"/>
    </xf>
    <xf numFmtId="167" fontId="41" fillId="10" borderId="0" xfId="0" applyNumberFormat="1" applyFont="1" applyFill="1" applyAlignment="1">
      <alignment horizontal="center"/>
    </xf>
    <xf numFmtId="0" fontId="42" fillId="10" borderId="4" xfId="0" applyFont="1" applyFill="1" applyBorder="1" applyAlignment="1">
      <alignment horizontal="center"/>
    </xf>
    <xf numFmtId="14" fontId="43" fillId="0" borderId="17" xfId="0" applyNumberFormat="1" applyFont="1" applyBorder="1"/>
    <xf numFmtId="0" fontId="43" fillId="0" borderId="16" xfId="0" applyFont="1" applyBorder="1"/>
    <xf numFmtId="166" fontId="42" fillId="5" borderId="4" xfId="0" applyNumberFormat="1" applyFont="1" applyFill="1" applyBorder="1"/>
    <xf numFmtId="10" fontId="42" fillId="0" borderId="5" xfId="0" applyNumberFormat="1" applyFont="1" applyBorder="1"/>
    <xf numFmtId="10" fontId="42" fillId="0" borderId="4" xfId="0" applyNumberFormat="1" applyFont="1" applyBorder="1"/>
    <xf numFmtId="0" fontId="9" fillId="3" borderId="27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44" fillId="3" borderId="28" xfId="0" applyFont="1" applyFill="1" applyBorder="1" applyAlignment="1">
      <alignment horizontal="center" vertical="center"/>
    </xf>
    <xf numFmtId="169" fontId="44" fillId="3" borderId="28" xfId="5" applyNumberFormat="1" applyFont="1" applyFill="1" applyBorder="1" applyAlignment="1">
      <alignment horizontal="center" vertical="center"/>
    </xf>
    <xf numFmtId="0" fontId="33" fillId="3" borderId="29" xfId="0" applyFont="1" applyFill="1" applyBorder="1" applyAlignment="1">
      <alignment horizontal="center" vertical="center"/>
    </xf>
    <xf numFmtId="169" fontId="45" fillId="3" borderId="29" xfId="5" applyNumberFormat="1" applyFont="1" applyFill="1" applyBorder="1" applyAlignment="1">
      <alignment horizontal="center" vertical="center"/>
    </xf>
    <xf numFmtId="169" fontId="33" fillId="3" borderId="29" xfId="0" applyNumberFormat="1" applyFont="1" applyFill="1" applyBorder="1" applyAlignment="1">
      <alignment horizontal="center" vertical="center"/>
    </xf>
    <xf numFmtId="10" fontId="44" fillId="3" borderId="28" xfId="0" applyNumberFormat="1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42" fillId="7" borderId="4" xfId="0" applyFont="1" applyFill="1" applyBorder="1"/>
    <xf numFmtId="10" fontId="0" fillId="9" borderId="0" xfId="0" applyNumberFormat="1" applyFill="1" applyAlignment="1">
      <alignment vertical="center"/>
    </xf>
    <xf numFmtId="0" fontId="11" fillId="0" borderId="0" xfId="0" applyFont="1" applyAlignment="1">
      <alignment vertical="center"/>
    </xf>
    <xf numFmtId="164" fontId="41" fillId="10" borderId="0" xfId="0" applyNumberFormat="1" applyFont="1" applyFill="1" applyAlignment="1">
      <alignment horizontal="center"/>
    </xf>
    <xf numFmtId="17" fontId="11" fillId="0" borderId="0" xfId="0" applyNumberFormat="1" applyFont="1" applyAlignment="1">
      <alignment horizontal="center" vertical="center"/>
    </xf>
    <xf numFmtId="4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176" fontId="0" fillId="0" borderId="1" xfId="3" applyNumberFormat="1" applyFont="1" applyBorder="1" applyAlignment="1">
      <alignment vertical="center"/>
    </xf>
    <xf numFmtId="0" fontId="41" fillId="10" borderId="0" xfId="0" applyFont="1" applyFill="1"/>
    <xf numFmtId="0" fontId="5" fillId="10" borderId="4" xfId="0" applyFont="1" applyFill="1" applyBorder="1" applyAlignment="1">
      <alignment horizontal="center"/>
    </xf>
    <xf numFmtId="0" fontId="18" fillId="0" borderId="0" xfId="0" applyFont="1" applyAlignment="1">
      <alignment horizontal="right" vertical="center"/>
    </xf>
    <xf numFmtId="0" fontId="41" fillId="0" borderId="0" xfId="0" applyFont="1" applyAlignment="1">
      <alignment horizontal="right" vertical="center"/>
    </xf>
    <xf numFmtId="14" fontId="41" fillId="0" borderId="0" xfId="0" applyNumberFormat="1" applyFont="1" applyAlignment="1">
      <alignment horizontal="right" vertical="center"/>
    </xf>
    <xf numFmtId="14" fontId="0" fillId="0" borderId="0" xfId="0" applyNumberFormat="1" applyAlignment="1">
      <alignment horizontal="right" vertical="center"/>
    </xf>
    <xf numFmtId="14" fontId="18" fillId="0" borderId="0" xfId="0" applyNumberFormat="1" applyFont="1" applyAlignment="1">
      <alignment horizontal="right" vertical="center"/>
    </xf>
    <xf numFmtId="14" fontId="27" fillId="4" borderId="20" xfId="0" applyNumberFormat="1" applyFont="1" applyFill="1" applyBorder="1" applyAlignment="1">
      <alignment horizontal="center" vertical="center"/>
    </xf>
    <xf numFmtId="169" fontId="9" fillId="14" borderId="1" xfId="0" applyNumberFormat="1" applyFont="1" applyFill="1" applyBorder="1" applyAlignment="1">
      <alignment horizontal="center" vertical="center"/>
    </xf>
    <xf numFmtId="0" fontId="41" fillId="0" borderId="0" xfId="0" applyFont="1"/>
    <xf numFmtId="14" fontId="41" fillId="0" borderId="0" xfId="0" applyNumberFormat="1" applyFont="1"/>
    <xf numFmtId="10" fontId="38" fillId="4" borderId="29" xfId="0" applyNumberFormat="1" applyFont="1" applyFill="1" applyBorder="1" applyAlignment="1">
      <alignment horizontal="center" vertical="center"/>
    </xf>
    <xf numFmtId="14" fontId="46" fillId="0" borderId="0" xfId="0" applyNumberFormat="1" applyFont="1" applyAlignment="1">
      <alignment horizontal="right" vertical="center"/>
    </xf>
    <xf numFmtId="0" fontId="46" fillId="0" borderId="0" xfId="0" applyFont="1" applyAlignment="1">
      <alignment vertical="center"/>
    </xf>
    <xf numFmtId="0" fontId="46" fillId="0" borderId="0" xfId="0" applyFont="1"/>
    <xf numFmtId="44" fontId="41" fillId="0" borderId="0" xfId="0" applyNumberFormat="1" applyFont="1" applyAlignment="1">
      <alignment horizontal="right" vertical="center"/>
    </xf>
    <xf numFmtId="44" fontId="41" fillId="0" borderId="0" xfId="0" applyNumberFormat="1" applyFont="1" applyAlignment="1">
      <alignment vertical="center"/>
    </xf>
    <xf numFmtId="44" fontId="41" fillId="0" borderId="0" xfId="0" applyNumberFormat="1" applyFont="1"/>
    <xf numFmtId="44" fontId="46" fillId="0" borderId="0" xfId="0" applyNumberFormat="1" applyFont="1" applyAlignment="1">
      <alignment horizontal="right"/>
    </xf>
    <xf numFmtId="0" fontId="41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41" fillId="7" borderId="0" xfId="0" applyFont="1" applyFill="1"/>
    <xf numFmtId="44" fontId="46" fillId="0" borderId="0" xfId="0" applyNumberFormat="1" applyFont="1" applyAlignment="1">
      <alignment vertical="center"/>
    </xf>
    <xf numFmtId="44" fontId="46" fillId="7" borderId="0" xfId="0" applyNumberFormat="1" applyFont="1" applyFill="1"/>
    <xf numFmtId="8" fontId="41" fillId="0" borderId="0" xfId="0" applyNumberFormat="1" applyFont="1"/>
    <xf numFmtId="49" fontId="15" fillId="0" borderId="0" xfId="0" applyNumberFormat="1" applyFont="1" applyAlignment="1">
      <alignment horizontal="center" vertical="center"/>
    </xf>
    <xf numFmtId="166" fontId="4" fillId="3" borderId="4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0" fontId="42" fillId="0" borderId="0" xfId="0" applyFont="1"/>
    <xf numFmtId="0" fontId="42" fillId="9" borderId="4" xfId="0" applyFont="1" applyFill="1" applyBorder="1"/>
    <xf numFmtId="0" fontId="42" fillId="8" borderId="4" xfId="0" applyFont="1" applyFill="1" applyBorder="1"/>
    <xf numFmtId="0" fontId="42" fillId="6" borderId="4" xfId="0" applyFont="1" applyFill="1" applyBorder="1"/>
    <xf numFmtId="0" fontId="42" fillId="13" borderId="4" xfId="0" applyFont="1" applyFill="1" applyBorder="1"/>
    <xf numFmtId="0" fontId="47" fillId="4" borderId="4" xfId="0" applyFont="1" applyFill="1" applyBorder="1"/>
    <xf numFmtId="0" fontId="9" fillId="3" borderId="1" xfId="0" applyFont="1" applyFill="1" applyBorder="1" applyAlignment="1">
      <alignment horizontal="center" vertical="center"/>
    </xf>
    <xf numFmtId="17" fontId="9" fillId="3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166" fontId="0" fillId="7" borderId="1" xfId="0" applyNumberFormat="1" applyFill="1" applyBorder="1" applyAlignment="1">
      <alignment vertical="center"/>
    </xf>
    <xf numFmtId="10" fontId="0" fillId="7" borderId="1" xfId="0" applyNumberFormat="1" applyFill="1" applyBorder="1" applyAlignment="1">
      <alignment vertical="center"/>
    </xf>
    <xf numFmtId="4" fontId="0" fillId="7" borderId="1" xfId="0" applyNumberFormat="1" applyFill="1" applyBorder="1" applyAlignment="1">
      <alignment vertical="center"/>
    </xf>
    <xf numFmtId="168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8" fontId="0" fillId="7" borderId="1" xfId="0" applyNumberFormat="1" applyFill="1" applyBorder="1" applyAlignment="1">
      <alignment horizontal="right" vertical="center"/>
    </xf>
    <xf numFmtId="166" fontId="0" fillId="7" borderId="1" xfId="0" applyNumberFormat="1" applyFill="1" applyBorder="1" applyAlignment="1">
      <alignment horizontal="center" vertical="center"/>
    </xf>
    <xf numFmtId="4" fontId="0" fillId="7" borderId="1" xfId="0" applyNumberFormat="1" applyFill="1" applyBorder="1" applyAlignment="1">
      <alignment horizontal="center" vertical="center"/>
    </xf>
    <xf numFmtId="3" fontId="0" fillId="7" borderId="1" xfId="0" applyNumberFormat="1" applyFill="1" applyBorder="1" applyAlignment="1">
      <alignment horizontal="center" vertical="center"/>
    </xf>
    <xf numFmtId="0" fontId="41" fillId="12" borderId="0" xfId="0" applyFont="1" applyFill="1"/>
    <xf numFmtId="166" fontId="0" fillId="7" borderId="1" xfId="0" applyNumberFormat="1" applyFill="1" applyBorder="1" applyAlignment="1">
      <alignment horizontal="right" vertical="center"/>
    </xf>
    <xf numFmtId="0" fontId="5" fillId="0" borderId="0" xfId="0" quotePrefix="1" applyFont="1"/>
    <xf numFmtId="0" fontId="42" fillId="10" borderId="4" xfId="0" applyFont="1" applyFill="1" applyBorder="1"/>
    <xf numFmtId="0" fontId="2" fillId="2" borderId="0" xfId="0" applyFont="1" applyFill="1" applyAlignment="1">
      <alignment horizontal="center"/>
    </xf>
    <xf numFmtId="0" fontId="48" fillId="10" borderId="0" xfId="0" applyFont="1" applyFill="1"/>
    <xf numFmtId="169" fontId="2" fillId="2" borderId="0" xfId="1" applyNumberFormat="1" applyFont="1" applyFill="1" applyAlignment="1">
      <alignment horizontal="center"/>
    </xf>
    <xf numFmtId="169" fontId="0" fillId="0" borderId="0" xfId="1" applyNumberFormat="1" applyFont="1" applyAlignment="1">
      <alignment horizontal="center"/>
    </xf>
    <xf numFmtId="164" fontId="0" fillId="2" borderId="0" xfId="0" applyNumberFormat="1" applyFill="1" applyAlignment="1">
      <alignment horizontal="center"/>
    </xf>
    <xf numFmtId="0" fontId="20" fillId="0" borderId="31" xfId="0" applyFont="1" applyBorder="1"/>
    <xf numFmtId="0" fontId="20" fillId="0" borderId="32" xfId="0" applyFont="1" applyBorder="1"/>
    <xf numFmtId="14" fontId="20" fillId="0" borderId="32" xfId="0" applyNumberFormat="1" applyFont="1" applyBorder="1"/>
    <xf numFmtId="16" fontId="20" fillId="0" borderId="32" xfId="0" applyNumberFormat="1" applyFont="1" applyBorder="1"/>
    <xf numFmtId="175" fontId="20" fillId="0" borderId="32" xfId="0" applyNumberFormat="1" applyFont="1" applyBorder="1"/>
    <xf numFmtId="0" fontId="49" fillId="10" borderId="0" xfId="0" applyFont="1" applyFill="1" applyAlignment="1">
      <alignment readingOrder="1"/>
    </xf>
    <xf numFmtId="0" fontId="49" fillId="10" borderId="0" xfId="0" applyFont="1" applyFill="1" applyAlignment="1">
      <alignment horizontal="center" readingOrder="1"/>
    </xf>
    <xf numFmtId="8" fontId="49" fillId="10" borderId="0" xfId="0" applyNumberFormat="1" applyFont="1" applyFill="1" applyAlignment="1">
      <alignment horizontal="center" readingOrder="1"/>
    </xf>
    <xf numFmtId="0" fontId="49" fillId="10" borderId="0" xfId="0" applyFont="1" applyFill="1"/>
    <xf numFmtId="17" fontId="0" fillId="10" borderId="0" xfId="0" applyNumberFormat="1" applyFill="1" applyAlignment="1">
      <alignment horizontal="left"/>
    </xf>
    <xf numFmtId="3" fontId="0" fillId="0" borderId="0" xfId="0" applyNumberFormat="1" applyAlignment="1">
      <alignment vertical="center"/>
    </xf>
    <xf numFmtId="17" fontId="4" fillId="3" borderId="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11" borderId="0" xfId="0" applyFill="1"/>
    <xf numFmtId="0" fontId="41" fillId="11" borderId="0" xfId="0" applyFont="1" applyFill="1"/>
    <xf numFmtId="14" fontId="11" fillId="0" borderId="0" xfId="0" applyNumberFormat="1" applyFont="1" applyAlignment="1">
      <alignment horizontal="center"/>
    </xf>
    <xf numFmtId="17" fontId="12" fillId="3" borderId="2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49" fontId="12" fillId="3" borderId="2" xfId="0" applyNumberFormat="1" applyFont="1" applyFill="1" applyBorder="1" applyAlignment="1">
      <alignment horizontal="center" vertical="center"/>
    </xf>
    <xf numFmtId="49" fontId="12" fillId="3" borderId="3" xfId="0" applyNumberFormat="1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14" borderId="0" xfId="0" applyFont="1" applyFill="1" applyAlignment="1">
      <alignment horizontal="center" vertical="center"/>
    </xf>
    <xf numFmtId="17" fontId="12" fillId="3" borderId="33" xfId="0" applyNumberFormat="1" applyFont="1" applyFill="1" applyBorder="1" applyAlignment="1">
      <alignment horizontal="center" vertical="center"/>
    </xf>
    <xf numFmtId="17" fontId="12" fillId="3" borderId="3" xfId="0" applyNumberFormat="1" applyFont="1" applyFill="1" applyBorder="1" applyAlignment="1">
      <alignment horizontal="center" vertical="center"/>
    </xf>
    <xf numFmtId="0" fontId="47" fillId="3" borderId="4" xfId="0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4" fontId="4" fillId="4" borderId="5" xfId="0" applyNumberFormat="1" applyFont="1" applyFill="1" applyBorder="1" applyAlignment="1">
      <alignment horizontal="center" vertical="center"/>
    </xf>
    <xf numFmtId="4" fontId="4" fillId="4" borderId="8" xfId="0" applyNumberFormat="1" applyFont="1" applyFill="1" applyBorder="1" applyAlignment="1">
      <alignment horizontal="center" vertical="center"/>
    </xf>
    <xf numFmtId="17" fontId="4" fillId="3" borderId="4" xfId="0" applyNumberFormat="1" applyFont="1" applyFill="1" applyBorder="1" applyAlignment="1">
      <alignment horizontal="center" vertical="center"/>
    </xf>
    <xf numFmtId="17" fontId="4" fillId="4" borderId="4" xfId="0" applyNumberFormat="1" applyFont="1" applyFill="1" applyBorder="1" applyAlignment="1">
      <alignment horizontal="center" vertical="center"/>
    </xf>
    <xf numFmtId="8" fontId="11" fillId="23" borderId="0" xfId="0" applyNumberFormat="1" applyFont="1" applyFill="1" applyAlignment="1">
      <alignment horizontal="center" vertical="center"/>
    </xf>
    <xf numFmtId="0" fontId="11" fillId="23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8" fontId="11" fillId="5" borderId="0" xfId="0" applyNumberFormat="1" applyFont="1" applyFill="1" applyAlignment="1">
      <alignment vertical="center"/>
    </xf>
    <xf numFmtId="0" fontId="11" fillId="5" borderId="0" xfId="0" applyFont="1" applyFill="1" applyAlignment="1">
      <alignment vertical="center"/>
    </xf>
    <xf numFmtId="8" fontId="11" fillId="17" borderId="0" xfId="0" applyNumberFormat="1" applyFont="1" applyFill="1" applyAlignment="1">
      <alignment horizontal="center" vertical="center"/>
    </xf>
    <xf numFmtId="0" fontId="11" fillId="17" borderId="0" xfId="0" applyFont="1" applyFill="1" applyAlignment="1">
      <alignment horizontal="center" vertical="center"/>
    </xf>
    <xf numFmtId="8" fontId="11" fillId="18" borderId="0" xfId="0" applyNumberFormat="1" applyFont="1" applyFill="1" applyAlignment="1">
      <alignment horizontal="center" vertical="center"/>
    </xf>
    <xf numFmtId="0" fontId="11" fillId="18" borderId="0" xfId="0" applyFont="1" applyFill="1" applyAlignment="1">
      <alignment horizontal="center" vertical="center"/>
    </xf>
    <xf numFmtId="8" fontId="11" fillId="19" borderId="0" xfId="0" applyNumberFormat="1" applyFont="1" applyFill="1" applyAlignment="1">
      <alignment horizontal="center" vertical="center"/>
    </xf>
    <xf numFmtId="0" fontId="11" fillId="19" borderId="0" xfId="0" applyFont="1" applyFill="1" applyAlignment="1">
      <alignment horizontal="center" vertical="center"/>
    </xf>
    <xf numFmtId="8" fontId="11" fillId="20" borderId="0" xfId="0" applyNumberFormat="1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8" fontId="11" fillId="21" borderId="0" xfId="0" applyNumberFormat="1" applyFont="1" applyFill="1" applyAlignment="1">
      <alignment horizontal="center" vertical="center"/>
    </xf>
    <xf numFmtId="0" fontId="11" fillId="21" borderId="0" xfId="0" applyFont="1" applyFill="1" applyAlignment="1">
      <alignment horizontal="center" vertical="center"/>
    </xf>
    <xf numFmtId="8" fontId="11" fillId="22" borderId="0" xfId="0" applyNumberFormat="1" applyFont="1" applyFill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166" fontId="5" fillId="2" borderId="4" xfId="0" applyNumberFormat="1" applyFont="1" applyFill="1" applyBorder="1"/>
  </cellXfs>
  <cellStyles count="6">
    <cellStyle name="Moeda" xfId="1" builtinId="4"/>
    <cellStyle name="Moeda 2" xfId="4" xr:uid="{2BEACA9B-B8A3-4339-9B19-76291050AFF3}"/>
    <cellStyle name="Normal" xfId="0" builtinId="0"/>
    <cellStyle name="Normal 2" xfId="5" xr:uid="{77F15673-7BCF-48E0-8FC0-B2BC2489082A}"/>
    <cellStyle name="Porcentagem" xfId="2" builtinId="5"/>
    <cellStyle name="Vírgula" xfId="3" builtinId="3"/>
  </cellStyles>
  <dxfs count="18"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A6A6A6"/>
          <bgColor rgb="FFA6A6A6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9" formatCode="&quot;R$&quot;\ #,##0.00"/>
      <fill>
        <patternFill patternType="none">
          <fgColor rgb="FFA6A6A6"/>
          <bgColor rgb="FFA6A6A6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A6A6A6"/>
          <bgColor rgb="FFA6A6A6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fill>
        <patternFill patternType="none">
          <fgColor rgb="FFA6A6A6"/>
          <bgColor rgb="FFA6A6A6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FFFFFF"/>
        </right>
        <top style="thin">
          <color rgb="FFFFFFFF"/>
        </top>
        <bottom style="thin">
          <color rgb="FFFFFFFF"/>
        </bottom>
        <vertical/>
        <horizontal/>
      </border>
    </dxf>
    <dxf>
      <fill>
        <patternFill patternType="none"/>
      </fill>
    </dxf>
    <dxf>
      <numFmt numFmtId="167" formatCode="ddd\ 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&quot;R$&quot;\ #,##0.00"/>
      <alignment horizontal="center" vertical="bottom" textRotation="0" wrapText="0" indent="0" justifyLastLine="0" shrinkToFit="0" readingOrder="0"/>
    </dxf>
    <dxf>
      <numFmt numFmtId="164" formatCode="ddd\ dd/mm/yy"/>
      <alignment horizontal="left" vertical="bottom" textRotation="0" wrapText="0" indent="0" justifyLastLine="0" shrinkToFit="0" readingOrder="0"/>
    </dxf>
    <dxf>
      <numFmt numFmtId="164" formatCode="ddd\ dd/mm/yy"/>
      <alignment horizontal="center" vertical="bottom" textRotation="0" wrapText="0" indent="0" justifyLastLine="0" shrinkToFit="0" readingOrder="0"/>
    </dxf>
    <dxf>
      <numFmt numFmtId="164" formatCode="ddd\ dd/mm/yy"/>
      <alignment horizontal="center" vertical="bottom" textRotation="0" wrapText="0" indent="0" justifyLastLine="0" shrinkToFit="0" readingOrder="0"/>
    </dxf>
    <dxf>
      <numFmt numFmtId="164" formatCode="ddd\ dd/mm/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rgb="FFFFFF00"/>
          <bgColor indexed="65"/>
        </patternFill>
      </fill>
    </dxf>
  </dxfs>
  <tableStyles count="0" defaultTableStyle="TableStyleMedium2" defaultPivotStyle="PivotStyleLight16"/>
  <colors>
    <mruColors>
      <color rgb="FF283D3B"/>
      <color rgb="FFB5E6A2"/>
      <color rgb="FF197278"/>
      <color rgb="FFF9FAAF"/>
      <color rgb="FFDAE9F8"/>
      <color rgb="FFA6A6A6"/>
      <color rgb="FF215C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19727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97278"/>
              </a:solidFill>
              <a:ln w="9525">
                <a:solidFill>
                  <a:srgbClr val="1972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7278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COMPARATIVOS!#REF!</c:f>
              <c:numCache>
                <c:formatCode>#,##0.00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COMPARATIVOS!#REF!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COMPARATIVOS!#REF!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83C-4DB4-99EC-3B734A2837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9766608"/>
        <c:axId val="1509765168"/>
      </c:lineChart>
      <c:catAx>
        <c:axId val="150976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9765168"/>
        <c:crosses val="autoZero"/>
        <c:auto val="1"/>
        <c:lblAlgn val="ctr"/>
        <c:lblOffset val="100"/>
        <c:noMultiLvlLbl val="1"/>
      </c:catAx>
      <c:valAx>
        <c:axId val="1509765168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50976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COMPARATIVOS!$A$2</c:f>
              <c:strCache>
                <c:ptCount val="1"/>
                <c:pt idx="0">
                  <c:v>FATURAMENTO BRUTO 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COMPARATIVOS!$B$1:$M$1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COMPARATIVOS!$B$2:$M$2</c:f>
              <c:numCache>
                <c:formatCode>#,##0.00_ ;[Red]\-#,##0.00\ </c:formatCode>
                <c:ptCount val="12"/>
                <c:pt idx="0">
                  <c:v>189017.45</c:v>
                </c:pt>
                <c:pt idx="1">
                  <c:v>275579.51</c:v>
                </c:pt>
                <c:pt idx="2">
                  <c:v>964961.41</c:v>
                </c:pt>
                <c:pt idx="3">
                  <c:v>583899.22</c:v>
                </c:pt>
                <c:pt idx="4">
                  <c:v>662010.93999999994</c:v>
                </c:pt>
                <c:pt idx="5">
                  <c:v>885159.23</c:v>
                </c:pt>
                <c:pt idx="6">
                  <c:v>868491.23</c:v>
                </c:pt>
                <c:pt idx="7">
                  <c:v>885285.93</c:v>
                </c:pt>
                <c:pt idx="8">
                  <c:v>1150688.31</c:v>
                </c:pt>
                <c:pt idx="9">
                  <c:v>1207206.99</c:v>
                </c:pt>
                <c:pt idx="10">
                  <c:v>1594226.24</c:v>
                </c:pt>
                <c:pt idx="11">
                  <c:v>1443037.2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D7-487D-B20B-956CACF89128}"/>
            </c:ext>
          </c:extLst>
        </c:ser>
        <c:ser>
          <c:idx val="1"/>
          <c:order val="1"/>
          <c:tx>
            <c:strRef>
              <c:f>COMPARATIVOS!$A$3</c:f>
              <c:strCache>
                <c:ptCount val="1"/>
                <c:pt idx="0">
                  <c:v>FATURAMENTO BRUTO 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COMPARATIVOS!$B$1:$M$1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COMPARATIVOS!$B$3:$M$3</c:f>
              <c:numCache>
                <c:formatCode>#,##0.00_ ;[Red]\-#,##0.00\ </c:formatCode>
                <c:ptCount val="12"/>
                <c:pt idx="0">
                  <c:v>1101552.02</c:v>
                </c:pt>
                <c:pt idx="1">
                  <c:v>936890.74</c:v>
                </c:pt>
                <c:pt idx="2">
                  <c:v>1373580.81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D7-487D-B20B-956CACF89128}"/>
            </c:ext>
          </c:extLst>
        </c:ser>
        <c:ser>
          <c:idx val="2"/>
          <c:order val="2"/>
          <c:tx>
            <c:strRef>
              <c:f>COMPARATIVOS!$A$4</c:f>
              <c:strCache>
                <c:ptCount val="1"/>
                <c:pt idx="0">
                  <c:v>VARIAÇÃO 26X25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COMPARATIVOS!$B$1:$M$1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COMPARATIVOS!$B$4:$M$4</c:f>
              <c:numCache>
                <c:formatCode>0.00%</c:formatCode>
                <c:ptCount val="12"/>
                <c:pt idx="0">
                  <c:v>4.8277794986653344</c:v>
                </c:pt>
                <c:pt idx="1">
                  <c:v>2.3997111759143483</c:v>
                </c:pt>
                <c:pt idx="2">
                  <c:v>0.42345672662702638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3-4974-A495-BDC925F88D3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63181439"/>
        <c:axId val="1663190559"/>
      </c:lineChart>
      <c:catAx>
        <c:axId val="166318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3190559"/>
        <c:crosses val="autoZero"/>
        <c:auto val="1"/>
        <c:lblAlgn val="ctr"/>
        <c:lblOffset val="100"/>
        <c:noMultiLvlLbl val="0"/>
      </c:catAx>
      <c:valAx>
        <c:axId val="1663190559"/>
        <c:scaling>
          <c:orientation val="minMax"/>
        </c:scaling>
        <c:delete val="1"/>
        <c:axPos val="l"/>
        <c:numFmt formatCode="#,##0.00_ ;[Red]\-#,##0.00\ " sourceLinked="1"/>
        <c:majorTickMark val="none"/>
        <c:minorTickMark val="none"/>
        <c:tickLblPos val="nextTo"/>
        <c:crossAx val="166318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COMPARATIVOS!$A$25</c:f>
              <c:strCache>
                <c:ptCount val="1"/>
                <c:pt idx="0">
                  <c:v>BIKES FATURADAS 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COMPARATIVOS!$B$24:$M$24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COMPARATIVOS!$B$25:$M$25</c:f>
              <c:numCache>
                <c:formatCode>#,##0_ ;[Red]\-#,##0\ </c:formatCode>
                <c:ptCount val="12"/>
                <c:pt idx="0">
                  <c:v>282</c:v>
                </c:pt>
                <c:pt idx="1">
                  <c:v>471</c:v>
                </c:pt>
                <c:pt idx="2">
                  <c:v>1435</c:v>
                </c:pt>
                <c:pt idx="3">
                  <c:v>814</c:v>
                </c:pt>
                <c:pt idx="4">
                  <c:v>921</c:v>
                </c:pt>
                <c:pt idx="5">
                  <c:v>1142</c:v>
                </c:pt>
                <c:pt idx="6">
                  <c:v>1313</c:v>
                </c:pt>
                <c:pt idx="7">
                  <c:v>1291</c:v>
                </c:pt>
                <c:pt idx="8">
                  <c:v>1765</c:v>
                </c:pt>
                <c:pt idx="9">
                  <c:v>1825</c:v>
                </c:pt>
                <c:pt idx="10">
                  <c:v>2268</c:v>
                </c:pt>
                <c:pt idx="11">
                  <c:v>2185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B0-43D2-A920-5E6818EF724A}"/>
            </c:ext>
          </c:extLst>
        </c:ser>
        <c:ser>
          <c:idx val="1"/>
          <c:order val="1"/>
          <c:tx>
            <c:strRef>
              <c:f>COMPARATIVOS!$A$26</c:f>
              <c:strCache>
                <c:ptCount val="1"/>
                <c:pt idx="0">
                  <c:v>BIKES FATURADAS 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COMPARATIVOS!$B$24:$M$24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COMPARATIVOS!$B$26:$M$26</c:f>
              <c:numCache>
                <c:formatCode>#,##0_ ;[Red]\-#,##0\ </c:formatCode>
                <c:ptCount val="12"/>
                <c:pt idx="0">
                  <c:v>1647</c:v>
                </c:pt>
                <c:pt idx="1">
                  <c:v>1330</c:v>
                </c:pt>
                <c:pt idx="2">
                  <c:v>1877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B0-43D2-A920-5E6818EF724A}"/>
            </c:ext>
          </c:extLst>
        </c:ser>
        <c:ser>
          <c:idx val="2"/>
          <c:order val="2"/>
          <c:tx>
            <c:strRef>
              <c:f>COMPARATIVOS!$A$27</c:f>
              <c:strCache>
                <c:ptCount val="1"/>
                <c:pt idx="0">
                  <c:v>VARIAÇÃO 26X25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COMPARATIVOS!$B$24:$M$24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COMPARATIVOS!$B$27:$M$27</c:f>
              <c:numCache>
                <c:formatCode>0.00%</c:formatCode>
                <c:ptCount val="12"/>
                <c:pt idx="0">
                  <c:v>4.8404255319148932</c:v>
                </c:pt>
                <c:pt idx="1">
                  <c:v>1.8237791932059446</c:v>
                </c:pt>
                <c:pt idx="2">
                  <c:v>0.30801393728222992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C3-421B-B956-FBDE07A1BC0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46310175"/>
        <c:axId val="1646310655"/>
      </c:lineChart>
      <c:catAx>
        <c:axId val="164631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6310655"/>
        <c:crosses val="autoZero"/>
        <c:auto val="1"/>
        <c:lblAlgn val="ctr"/>
        <c:lblOffset val="100"/>
        <c:noMultiLvlLbl val="0"/>
      </c:catAx>
      <c:valAx>
        <c:axId val="1646310655"/>
        <c:scaling>
          <c:orientation val="minMax"/>
        </c:scaling>
        <c:delete val="1"/>
        <c:axPos val="l"/>
        <c:numFmt formatCode="#,##0_ ;[Red]\-#,##0\ " sourceLinked="1"/>
        <c:majorTickMark val="none"/>
        <c:minorTickMark val="none"/>
        <c:tickLblPos val="nextTo"/>
        <c:crossAx val="164631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MÉTRICAS!$B$74</c:f>
              <c:strCache>
                <c:ptCount val="1"/>
                <c:pt idx="0">
                  <c:v>FLUXO DE CAIXA (ENTRADAS - SAÍDAS)</c:v>
                </c:pt>
              </c:strCache>
            </c:strRef>
          </c:tx>
          <c:spPr>
            <a:ln w="28575" cap="rnd">
              <a:solidFill>
                <a:srgbClr val="19727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97278"/>
              </a:solidFill>
              <a:ln w="9525">
                <a:solidFill>
                  <a:srgbClr val="1972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7278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MÉTRICAS!$C$73:$D$73</c:f>
              <c:numCache>
                <c:formatCode>mmm\-yy</c:formatCode>
                <c:ptCount val="2"/>
                <c:pt idx="0">
                  <c:v>45931</c:v>
                </c:pt>
                <c:pt idx="1">
                  <c:v>45962</c:v>
                </c:pt>
              </c:numCache>
            </c:numRef>
          </c:cat>
          <c:val>
            <c:numRef>
              <c:f>MÉTRICAS!$C$74:$D$74</c:f>
              <c:numCache>
                <c:formatCode>#,##0.00</c:formatCode>
                <c:ptCount val="2"/>
                <c:pt idx="0">
                  <c:v>-22623.920000000158</c:v>
                </c:pt>
                <c:pt idx="1">
                  <c:v>-52069.949999999721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5-49CD-B9D2-86EB1EC8977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9766608"/>
        <c:axId val="1509765168"/>
      </c:lineChart>
      <c:dateAx>
        <c:axId val="15097666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9765168"/>
        <c:crosses val="autoZero"/>
        <c:auto val="1"/>
        <c:lblOffset val="100"/>
        <c:baseTimeUnit val="months"/>
      </c:dateAx>
      <c:valAx>
        <c:axId val="1509765168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50976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INDICADORES!$A$246</c:f>
              <c:strCache>
                <c:ptCount val="1"/>
                <c:pt idx="0">
                  <c:v>ENTRADAS NO MÊS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INDICADORES!$B$243:$G$243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INDICADORES!$B$246:$G$246</c:f>
              <c:numCache>
                <c:formatCode>#,##0.00_ ;[Red]\-#,##0.00\ </c:formatCode>
                <c:ptCount val="6"/>
                <c:pt idx="0">
                  <c:v>1123115.1399999999</c:v>
                </c:pt>
                <c:pt idx="1">
                  <c:v>1133990.43</c:v>
                </c:pt>
                <c:pt idx="2">
                  <c:v>1298393.21</c:v>
                </c:pt>
                <c:pt idx="3">
                  <c:v>1068022.31</c:v>
                </c:pt>
                <c:pt idx="4">
                  <c:v>691744.49</c:v>
                </c:pt>
                <c:pt idx="5">
                  <c:v>1036116.52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83-4D0B-8424-6BD55CB97856}"/>
            </c:ext>
          </c:extLst>
        </c:ser>
        <c:ser>
          <c:idx val="3"/>
          <c:order val="1"/>
          <c:tx>
            <c:strRef>
              <c:f>INDICADORES!$A$247</c:f>
              <c:strCache>
                <c:ptCount val="1"/>
                <c:pt idx="0">
                  <c:v>SAÍDAS NO MÊS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INDICADORES!$B$243:$G$243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INDICADORES!$B$247:$G$247</c:f>
              <c:numCache>
                <c:formatCode>#,##0.00_ ;[Red]\-#,##0.00\ </c:formatCode>
                <c:ptCount val="6"/>
                <c:pt idx="0">
                  <c:v>-1145739.06</c:v>
                </c:pt>
                <c:pt idx="1">
                  <c:v>-1186060.3799999997</c:v>
                </c:pt>
                <c:pt idx="2">
                  <c:v>-1232999.6099999996</c:v>
                </c:pt>
                <c:pt idx="3">
                  <c:v>-1143608.77</c:v>
                </c:pt>
                <c:pt idx="4">
                  <c:v>-893793.24999999988</c:v>
                </c:pt>
                <c:pt idx="5">
                  <c:v>-991713.57999999973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83-4D0B-8424-6BD55CB978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31867536"/>
        <c:axId val="1431869456"/>
      </c:barChart>
      <c:dateAx>
        <c:axId val="14318675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31869456"/>
        <c:crosses val="autoZero"/>
        <c:auto val="1"/>
        <c:lblOffset val="100"/>
        <c:baseTimeUnit val="months"/>
      </c:dateAx>
      <c:valAx>
        <c:axId val="1431869456"/>
        <c:scaling>
          <c:orientation val="minMax"/>
        </c:scaling>
        <c:delete val="1"/>
        <c:axPos val="l"/>
        <c:numFmt formatCode="#,##0.00_ ;[Red]\-#,##0.00\ " sourceLinked="1"/>
        <c:majorTickMark val="none"/>
        <c:minorTickMark val="none"/>
        <c:tickLblPos val="nextTo"/>
        <c:crossAx val="143186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INDICADORES!$A$244</c:f>
              <c:strCache>
                <c:ptCount val="1"/>
                <c:pt idx="0">
                  <c:v>FLUXO DE CAIXA (ENTRADAS - SAÍDAS)</c:v>
                </c:pt>
              </c:strCache>
            </c:strRef>
          </c:tx>
          <c:spPr>
            <a:ln w="28575" cap="rnd">
              <a:solidFill>
                <a:srgbClr val="197278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97278"/>
              </a:solidFill>
              <a:ln w="9525">
                <a:solidFill>
                  <a:srgbClr val="197278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97278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INDICADORES!$B$243:$C$243</c:f>
              <c:numCache>
                <c:formatCode>mmm\-yy</c:formatCode>
                <c:ptCount val="2"/>
                <c:pt idx="0">
                  <c:v>45931</c:v>
                </c:pt>
                <c:pt idx="1">
                  <c:v>45962</c:v>
                </c:pt>
              </c:numCache>
            </c:numRef>
          </c:cat>
          <c:val>
            <c:numRef>
              <c:f>INDICADORES!$B$244:$C$244</c:f>
              <c:numCache>
                <c:formatCode>#,##0.00</c:formatCode>
                <c:ptCount val="2"/>
                <c:pt idx="0">
                  <c:v>-22623.920000000158</c:v>
                </c:pt>
                <c:pt idx="1">
                  <c:v>-52069.949999999721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8E-45E5-983A-D0079C85C74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09766608"/>
        <c:axId val="1509765168"/>
      </c:lineChart>
      <c:dateAx>
        <c:axId val="15097666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9765168"/>
        <c:crosses val="autoZero"/>
        <c:auto val="1"/>
        <c:lblOffset val="100"/>
        <c:baseTimeUnit val="months"/>
      </c:dateAx>
      <c:valAx>
        <c:axId val="1509765168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50976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INDICADORES!$A$244</c:f>
              <c:strCache>
                <c:ptCount val="1"/>
                <c:pt idx="0">
                  <c:v>FLUXO DE CAIXA (ENTRADAS - SAÍDAS)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INDICADORES!$B$243:$G$243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INDICADORES!$B$244:$G$244</c:f>
              <c:numCache>
                <c:formatCode>#,##0.00</c:formatCode>
                <c:ptCount val="6"/>
                <c:pt idx="0">
                  <c:v>-22623.920000000158</c:v>
                </c:pt>
                <c:pt idx="1">
                  <c:v>-52069.949999999721</c:v>
                </c:pt>
                <c:pt idx="2">
                  <c:v>65393.600000000326</c:v>
                </c:pt>
                <c:pt idx="3">
                  <c:v>-75586.459999999963</c:v>
                </c:pt>
                <c:pt idx="4">
                  <c:v>-202048.75999999989</c:v>
                </c:pt>
                <c:pt idx="5">
                  <c:v>44402.940000000293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D7-4F67-B9D0-3F7B071D6FC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65716208"/>
        <c:axId val="1365732048"/>
      </c:lineChart>
      <c:dateAx>
        <c:axId val="13657162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5732048"/>
        <c:crosses val="autoZero"/>
        <c:auto val="1"/>
        <c:lblOffset val="100"/>
        <c:baseTimeUnit val="months"/>
      </c:dateAx>
      <c:valAx>
        <c:axId val="1365732048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36571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1"/>
          <c:tx>
            <c:strRef>
              <c:f>INDICADORES!$A$365</c:f>
              <c:strCache>
                <c:ptCount val="1"/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dLbl>
              <c:idx val="1"/>
              <c:layout>
                <c:manualLayout>
                  <c:x val="0"/>
                  <c:y val="0.171296296296296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A47-41C8-A3A8-431FBC59BB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INDICADORES!$B$354:$G$355</c:f>
              <c:multiLvlStrCache>
                <c:ptCount val="6"/>
                <c:lvl>
                  <c:pt idx="0">
                    <c:v>QTDE FATURADA</c:v>
                  </c:pt>
                  <c:pt idx="1">
                    <c:v>QTDE FATURADA</c:v>
                  </c:pt>
                  <c:pt idx="2">
                    <c:v>QTDE FATURADA</c:v>
                  </c:pt>
                  <c:pt idx="3">
                    <c:v>QTDE FATURADA</c:v>
                  </c:pt>
                  <c:pt idx="4">
                    <c:v>QTDE FATURADA</c:v>
                  </c:pt>
                  <c:pt idx="5">
                    <c:v>QTDE FATURADA</c:v>
                  </c:pt>
                </c:lvl>
                <c:lvl>
                  <c:pt idx="0">
                    <c:v>out/25</c:v>
                  </c:pt>
                  <c:pt idx="1">
                    <c:v>nov/25</c:v>
                  </c:pt>
                  <c:pt idx="2">
                    <c:v>dez/25</c:v>
                  </c:pt>
                  <c:pt idx="3">
                    <c:v>jan/26</c:v>
                  </c:pt>
                  <c:pt idx="4">
                    <c:v>fev/26</c:v>
                  </c:pt>
                  <c:pt idx="5">
                    <c:v>mar/26</c:v>
                  </c:pt>
                </c:lvl>
              </c:multiLvlStrCache>
            </c:multiLvlStrRef>
          </c:cat>
          <c:val>
            <c:numRef>
              <c:f>INDICADORES!$B$365:$G$365</c:f>
              <c:numCache>
                <c:formatCode>0.00%</c:formatCode>
                <c:ptCount val="6"/>
                <c:pt idx="1">
                  <c:v>0.24273972602739735</c:v>
                </c:pt>
                <c:pt idx="2">
                  <c:v>-3.6596119929453219E-2</c:v>
                </c:pt>
                <c:pt idx="3">
                  <c:v>-0.24622425629290623</c:v>
                </c:pt>
                <c:pt idx="4">
                  <c:v>-0.19247115968427442</c:v>
                </c:pt>
                <c:pt idx="5">
                  <c:v>0.41127819548872191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A47-41C8-A3A8-431FBC59B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760911632"/>
        <c:axId val="760894832"/>
      </c:barChart>
      <c:lineChart>
        <c:grouping val="standard"/>
        <c:varyColors val="0"/>
        <c:ser>
          <c:idx val="8"/>
          <c:order val="0"/>
          <c:tx>
            <c:strRef>
              <c:f>INDICADORES!$A$364</c:f>
              <c:strCache>
                <c:ptCount val="1"/>
                <c:pt idx="0">
                  <c:v>QUANTIDADE FATURADA GOTT</c:v>
                </c:pt>
              </c:strCache>
            </c:strRef>
          </c:tx>
          <c:spPr>
            <a:ln w="22225" cap="rnd">
              <a:solidFill>
                <a:schemeClr val="tx2">
                  <a:lumMod val="50000"/>
                  <a:lumOff val="50000"/>
                </a:schemeClr>
              </a:solidFill>
            </a:ln>
            <a:effectLst>
              <a:glow rad="139700">
                <a:schemeClr val="accent3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tx2">
                  <a:lumMod val="50000"/>
                  <a:lumOff val="50000"/>
                </a:schemeClr>
              </a:solidFill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effectLst>
                <a:glow rad="63500">
                  <a:schemeClr val="accent3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2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INDICADORES!$B$354:$G$355</c:f>
              <c:multiLvlStrCache>
                <c:ptCount val="6"/>
                <c:lvl>
                  <c:pt idx="0">
                    <c:v>QTDE FATURADA</c:v>
                  </c:pt>
                  <c:pt idx="1">
                    <c:v>QTDE FATURADA</c:v>
                  </c:pt>
                  <c:pt idx="2">
                    <c:v>QTDE FATURADA</c:v>
                  </c:pt>
                  <c:pt idx="3">
                    <c:v>QTDE FATURADA</c:v>
                  </c:pt>
                  <c:pt idx="4">
                    <c:v>QTDE FATURADA</c:v>
                  </c:pt>
                  <c:pt idx="5">
                    <c:v>QTDE FATURADA</c:v>
                  </c:pt>
                </c:lvl>
                <c:lvl>
                  <c:pt idx="0">
                    <c:v>out/25</c:v>
                  </c:pt>
                  <c:pt idx="1">
                    <c:v>nov/25</c:v>
                  </c:pt>
                  <c:pt idx="2">
                    <c:v>dez/25</c:v>
                  </c:pt>
                  <c:pt idx="3">
                    <c:v>jan/26</c:v>
                  </c:pt>
                  <c:pt idx="4">
                    <c:v>fev/26</c:v>
                  </c:pt>
                  <c:pt idx="5">
                    <c:v>mar/26</c:v>
                  </c:pt>
                </c:lvl>
              </c:multiLvlStrCache>
            </c:multiLvlStrRef>
          </c:cat>
          <c:val>
            <c:numRef>
              <c:f>INDICADORES!$B$364:$G$364</c:f>
              <c:numCache>
                <c:formatCode>#,##0_ ;[Red]\-#,##0\ </c:formatCode>
                <c:ptCount val="6"/>
                <c:pt idx="0">
                  <c:v>1825</c:v>
                </c:pt>
                <c:pt idx="1">
                  <c:v>2268</c:v>
                </c:pt>
                <c:pt idx="2">
                  <c:v>2185</c:v>
                </c:pt>
                <c:pt idx="3">
                  <c:v>1647</c:v>
                </c:pt>
                <c:pt idx="4">
                  <c:v>1330</c:v>
                </c:pt>
                <c:pt idx="5">
                  <c:v>1877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A47-41C8-A3A8-431FBC59B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532560"/>
        <c:axId val="1365731088"/>
      </c:lineChart>
      <c:catAx>
        <c:axId val="142053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5731088"/>
        <c:crosses val="autoZero"/>
        <c:auto val="1"/>
        <c:lblAlgn val="ctr"/>
        <c:lblOffset val="100"/>
        <c:noMultiLvlLbl val="0"/>
      </c:catAx>
      <c:valAx>
        <c:axId val="1365731088"/>
        <c:scaling>
          <c:orientation val="minMax"/>
        </c:scaling>
        <c:delete val="0"/>
        <c:axPos val="l"/>
        <c:numFmt formatCode="#,##0_ ;[Red]\-#,##0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0532560"/>
        <c:crosses val="autoZero"/>
        <c:crossBetween val="between"/>
      </c:valAx>
      <c:valAx>
        <c:axId val="760894832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0911632"/>
        <c:crosses val="max"/>
        <c:crossBetween val="between"/>
      </c:valAx>
      <c:catAx>
        <c:axId val="760911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08948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INDICADORES!$A$2</c:f>
              <c:strCache>
                <c:ptCount val="1"/>
                <c:pt idx="0">
                  <c:v>(+) FATURAMENTO BRUTO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numFmt formatCode="#,##0_ ;[Red]\-#,##0\ " sourceLinked="0"/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INDICADORES!$B$1:$G$1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INDICADORES!$B$2:$G$2</c:f>
              <c:numCache>
                <c:formatCode>#,##0.00_ ;[Red]\-#,##0.00\ </c:formatCode>
                <c:ptCount val="6"/>
                <c:pt idx="0">
                  <c:v>1207206.99</c:v>
                </c:pt>
                <c:pt idx="1">
                  <c:v>1594226.24</c:v>
                </c:pt>
                <c:pt idx="2">
                  <c:v>1443037.2</c:v>
                </c:pt>
                <c:pt idx="3">
                  <c:v>1101552.02</c:v>
                </c:pt>
                <c:pt idx="4">
                  <c:v>936890.74</c:v>
                </c:pt>
                <c:pt idx="5">
                  <c:v>1373580.81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BB-469D-85BF-4859A4AE9D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821392496"/>
        <c:axId val="821408336"/>
      </c:lineChart>
      <c:dateAx>
        <c:axId val="8213924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1408336"/>
        <c:crosses val="autoZero"/>
        <c:auto val="1"/>
        <c:lblOffset val="100"/>
        <c:baseTimeUnit val="months"/>
      </c:dateAx>
      <c:valAx>
        <c:axId val="821408336"/>
        <c:scaling>
          <c:orientation val="minMax"/>
        </c:scaling>
        <c:delete val="1"/>
        <c:axPos val="l"/>
        <c:numFmt formatCode="#,##0.00_ ;[Red]\-#,##0.00\ " sourceLinked="1"/>
        <c:majorTickMark val="none"/>
        <c:minorTickMark val="none"/>
        <c:tickLblPos val="nextTo"/>
        <c:crossAx val="82139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INDICADORES!$A$24</c:f>
              <c:strCache>
                <c:ptCount val="1"/>
                <c:pt idx="0">
                  <c:v>(-) RECEITA OPERACIONAL LÍQUIDA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numFmt formatCode="#,##0_ ;[Red]\-#,##0\ " sourceLinked="0"/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INDICADORES!$B$23:$G$23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INDICADORES!$B$24:$G$24</c:f>
              <c:numCache>
                <c:formatCode>#,##0.00_ ;[Red]\-#,##0.00\ </c:formatCode>
                <c:ptCount val="6"/>
                <c:pt idx="0">
                  <c:v>1162356.2999999998</c:v>
                </c:pt>
                <c:pt idx="1">
                  <c:v>1571947.25</c:v>
                </c:pt>
                <c:pt idx="2">
                  <c:v>1417014.93</c:v>
                </c:pt>
                <c:pt idx="3">
                  <c:v>1065364.2</c:v>
                </c:pt>
                <c:pt idx="4">
                  <c:v>891642.30890000006</c:v>
                </c:pt>
                <c:pt idx="5">
                  <c:v>1320167.7300000002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55-4C36-A996-A21AAC85FA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821443376"/>
        <c:axId val="821445776"/>
      </c:lineChart>
      <c:dateAx>
        <c:axId val="8214433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21445776"/>
        <c:crosses val="autoZero"/>
        <c:auto val="1"/>
        <c:lblOffset val="100"/>
        <c:baseTimeUnit val="months"/>
      </c:dateAx>
      <c:valAx>
        <c:axId val="821445776"/>
        <c:scaling>
          <c:orientation val="minMax"/>
        </c:scaling>
        <c:delete val="1"/>
        <c:axPos val="l"/>
        <c:numFmt formatCode="#,##0.00_ ;[Red]\-#,##0.00\ " sourceLinked="1"/>
        <c:majorTickMark val="none"/>
        <c:minorTickMark val="none"/>
        <c:tickLblPos val="nextTo"/>
        <c:crossAx val="82144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87413920"/>
        <c:axId val="1187417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INDICADORES!$A$87</c15:sqref>
                        </c15:formulaRef>
                      </c:ext>
                    </c:extLst>
                    <c:strCache>
                      <c:ptCount val="1"/>
                      <c:pt idx="0">
                        <c:v>(-) CUSTOS FIXOS OPERACIONAIS</c:v>
                      </c:pt>
                    </c:strCache>
                  </c:strRef>
                </c:tx>
                <c:spPr>
                  <a:noFill/>
                  <a:ln>
                    <a:solidFill>
                      <a:schemeClr val="accent2"/>
                    </a:solidFill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accent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INDICADORES!$B$85:$G$85</c15:sqref>
                        </c15:formulaRef>
                      </c:ext>
                    </c:extLst>
                    <c:numCache>
                      <c:formatCode>mmm\-yy</c:formatCode>
                      <c:ptCount val="6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INDICADORES!$B$87:$G$87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7.7373698772237903E-2</c:v>
                      </c:pt>
                      <c:pt idx="1">
                        <c:v>6.5824666140233648E-2</c:v>
                      </c:pt>
                      <c:pt idx="2">
                        <c:v>7.5296700597877866E-2</c:v>
                      </c:pt>
                      <c:pt idx="3">
                        <c:v>0.10891255049398393</c:v>
                      </c:pt>
                      <c:pt idx="4">
                        <c:v>0.12757770452507622</c:v>
                      </c:pt>
                      <c:pt idx="5">
                        <c:v>0.1004990671062156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B81-43E4-9F74-EF987ACCDF4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INDICADORES!$A$86</c:f>
              <c:strCache>
                <c:ptCount val="1"/>
                <c:pt idx="0">
                  <c:v>(-) CUSTOS FIXOS OPERACIONAIS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INDICADORES!$B$85:$G$85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INDICADORES!$B$86:$G$86</c:f>
              <c:numCache>
                <c:formatCode>#,##0.00_ ;[Red]\-#,##0.00\ </c:formatCode>
                <c:ptCount val="6"/>
                <c:pt idx="0">
                  <c:v>93406.07</c:v>
                </c:pt>
                <c:pt idx="1">
                  <c:v>104939.41</c:v>
                </c:pt>
                <c:pt idx="2">
                  <c:v>108655.94</c:v>
                </c:pt>
                <c:pt idx="3">
                  <c:v>119972.84</c:v>
                </c:pt>
                <c:pt idx="4">
                  <c:v>119526.37</c:v>
                </c:pt>
                <c:pt idx="5">
                  <c:v>138043.59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81-43E4-9F74-EF987ACCDF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39740704"/>
        <c:axId val="1239742144"/>
      </c:lineChart>
      <c:dateAx>
        <c:axId val="12397407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742144"/>
        <c:crosses val="autoZero"/>
        <c:auto val="1"/>
        <c:lblOffset val="100"/>
        <c:baseTimeUnit val="months"/>
      </c:dateAx>
      <c:valAx>
        <c:axId val="1239742144"/>
        <c:scaling>
          <c:orientation val="minMax"/>
        </c:scaling>
        <c:delete val="0"/>
        <c:axPos val="l"/>
        <c:numFmt formatCode="#,##0.00_ ;[Red]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9740704"/>
        <c:crosses val="autoZero"/>
        <c:crossBetween val="between"/>
      </c:valAx>
      <c:valAx>
        <c:axId val="118741728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87413920"/>
        <c:crosses val="max"/>
        <c:crossBetween val="between"/>
      </c:valAx>
      <c:catAx>
        <c:axId val="118741392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187417280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315"/>
        <c:axId val="756020400"/>
        <c:axId val="75601992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INDICADORES!$A$51</c15:sqref>
                        </c15:formulaRef>
                      </c:ext>
                    </c:extLst>
                    <c:strCache>
                      <c:ptCount val="1"/>
                      <c:pt idx="0">
                        <c:v>(=) MARGEM DE CONTRIBUIÇÃO</c:v>
                      </c:pt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lt1">
                              <a:lumMod val="7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50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INDICADORES!$B$49:$G$49</c15:sqref>
                        </c15:formulaRef>
                      </c:ext>
                    </c:extLst>
                    <c:numCache>
                      <c:formatCode>mmm\-yy</c:formatCode>
                      <c:ptCount val="6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INDICADORES!$B$51:$G$51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0.19800991771096346</c:v>
                      </c:pt>
                      <c:pt idx="1">
                        <c:v>0.18180804626575464</c:v>
                      </c:pt>
                      <c:pt idx="2">
                        <c:v>0.206427457310179</c:v>
                      </c:pt>
                      <c:pt idx="3">
                        <c:v>0.18180623598693044</c:v>
                      </c:pt>
                      <c:pt idx="4">
                        <c:v>0.14505085128709888</c:v>
                      </c:pt>
                      <c:pt idx="5">
                        <c:v>0.17894688573146267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840-408A-8A9A-7FDB6C5CBBCE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INDICADORES!$A$50</c:f>
              <c:strCache>
                <c:ptCount val="1"/>
                <c:pt idx="0">
                  <c:v>(=) MARGEM DE CONTRIBUIÇÃO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numFmt formatCode="#,##0_ ;[Red]\-#,##0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INDICADORES!$B$49:$G$49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INDICADORES!$B$50:$G$50</c:f>
              <c:numCache>
                <c:formatCode>#,##0.00_ ;[Red]\-#,##0.00\ </c:formatCode>
                <c:ptCount val="6"/>
                <c:pt idx="0">
                  <c:v>239038.9567499999</c:v>
                </c:pt>
                <c:pt idx="1">
                  <c:v>289843.15800000005</c:v>
                </c:pt>
                <c:pt idx="2">
                  <c:v>297882.50000000023</c:v>
                </c:pt>
                <c:pt idx="3">
                  <c:v>200269.02649999992</c:v>
                </c:pt>
                <c:pt idx="4">
                  <c:v>135896.79940000002</c:v>
                </c:pt>
                <c:pt idx="5">
                  <c:v>245798.00824999996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0-408A-8A9A-7FDB6C5CBBC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014320832"/>
        <c:axId val="2014322272"/>
      </c:lineChart>
      <c:dateAx>
        <c:axId val="20143208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4322272"/>
        <c:crosses val="autoZero"/>
        <c:auto val="1"/>
        <c:lblOffset val="100"/>
        <c:baseTimeUnit val="months"/>
      </c:dateAx>
      <c:valAx>
        <c:axId val="2014322272"/>
        <c:scaling>
          <c:orientation val="minMax"/>
        </c:scaling>
        <c:delete val="0"/>
        <c:axPos val="l"/>
        <c:numFmt formatCode="#,##0.00_ ;[Red]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4320832"/>
        <c:crosses val="autoZero"/>
        <c:crossBetween val="between"/>
      </c:valAx>
      <c:valAx>
        <c:axId val="75601992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6020400"/>
        <c:crosses val="max"/>
        <c:crossBetween val="between"/>
      </c:valAx>
      <c:catAx>
        <c:axId val="75602040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56019920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INDICADORES!$A$123</c:f>
              <c:strCache>
                <c:ptCount val="1"/>
                <c:pt idx="0">
                  <c:v>(=) RESULTADO OPERACIONAL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INDICADORES!$B$121:$G$121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INDICADORES!$B$123:$G$123</c:f>
              <c:numCache>
                <c:formatCode>0.00%</c:formatCode>
                <c:ptCount val="6"/>
                <c:pt idx="0">
                  <c:v>0.12063621893872557</c:v>
                </c:pt>
                <c:pt idx="1">
                  <c:v>0.11598338012552099</c:v>
                </c:pt>
                <c:pt idx="2">
                  <c:v>0.13113075671230112</c:v>
                </c:pt>
                <c:pt idx="3">
                  <c:v>7.2893685492946503E-2</c:v>
                </c:pt>
                <c:pt idx="4">
                  <c:v>1.7473146762022669E-2</c:v>
                </c:pt>
                <c:pt idx="5">
                  <c:v>7.8447818625247065E-2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3C-4C17-BE5D-ECD195107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axId val="709767760"/>
        <c:axId val="709760080"/>
      </c:barChart>
      <c:lineChart>
        <c:grouping val="standard"/>
        <c:varyColors val="0"/>
        <c:ser>
          <c:idx val="0"/>
          <c:order val="0"/>
          <c:tx>
            <c:strRef>
              <c:f>INDICADORES!$A$122</c:f>
              <c:strCache>
                <c:ptCount val="1"/>
                <c:pt idx="0">
                  <c:v>(=) RESULTADO OPERACIONAL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INDICADORES!$B$121:$G$121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INDICADORES!$B$122:$G$122</c:f>
              <c:numCache>
                <c:formatCode>#,##0.00_ ;[Red]\-#,##0.00\ </c:formatCode>
                <c:ptCount val="6"/>
                <c:pt idx="0">
                  <c:v>145632.88674999989</c:v>
                </c:pt>
                <c:pt idx="1">
                  <c:v>184903.74800000005</c:v>
                </c:pt>
                <c:pt idx="2">
                  <c:v>189226.56000000023</c:v>
                </c:pt>
                <c:pt idx="3">
                  <c:v>80296.186499999923</c:v>
                </c:pt>
                <c:pt idx="4">
                  <c:v>16370.429400000023</c:v>
                </c:pt>
                <c:pt idx="5">
                  <c:v>107754.41824999996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3C-4C17-BE5D-ECD1951074C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97517952"/>
        <c:axId val="597522752"/>
      </c:lineChart>
      <c:dateAx>
        <c:axId val="59751795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7522752"/>
        <c:crosses val="autoZero"/>
        <c:auto val="1"/>
        <c:lblOffset val="100"/>
        <c:baseTimeUnit val="months"/>
      </c:dateAx>
      <c:valAx>
        <c:axId val="597522752"/>
        <c:scaling>
          <c:orientation val="minMax"/>
        </c:scaling>
        <c:delete val="0"/>
        <c:axPos val="l"/>
        <c:numFmt formatCode="#,##0.00_ ;[Red]\-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7517952"/>
        <c:crosses val="autoZero"/>
        <c:crossBetween val="between"/>
      </c:valAx>
      <c:valAx>
        <c:axId val="70976008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9767760"/>
        <c:crosses val="max"/>
        <c:crossBetween val="between"/>
      </c:valAx>
      <c:dateAx>
        <c:axId val="70976776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709760080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INDICADORES!$A$336</c:f>
              <c:strCache>
                <c:ptCount val="1"/>
                <c:pt idx="0">
                  <c:v>(=) Saldo Patrimonial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numFmt formatCode="#,##0_ ;[Red]\-#,##0\ " sourceLinked="0"/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INDICADORES!$B$335:$G$335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INDICADORES!$B$336:$G$336</c:f>
              <c:numCache>
                <c:formatCode>#,##0.00</c:formatCode>
                <c:ptCount val="6"/>
                <c:pt idx="0">
                  <c:v>-352030.60000000009</c:v>
                </c:pt>
                <c:pt idx="1">
                  <c:v>-128560.24000000022</c:v>
                </c:pt>
                <c:pt idx="2">
                  <c:v>-8375.2600000000093</c:v>
                </c:pt>
                <c:pt idx="3">
                  <c:v>-12267.219999999972</c:v>
                </c:pt>
                <c:pt idx="4">
                  <c:v>-79085.87</c:v>
                </c:pt>
                <c:pt idx="5">
                  <c:v>-28887.830000000191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C-46EE-A01B-E0EC137E14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236774016"/>
        <c:axId val="1236774496"/>
      </c:lineChart>
      <c:dateAx>
        <c:axId val="12367740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6774496"/>
        <c:crosses val="autoZero"/>
        <c:auto val="1"/>
        <c:lblOffset val="100"/>
        <c:baseTimeUnit val="months"/>
      </c:dateAx>
      <c:valAx>
        <c:axId val="1236774496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23677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INDICADORES!$A$570</c:f>
              <c:strCache>
                <c:ptCount val="1"/>
                <c:pt idx="0">
                  <c:v>Giro de Estoque Geral em Dias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INDICADORES!$B$569:$G$569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INDICADORES!$B$570:$G$570</c:f>
              <c:numCache>
                <c:formatCode>#,##0_ ;[Red]\-#,##0\ </c:formatCode>
                <c:ptCount val="6"/>
                <c:pt idx="0">
                  <c:v>60.997895303536609</c:v>
                </c:pt>
                <c:pt idx="1">
                  <c:v>43.834796628404732</c:v>
                </c:pt>
                <c:pt idx="2">
                  <c:v>35.632101896980629</c:v>
                </c:pt>
                <c:pt idx="3">
                  <c:v>55.593302458675083</c:v>
                </c:pt>
                <c:pt idx="4">
                  <c:v>65.518944071441581</c:v>
                </c:pt>
                <c:pt idx="5">
                  <c:v>30.568335691731917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9-466F-BC53-FAE0B62CC14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34567071"/>
        <c:axId val="634567551"/>
      </c:barChart>
      <c:lineChart>
        <c:grouping val="standard"/>
        <c:varyColors val="0"/>
        <c:ser>
          <c:idx val="1"/>
          <c:order val="1"/>
          <c:tx>
            <c:strRef>
              <c:f>INDICADORES!$A$571</c:f>
              <c:strCache>
                <c:ptCount val="1"/>
                <c:pt idx="0">
                  <c:v>Giro de Estoque Peças em Dias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INDICADORES!$B$569:$G$569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INDICADORES!$B$571:$G$571</c:f>
              <c:numCache>
                <c:formatCode>#,##0_ ;[Red]\-#,##0\ </c:formatCode>
                <c:ptCount val="6"/>
                <c:pt idx="0">
                  <c:v>58.585535990907324</c:v>
                </c:pt>
                <c:pt idx="1">
                  <c:v>39.786825377529027</c:v>
                </c:pt>
                <c:pt idx="2">
                  <c:v>31.583933905273891</c:v>
                </c:pt>
                <c:pt idx="3">
                  <c:v>48.709041218369812</c:v>
                </c:pt>
                <c:pt idx="4">
                  <c:v>50.683273600908777</c:v>
                </c:pt>
                <c:pt idx="5">
                  <c:v>22.877695534302667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34-4375-9697-9D35848B0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4567071"/>
        <c:axId val="634567551"/>
      </c:lineChart>
      <c:dateAx>
        <c:axId val="63456707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4567551"/>
        <c:crosses val="autoZero"/>
        <c:auto val="1"/>
        <c:lblOffset val="100"/>
        <c:baseTimeUnit val="months"/>
      </c:dateAx>
      <c:valAx>
        <c:axId val="634567551"/>
        <c:scaling>
          <c:orientation val="minMax"/>
        </c:scaling>
        <c:delete val="1"/>
        <c:axPos val="l"/>
        <c:numFmt formatCode="#,##0_ ;[Red]\-#,##0\ " sourceLinked="1"/>
        <c:majorTickMark val="none"/>
        <c:minorTickMark val="none"/>
        <c:tickLblPos val="nextTo"/>
        <c:crossAx val="63456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INDICADORES!$A$458</c:f>
              <c:strCache>
                <c:ptCount val="1"/>
                <c:pt idx="0">
                  <c:v>(-) Contas a Pagar DDA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INDICADORES!$B$457:$G$457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INDICADORES!$B$458:$G$458</c:f>
              <c:numCache>
                <c:formatCode>#,##0.00_ ;[Red]\-#,##0.00\ </c:formatCode>
                <c:ptCount val="6"/>
                <c:pt idx="0">
                  <c:v>2460338.56</c:v>
                </c:pt>
                <c:pt idx="1">
                  <c:v>1688812.35</c:v>
                </c:pt>
                <c:pt idx="2">
                  <c:v>1513014.68</c:v>
                </c:pt>
                <c:pt idx="3">
                  <c:v>1410399.34</c:v>
                </c:pt>
                <c:pt idx="4">
                  <c:v>1030284.4999999999</c:v>
                </c:pt>
                <c:pt idx="5">
                  <c:v>708938.67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D-4360-B901-64E5A86058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72274640"/>
        <c:axId val="72276080"/>
      </c:lineChart>
      <c:dateAx>
        <c:axId val="7227464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2276080"/>
        <c:crosses val="autoZero"/>
        <c:auto val="1"/>
        <c:lblOffset val="100"/>
        <c:baseTimeUnit val="months"/>
      </c:dateAx>
      <c:valAx>
        <c:axId val="72276080"/>
        <c:scaling>
          <c:orientation val="minMax"/>
        </c:scaling>
        <c:delete val="1"/>
        <c:axPos val="l"/>
        <c:numFmt formatCode="#,##0.00_ ;[Red]\-#,##0.00\ " sourceLinked="1"/>
        <c:majorTickMark val="none"/>
        <c:minorTickMark val="none"/>
        <c:tickLblPos val="nextTo"/>
        <c:crossAx val="72274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INDICADORES!$A$509</c:f>
              <c:strCache>
                <c:ptCount val="1"/>
                <c:pt idx="0">
                  <c:v>Variação das Disponibilidades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dLbl>
              <c:idx val="2"/>
              <c:layout>
                <c:manualLayout>
                  <c:x val="-7.7929864671574769E-2"/>
                  <c:y val="-0.111111111111111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0B-4E2A-96AB-30C2FC770D58}"/>
                </c:ext>
              </c:extLst>
            </c:dLbl>
            <c:numFmt formatCode="#,##0.00_ ;[Red]\-#,##0.00\ " sourceLinked="0"/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INDICADORES!$B$508:$G$508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INDICADORES!$B$509:$G$509</c:f>
              <c:numCache>
                <c:formatCode>#,##0.00</c:formatCode>
                <c:ptCount val="6"/>
                <c:pt idx="0">
                  <c:v>0</c:v>
                </c:pt>
                <c:pt idx="1">
                  <c:v>-134069.95000000001</c:v>
                </c:pt>
                <c:pt idx="2">
                  <c:v>-14496.399999999994</c:v>
                </c:pt>
                <c:pt idx="3">
                  <c:v>-200627.76</c:v>
                </c:pt>
                <c:pt idx="4">
                  <c:v>-200176.74000000005</c:v>
                </c:pt>
                <c:pt idx="5">
                  <c:v>43278.120000000054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0B-4E2A-96AB-30C2FC770D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97132320"/>
        <c:axId val="997133280"/>
      </c:lineChart>
      <c:dateAx>
        <c:axId val="9971323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7133280"/>
        <c:crosses val="autoZero"/>
        <c:auto val="1"/>
        <c:lblOffset val="100"/>
        <c:baseTimeUnit val="months"/>
      </c:dateAx>
      <c:valAx>
        <c:axId val="997133280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99713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INDICADORES!$A$169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INDICADORES!$B$167:$G$167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INDICADORES!$B$169:$G$169</c:f>
              <c:numCache>
                <c:formatCode>0.00%</c:formatCode>
                <c:ptCount val="6"/>
                <c:pt idx="0">
                  <c:v>7.5764750790583049E-2</c:v>
                </c:pt>
                <c:pt idx="1">
                  <c:v>0.1046686497896309</c:v>
                </c:pt>
                <c:pt idx="2">
                  <c:v>0.10375518385804623</c:v>
                </c:pt>
                <c:pt idx="3">
                  <c:v>4.1966984455259697E-2</c:v>
                </c:pt>
                <c:pt idx="4">
                  <c:v>-1.5898663487697594E-2</c:v>
                </c:pt>
                <c:pt idx="5">
                  <c:v>3.807830443554315E-2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9B-45DB-9557-4649FCC02D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90205167"/>
        <c:axId val="90205647"/>
      </c:barChart>
      <c:lineChart>
        <c:grouping val="standard"/>
        <c:varyColors val="0"/>
        <c:ser>
          <c:idx val="0"/>
          <c:order val="0"/>
          <c:tx>
            <c:strRef>
              <c:f>INDICADORES!$A$168</c:f>
              <c:strCache>
                <c:ptCount val="1"/>
                <c:pt idx="0">
                  <c:v>(=) RESULTADO APÓS DISTRIBUIÇÕES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dLbl>
              <c:idx val="3"/>
              <c:layout>
                <c:manualLayout>
                  <c:x val="-4.9669722516776975E-2"/>
                  <c:y val="-0.179745188101487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D9B-45DB-9557-4649FCC02DD3}"/>
                </c:ext>
              </c:extLst>
            </c:dLbl>
            <c:dLbl>
              <c:idx val="4"/>
              <c:layout>
                <c:manualLayout>
                  <c:x val="-4.5330123430517129E-2"/>
                  <c:y val="-0.19363407699037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3A2-4D90-B01C-022A96E875B1}"/>
                </c:ext>
              </c:extLst>
            </c:dLbl>
            <c:numFmt formatCode="#,##0.00_ ;[Red]\-#,##0.00\ 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INDICADORES!$B$167:$G$167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INDICADORES!$B$168:$G$168</c:f>
              <c:numCache>
                <c:formatCode>#,##0.00_ ;[Red]\-#,##0.00\ </c:formatCode>
                <c:ptCount val="6"/>
                <c:pt idx="0">
                  <c:v>91463.73674999988</c:v>
                </c:pt>
                <c:pt idx="1">
                  <c:v>166865.50800000006</c:v>
                </c:pt>
                <c:pt idx="2">
                  <c:v>149722.59000000023</c:v>
                </c:pt>
                <c:pt idx="3" formatCode="#,##0.00">
                  <c:v>46228.816499999921</c:v>
                </c:pt>
                <c:pt idx="4" formatCode="#,##0.00">
                  <c:v>-14895.310599999979</c:v>
                </c:pt>
                <c:pt idx="5" formatCode="#,##0.00">
                  <c:v>52303.628249999958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9B-45DB-9557-4649FCC02DD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0205167"/>
        <c:axId val="90205647"/>
      </c:lineChart>
      <c:dateAx>
        <c:axId val="9020516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205647"/>
        <c:crosses val="autoZero"/>
        <c:auto val="1"/>
        <c:lblOffset val="100"/>
        <c:baseTimeUnit val="months"/>
      </c:dateAx>
      <c:valAx>
        <c:axId val="9020564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9020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INDICADORES!$A$188</c:f>
              <c:strCache>
                <c:ptCount val="1"/>
                <c:pt idx="0">
                  <c:v>(=) PONTO DE EQUILÍBRIO GERENCIAL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INDICADORES!$B$187:$G$187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INDICADORES!$B$188:$G$188</c:f>
              <c:numCache>
                <c:formatCode>#,##0.00_ ;[Red]\-#,##0.00\ </c:formatCode>
                <c:ptCount val="6"/>
                <c:pt idx="0">
                  <c:v>745292.06267039955</c:v>
                </c:pt>
                <c:pt idx="1">
                  <c:v>676414.78210617614</c:v>
                </c:pt>
                <c:pt idx="2">
                  <c:v>717733.54150932608</c:v>
                </c:pt>
                <c:pt idx="3">
                  <c:v>847276.8228427188</c:v>
                </c:pt>
                <c:pt idx="4">
                  <c:v>1039581.0066742555</c:v>
                </c:pt>
                <c:pt idx="5">
                  <c:v>1081295.0401962739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F3-46F4-AE6B-D466DFBF170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0174927"/>
        <c:axId val="90176367"/>
      </c:lineChart>
      <c:dateAx>
        <c:axId val="9017492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176367"/>
        <c:crosses val="autoZero"/>
        <c:auto val="1"/>
        <c:lblOffset val="100"/>
        <c:baseTimeUnit val="months"/>
      </c:dateAx>
      <c:valAx>
        <c:axId val="90176367"/>
        <c:scaling>
          <c:orientation val="minMax"/>
        </c:scaling>
        <c:delete val="1"/>
        <c:axPos val="l"/>
        <c:numFmt formatCode="#,##0.00_ ;[Red]\-#,##0.00\ " sourceLinked="1"/>
        <c:majorTickMark val="none"/>
        <c:minorTickMark val="none"/>
        <c:tickLblPos val="nextTo"/>
        <c:crossAx val="9017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strRef>
              <c:f>INDICADORES!$A$615</c:f>
              <c:strCache>
                <c:ptCount val="1"/>
                <c:pt idx="0">
                  <c:v>Nº de Biclicletas a Faturar com o Estoque atual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INDICADORES!$B$610:$G$610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INDICADORES!$B$615:$G$615</c:f>
              <c:numCache>
                <c:formatCode>#,##0</c:formatCode>
                <c:ptCount val="6"/>
                <c:pt idx="0">
                  <c:v>4824.8234848664288</c:v>
                </c:pt>
                <c:pt idx="1">
                  <c:v>2379.2484976746032</c:v>
                </c:pt>
                <c:pt idx="2">
                  <c:v>2521.2181333034573</c:v>
                </c:pt>
                <c:pt idx="3">
                  <c:v>3662.8372270886302</c:v>
                </c:pt>
                <c:pt idx="4">
                  <c:v>2392.7217645963337</c:v>
                </c:pt>
                <c:pt idx="5">
                  <c:v>1436.5235157394125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30-485C-B245-6CB24B9C53C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297687103"/>
        <c:axId val="1297692383"/>
      </c:lineChart>
      <c:dateAx>
        <c:axId val="129768710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7692383"/>
        <c:crosses val="autoZero"/>
        <c:auto val="1"/>
        <c:lblOffset val="100"/>
        <c:baseTimeUnit val="months"/>
      </c:dateAx>
      <c:valAx>
        <c:axId val="129769238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29768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INDICADORES!$A$300</c:f>
              <c:strCache>
                <c:ptCount val="1"/>
                <c:pt idx="0">
                  <c:v>ENTRADAS NO MÊS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INDICADORES!$B$298:$G$298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INDICADORES!$B$300:$G$300</c:f>
              <c:numCache>
                <c:formatCode>#,##0.00</c:formatCode>
                <c:ptCount val="6"/>
                <c:pt idx="0">
                  <c:v>1123115.1399999999</c:v>
                </c:pt>
                <c:pt idx="1">
                  <c:v>1133990.43</c:v>
                </c:pt>
                <c:pt idx="2">
                  <c:v>1298393.21</c:v>
                </c:pt>
                <c:pt idx="3">
                  <c:v>1068022.31</c:v>
                </c:pt>
                <c:pt idx="4">
                  <c:v>691744.49</c:v>
                </c:pt>
                <c:pt idx="5">
                  <c:v>1036116.52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8-4781-9350-57256BB9AD27}"/>
            </c:ext>
          </c:extLst>
        </c:ser>
        <c:ser>
          <c:idx val="2"/>
          <c:order val="2"/>
          <c:tx>
            <c:strRef>
              <c:f>INDICADORES!$A$301</c:f>
              <c:strCache>
                <c:ptCount val="1"/>
                <c:pt idx="0">
                  <c:v>INDICADOR ENTRADAS X FATURAMENTO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INDICADORES!$B$298:$G$298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INDICADORES!$B$301:$G$301</c:f>
              <c:numCache>
                <c:formatCode>0.00%</c:formatCode>
                <c:ptCount val="6"/>
                <c:pt idx="0">
                  <c:v>0.93034181321299336</c:v>
                </c:pt>
                <c:pt idx="1">
                  <c:v>0.71131085510171999</c:v>
                </c:pt>
                <c:pt idx="2">
                  <c:v>0.89976419873306113</c:v>
                </c:pt>
                <c:pt idx="3">
                  <c:v>0.96956139211655212</c:v>
                </c:pt>
                <c:pt idx="4">
                  <c:v>0.73834062016665891</c:v>
                </c:pt>
                <c:pt idx="5">
                  <c:v>0.75431784752438413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B8-4781-9350-57256BB9A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2050720"/>
        <c:axId val="1252047840"/>
      </c:barChart>
      <c:lineChart>
        <c:grouping val="standard"/>
        <c:varyColors val="0"/>
        <c:ser>
          <c:idx val="0"/>
          <c:order val="0"/>
          <c:tx>
            <c:strRef>
              <c:f>INDICADORES!$A$299</c:f>
              <c:strCache>
                <c:ptCount val="1"/>
                <c:pt idx="0">
                  <c:v>(+) FATURAMENTO BRUTO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INDICADORES!$B$298:$G$298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INDICADORES!$B$299:$G$299</c:f>
              <c:numCache>
                <c:formatCode>#,##0.00</c:formatCode>
                <c:ptCount val="6"/>
                <c:pt idx="0">
                  <c:v>1207206.99</c:v>
                </c:pt>
                <c:pt idx="1">
                  <c:v>1594226.24</c:v>
                </c:pt>
                <c:pt idx="2">
                  <c:v>1443037.2</c:v>
                </c:pt>
                <c:pt idx="3">
                  <c:v>1101552.02</c:v>
                </c:pt>
                <c:pt idx="4">
                  <c:v>936890.74</c:v>
                </c:pt>
                <c:pt idx="5">
                  <c:v>1373580.81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B8-4781-9350-57256BB9A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2050720"/>
        <c:axId val="1252047840"/>
      </c:lineChart>
      <c:dateAx>
        <c:axId val="12520507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52047840"/>
        <c:crosses val="autoZero"/>
        <c:auto val="1"/>
        <c:lblOffset val="100"/>
        <c:baseTimeUnit val="months"/>
      </c:dateAx>
      <c:valAx>
        <c:axId val="1252047840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125205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INDICADORES!$A$416</c:f>
              <c:strCache>
                <c:ptCount val="1"/>
                <c:pt idx="0">
                  <c:v>(+) Estoque Geral Preço de Custo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INDICADORES!$B$415:$G$415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INDICADORES!$B$416:$G$416</c:f>
              <c:numCache>
                <c:formatCode>#,##0.00_ ;[Red]\-#,##0.00\ </c:formatCode>
                <c:ptCount val="6"/>
                <c:pt idx="0">
                  <c:v>1870693.04</c:v>
                </c:pt>
                <c:pt idx="1">
                  <c:v>1047609.13</c:v>
                </c:pt>
                <c:pt idx="2">
                  <c:v>989532.32</c:v>
                </c:pt>
                <c:pt idx="3">
                  <c:v>1484653.61</c:v>
                </c:pt>
                <c:pt idx="4">
                  <c:v>1039728.7999999999</c:v>
                </c:pt>
                <c:pt idx="5">
                  <c:v>625302.88999999978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6F-4F45-9F56-A49AF85C1C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168310415"/>
        <c:axId val="1168308495"/>
      </c:lineChart>
      <c:dateAx>
        <c:axId val="11683104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8308495"/>
        <c:crosses val="autoZero"/>
        <c:auto val="1"/>
        <c:lblOffset val="100"/>
        <c:baseTimeUnit val="months"/>
      </c:dateAx>
      <c:valAx>
        <c:axId val="1168308495"/>
        <c:scaling>
          <c:orientation val="minMax"/>
        </c:scaling>
        <c:delete val="1"/>
        <c:axPos val="l"/>
        <c:numFmt formatCode="#,##0.00_ ;[Red]\-#,##0.00\ " sourceLinked="1"/>
        <c:majorTickMark val="none"/>
        <c:minorTickMark val="none"/>
        <c:tickLblPos val="nextTo"/>
        <c:crossAx val="1168310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3"/>
          <c:order val="0"/>
          <c:tx>
            <c:strRef>
              <c:f>INDICADORES!$A$419</c:f>
              <c:strCache>
                <c:ptCount val="1"/>
                <c:pt idx="0">
                  <c:v>(+) Compras (R$)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INDICADORES!$B$415:$G$415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INDICADORES!$B$419:$G$419</c:f>
              <c:numCache>
                <c:formatCode>#,##0.00_ ;[Red]\-#,##0.00\ </c:formatCode>
                <c:ptCount val="6"/>
                <c:pt idx="0">
                  <c:v>653601</c:v>
                </c:pt>
                <c:pt idx="1">
                  <c:v>130272.71</c:v>
                </c:pt>
                <c:pt idx="2">
                  <c:v>722430.91</c:v>
                </c:pt>
                <c:pt idx="3">
                  <c:v>803250.69</c:v>
                </c:pt>
                <c:pt idx="4">
                  <c:v>68376.03</c:v>
                </c:pt>
                <c:pt idx="5">
                  <c:v>402611.25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E8-492D-9E8D-53538748A2B4}"/>
            </c:ext>
          </c:extLst>
        </c:ser>
        <c:ser>
          <c:idx val="4"/>
          <c:order val="1"/>
          <c:tx>
            <c:strRef>
              <c:f>INDICADORES!$A$420</c:f>
              <c:strCache>
                <c:ptCount val="1"/>
                <c:pt idx="0">
                  <c:v>(-) PAGAMENTOS DAS MERCADORIAS VENDIDAS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INDICADORES!$B$415:$G$415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INDICADORES!$B$420:$G$420</c:f>
              <c:numCache>
                <c:formatCode>#,##0.00_ ;[Red]\-#,##0.00\ </c:formatCode>
                <c:ptCount val="6"/>
                <c:pt idx="0">
                  <c:v>965385.46</c:v>
                </c:pt>
                <c:pt idx="1">
                  <c:v>956175.12999999966</c:v>
                </c:pt>
                <c:pt idx="2">
                  <c:v>923865.01999999932</c:v>
                </c:pt>
                <c:pt idx="3">
                  <c:v>942086.27999999991</c:v>
                </c:pt>
                <c:pt idx="4">
                  <c:v>706911.0399999998</c:v>
                </c:pt>
                <c:pt idx="5">
                  <c:v>709376.57999999973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E8-492D-9E8D-53538748A2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89580687"/>
        <c:axId val="1289578287"/>
      </c:lineChart>
      <c:dateAx>
        <c:axId val="128958068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89578287"/>
        <c:crosses val="autoZero"/>
        <c:auto val="1"/>
        <c:lblOffset val="100"/>
        <c:baseTimeUnit val="months"/>
      </c:dateAx>
      <c:valAx>
        <c:axId val="1289578287"/>
        <c:scaling>
          <c:orientation val="minMax"/>
        </c:scaling>
        <c:delete val="1"/>
        <c:axPos val="l"/>
        <c:numFmt formatCode="#,##0.00_ ;[Red]\-#,##0.00\ " sourceLinked="1"/>
        <c:majorTickMark val="none"/>
        <c:minorTickMark val="none"/>
        <c:tickLblPos val="nextTo"/>
        <c:crossAx val="128958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INDICADORES!$A$547</c:f>
              <c:strCache>
                <c:ptCount val="1"/>
                <c:pt idx="0">
                  <c:v>Ticket Médio de Venda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INDICADORES!$B$546:$G$546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INDICADORES!$B$547:$G$547</c:f>
              <c:numCache>
                <c:formatCode>#,##0.00_ ;[Red]\-#,##0.00\ </c:formatCode>
                <c:ptCount val="6"/>
                <c:pt idx="0">
                  <c:v>661.48328219178086</c:v>
                </c:pt>
                <c:pt idx="1">
                  <c:v>702.9216225749559</c:v>
                </c:pt>
                <c:pt idx="2">
                  <c:v>660.42892448512589</c:v>
                </c:pt>
                <c:pt idx="3">
                  <c:v>668.82332726168795</c:v>
                </c:pt>
                <c:pt idx="4">
                  <c:v>704.42912781954885</c:v>
                </c:pt>
                <c:pt idx="5">
                  <c:v>731.79584976025581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25-49D9-B1E6-E8CACD4A66CB}"/>
            </c:ext>
          </c:extLst>
        </c:ser>
        <c:ser>
          <c:idx val="1"/>
          <c:order val="1"/>
          <c:tx>
            <c:strRef>
              <c:f>INDICADORES!$A$548</c:f>
              <c:strCache>
                <c:ptCount val="1"/>
                <c:pt idx="0">
                  <c:v>Ticket Médio de Custo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INDICADORES!$B$546:$G$546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INDICADORES!$B$548:$G$548</c:f>
              <c:numCache>
                <c:formatCode>#,##0.00_ ;[Red]\-#,##0.00\ </c:formatCode>
                <c:ptCount val="6"/>
                <c:pt idx="0">
                  <c:v>387.72258630136986</c:v>
                </c:pt>
                <c:pt idx="1">
                  <c:v>440.31093474426808</c:v>
                </c:pt>
                <c:pt idx="2">
                  <c:v>392.48183524027451</c:v>
                </c:pt>
                <c:pt idx="3">
                  <c:v>405.32885245901639</c:v>
                </c:pt>
                <c:pt idx="4">
                  <c:v>434.53811278195491</c:v>
                </c:pt>
                <c:pt idx="5">
                  <c:v>435.28900372935544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25-49D9-B1E6-E8CACD4A66CB}"/>
            </c:ext>
          </c:extLst>
        </c:ser>
        <c:ser>
          <c:idx val="2"/>
          <c:order val="2"/>
          <c:tx>
            <c:strRef>
              <c:f>INDICADORES!$A$549</c:f>
              <c:strCache>
                <c:ptCount val="1"/>
                <c:pt idx="0">
                  <c:v>Multiplicador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INDICADORES!$B$546:$G$546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INDICADORES!$B$549:$G$549</c:f>
              <c:numCache>
                <c:formatCode>#,##0.00_ ;[Red]\-#,##0.00\ </c:formatCode>
                <c:ptCount val="6"/>
                <c:pt idx="0">
                  <c:v>1.7060736350232166</c:v>
                </c:pt>
                <c:pt idx="1">
                  <c:v>1.5964209995902365</c:v>
                </c:pt>
                <c:pt idx="2">
                  <c:v>1.6826993383803766</c:v>
                </c:pt>
                <c:pt idx="3">
                  <c:v>1.6500757920491584</c:v>
                </c:pt>
                <c:pt idx="4">
                  <c:v>1.6210986035487789</c:v>
                </c:pt>
                <c:pt idx="5">
                  <c:v>1.6811723785589952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725-49D9-B1E6-E8CACD4A66C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96280095"/>
        <c:axId val="1296280575"/>
      </c:lineChart>
      <c:dateAx>
        <c:axId val="129628009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96280575"/>
        <c:crosses val="autoZero"/>
        <c:auto val="1"/>
        <c:lblOffset val="100"/>
        <c:baseTimeUnit val="months"/>
      </c:dateAx>
      <c:valAx>
        <c:axId val="1296280575"/>
        <c:scaling>
          <c:orientation val="minMax"/>
        </c:scaling>
        <c:delete val="1"/>
        <c:axPos val="l"/>
        <c:numFmt formatCode="#,##0.00_ ;[Red]\-#,##0.00\ " sourceLinked="1"/>
        <c:majorTickMark val="none"/>
        <c:minorTickMark val="none"/>
        <c:tickLblPos val="nextTo"/>
        <c:crossAx val="12962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INDICADORES!$A$634</c:f>
              <c:strCache>
                <c:ptCount val="1"/>
                <c:pt idx="0">
                  <c:v>(-) CUSTO DOS PRODUTOS VENDIDOS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INDICADORES!$B$633:$G$633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INDICADORES!$B$634:$G$634</c:f>
              <c:numCache>
                <c:formatCode>#,##0.00_ ;[Red]\-#,##0.00\ </c:formatCode>
                <c:ptCount val="6"/>
                <c:pt idx="0">
                  <c:v>707593.72</c:v>
                </c:pt>
                <c:pt idx="1">
                  <c:v>998625.2</c:v>
                </c:pt>
                <c:pt idx="2">
                  <c:v>857572.80999999982</c:v>
                </c:pt>
                <c:pt idx="3">
                  <c:v>667576.62</c:v>
                </c:pt>
                <c:pt idx="4">
                  <c:v>577935.69000000006</c:v>
                </c:pt>
                <c:pt idx="5">
                  <c:v>817037.4600000002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D5-43BB-BBCD-49B429B85C17}"/>
            </c:ext>
          </c:extLst>
        </c:ser>
        <c:ser>
          <c:idx val="2"/>
          <c:order val="2"/>
          <c:tx>
            <c:strRef>
              <c:f>INDICADORES!$A$636</c:f>
              <c:strCache>
                <c:ptCount val="1"/>
                <c:pt idx="0">
                  <c:v>DIFERENÇA ENTRE PAGAMENTOS &amp; CPV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effectLst/>
          </c:spPr>
          <c:invertIfNegative val="0"/>
          <c:dLbls>
            <c:numFmt formatCode="#,##0.00_ ;[Red]\-#,##0.00\ " sourceLinked="0"/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INDICADORES!$B$633:$G$633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INDICADORES!$B$636:$G$636</c:f>
              <c:numCache>
                <c:formatCode>#,##0.00</c:formatCode>
                <c:ptCount val="6"/>
                <c:pt idx="0">
                  <c:v>257791.74</c:v>
                </c:pt>
                <c:pt idx="1">
                  <c:v>-42450.070000000298</c:v>
                </c:pt>
                <c:pt idx="2">
                  <c:v>66292.209999999497</c:v>
                </c:pt>
                <c:pt idx="3">
                  <c:v>274509.65999999992</c:v>
                </c:pt>
                <c:pt idx="4">
                  <c:v>128975.34999999974</c:v>
                </c:pt>
                <c:pt idx="5">
                  <c:v>-107660.88000000047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2-4F22-8D82-B0FBE4D2F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0010976"/>
        <c:axId val="1670025856"/>
      </c:barChart>
      <c:lineChart>
        <c:grouping val="standard"/>
        <c:varyColors val="0"/>
        <c:ser>
          <c:idx val="1"/>
          <c:order val="1"/>
          <c:tx>
            <c:strRef>
              <c:f>INDICADORES!$A$635</c:f>
              <c:strCache>
                <c:ptCount val="1"/>
                <c:pt idx="0">
                  <c:v>(-) PAGAMENTOS DAS MERCADORIAS VENDIDAS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4.6331877815498981E-2"/>
                  <c:y val="-0.149652595508894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A2-4F22-8D82-B0FBE4D2F7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INDICADORES!$B$633:$G$633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INDICADORES!$B$635:$G$635</c:f>
              <c:numCache>
                <c:formatCode>#,##0.00</c:formatCode>
                <c:ptCount val="6"/>
                <c:pt idx="0">
                  <c:v>965385.46</c:v>
                </c:pt>
                <c:pt idx="1">
                  <c:v>956175.12999999966</c:v>
                </c:pt>
                <c:pt idx="2">
                  <c:v>923865.01999999932</c:v>
                </c:pt>
                <c:pt idx="3">
                  <c:v>942086.27999999991</c:v>
                </c:pt>
                <c:pt idx="4">
                  <c:v>706911.0399999998</c:v>
                </c:pt>
                <c:pt idx="5">
                  <c:v>709376.57999999973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D5-43BB-BBCD-49B429B85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0010976"/>
        <c:axId val="1670025856"/>
      </c:lineChart>
      <c:dateAx>
        <c:axId val="16700109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0025856"/>
        <c:crosses val="autoZero"/>
        <c:auto val="1"/>
        <c:lblOffset val="100"/>
        <c:baseTimeUnit val="months"/>
      </c:dateAx>
      <c:valAx>
        <c:axId val="1670025856"/>
        <c:scaling>
          <c:orientation val="minMax"/>
        </c:scaling>
        <c:delete val="1"/>
        <c:axPos val="l"/>
        <c:numFmt formatCode="#,##0.00_ ;[Red]\-#,##0.00\ " sourceLinked="1"/>
        <c:majorTickMark val="none"/>
        <c:minorTickMark val="none"/>
        <c:tickLblPos val="nextTo"/>
        <c:crossAx val="167001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INDICADORES!$A$246</c:f>
              <c:strCache>
                <c:ptCount val="1"/>
                <c:pt idx="0">
                  <c:v>ENTRADAS NO MÊS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INDICADORES!$B$243:$G$243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INDICADORES!$B$246:$G$246</c:f>
              <c:numCache>
                <c:formatCode>#,##0.00_ ;[Red]\-#,##0.00\ </c:formatCode>
                <c:ptCount val="6"/>
                <c:pt idx="0">
                  <c:v>1123115.1399999999</c:v>
                </c:pt>
                <c:pt idx="1">
                  <c:v>1133990.43</c:v>
                </c:pt>
                <c:pt idx="2">
                  <c:v>1298393.21</c:v>
                </c:pt>
                <c:pt idx="3">
                  <c:v>1068022.31</c:v>
                </c:pt>
                <c:pt idx="4">
                  <c:v>691744.49</c:v>
                </c:pt>
                <c:pt idx="5">
                  <c:v>1036116.52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67-46C4-ABC3-E86B08A877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365716208"/>
        <c:axId val="1365732048"/>
      </c:lineChart>
      <c:dateAx>
        <c:axId val="13657162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5732048"/>
        <c:crosses val="autoZero"/>
        <c:auto val="1"/>
        <c:lblOffset val="100"/>
        <c:baseTimeUnit val="months"/>
      </c:dateAx>
      <c:valAx>
        <c:axId val="1365732048"/>
        <c:scaling>
          <c:orientation val="minMax"/>
        </c:scaling>
        <c:delete val="1"/>
        <c:axPos val="l"/>
        <c:numFmt formatCode="#,##0.00_ ;[Red]\-#,##0.00\ " sourceLinked="1"/>
        <c:majorTickMark val="none"/>
        <c:minorTickMark val="none"/>
        <c:tickLblPos val="nextTo"/>
        <c:crossAx val="136571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INDICADORES!$A$528</c:f>
              <c:strCache>
                <c:ptCount val="1"/>
                <c:pt idx="0">
                  <c:v>(+) Disponibilidades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numFmt formatCode="#,##0.00_ ;[Red]\-#,##0.00\ " sourceLinked="0"/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INDICADORES!$B$527:$G$527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INDICADORES!$B$528:$G$528</c:f>
              <c:numCache>
                <c:formatCode>#,##0.00</c:formatCode>
                <c:ptCount val="6"/>
                <c:pt idx="0">
                  <c:v>60840.68</c:v>
                </c:pt>
                <c:pt idx="1">
                  <c:v>-73229.27</c:v>
                </c:pt>
                <c:pt idx="2">
                  <c:v>-87725.67</c:v>
                </c:pt>
                <c:pt idx="3">
                  <c:v>-288353.43</c:v>
                </c:pt>
                <c:pt idx="4">
                  <c:v>-488530.17000000004</c:v>
                </c:pt>
                <c:pt idx="5">
                  <c:v>-445252.05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96-460A-817A-4C04FDA29EA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97132320"/>
        <c:axId val="997133280"/>
      </c:lineChart>
      <c:dateAx>
        <c:axId val="9971323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7133280"/>
        <c:crosses val="autoZero"/>
        <c:auto val="1"/>
        <c:lblOffset val="100"/>
        <c:baseTimeUnit val="months"/>
      </c:dateAx>
      <c:valAx>
        <c:axId val="997133280"/>
        <c:scaling>
          <c:orientation val="minMax"/>
        </c:scaling>
        <c:delete val="1"/>
        <c:axPos val="l"/>
        <c:numFmt formatCode="#,##0.00" sourceLinked="1"/>
        <c:majorTickMark val="none"/>
        <c:minorTickMark val="none"/>
        <c:tickLblPos val="nextTo"/>
        <c:crossAx val="997132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INDICADORES!$A$190</c:f>
              <c:strCache>
                <c:ptCount val="1"/>
                <c:pt idx="0">
                  <c:v>PONTO DE EQUILÍBRIO GERENCIAL EM BIKES FATURADAS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INDICADORES!$B$187:$G$187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INDICADORES!$B$190:$G$190</c:f>
              <c:numCache>
                <c:formatCode>#,##0_ ;[Red]\-#,##0\ </c:formatCode>
                <c:ptCount val="6"/>
                <c:pt idx="0">
                  <c:v>1126.6982594041135</c:v>
                </c:pt>
                <c:pt idx="1">
                  <c:v>962.29047504374751</c:v>
                </c:pt>
                <c:pt idx="2">
                  <c:v>1086.7687875252816</c:v>
                </c:pt>
                <c:pt idx="3">
                  <c:v>1266.8170925073132</c:v>
                </c:pt>
                <c:pt idx="4">
                  <c:v>1475.7779961372655</c:v>
                </c:pt>
                <c:pt idx="5">
                  <c:v>1477.5911076163084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3D-4C4B-90AF-C99DA0A8FD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0174927"/>
        <c:axId val="90176367"/>
      </c:lineChart>
      <c:dateAx>
        <c:axId val="9017492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176367"/>
        <c:crosses val="autoZero"/>
        <c:auto val="1"/>
        <c:lblOffset val="100"/>
        <c:baseTimeUnit val="months"/>
      </c:dateAx>
      <c:valAx>
        <c:axId val="90176367"/>
        <c:scaling>
          <c:orientation val="minMax"/>
        </c:scaling>
        <c:delete val="1"/>
        <c:axPos val="l"/>
        <c:numFmt formatCode="#,##0_ ;[Red]\-#,##0\ " sourceLinked="1"/>
        <c:majorTickMark val="none"/>
        <c:minorTickMark val="none"/>
        <c:tickLblPos val="nextTo"/>
        <c:crossAx val="9017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INDICADORES!$A$486</c:f>
              <c:strCache>
                <c:ptCount val="1"/>
                <c:pt idx="0">
                  <c:v>DESPESAS FUNCIONÁRIO/FATURAMENTO BRUTO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INDICADORES!$B$485:$G$485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INDICADORES!$B$486:$G$486</c:f>
              <c:numCache>
                <c:formatCode>0.00%</c:formatCode>
                <c:ptCount val="6"/>
                <c:pt idx="0">
                  <c:v>4.3499458199790585E-2</c:v>
                </c:pt>
                <c:pt idx="1">
                  <c:v>3.6449563143559849E-2</c:v>
                </c:pt>
                <c:pt idx="2">
                  <c:v>3.697382853331848E-2</c:v>
                </c:pt>
                <c:pt idx="3">
                  <c:v>6.0972345182572496E-2</c:v>
                </c:pt>
                <c:pt idx="4">
                  <c:v>3.7601385621550715E-2</c:v>
                </c:pt>
                <c:pt idx="5">
                  <c:v>4.2280184447247765E-2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2-4168-8441-B4F101D275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42490080"/>
        <c:axId val="142492000"/>
      </c:lineChart>
      <c:dateAx>
        <c:axId val="14249008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2492000"/>
        <c:crosses val="autoZero"/>
        <c:auto val="1"/>
        <c:lblOffset val="100"/>
        <c:baseTimeUnit val="months"/>
      </c:dateAx>
      <c:valAx>
        <c:axId val="14249200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249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INDICADORES!$A$225</c:f>
              <c:strCache>
                <c:ptCount val="1"/>
                <c:pt idx="0">
                  <c:v>(=) PONTO DE EQUILÍBRIO OPERACIONAL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INDICADORES!$B$224:$G$224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INDICADORES!$B$225:$G$225</c:f>
              <c:numCache>
                <c:formatCode>#,##0.00_ ;[Red]\-#,##0.00\ </c:formatCode>
                <c:ptCount val="6"/>
                <c:pt idx="0">
                  <c:v>471724.19987743004</c:v>
                </c:pt>
                <c:pt idx="1">
                  <c:v>577198.93126515811</c:v>
                </c:pt>
                <c:pt idx="2">
                  <c:v>526363.79586235469</c:v>
                </c:pt>
                <c:pt idx="3">
                  <c:v>659893.97640147235</c:v>
                </c:pt>
                <c:pt idx="4">
                  <c:v>824030.80670944613</c:v>
                </c:pt>
                <c:pt idx="5">
                  <c:v>771422.14258568117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E-4001-BB1C-8BAB13B223B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87454015"/>
        <c:axId val="1687454495"/>
      </c:lineChart>
      <c:dateAx>
        <c:axId val="168745401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7454495"/>
        <c:crosses val="autoZero"/>
        <c:auto val="1"/>
        <c:lblOffset val="100"/>
        <c:baseTimeUnit val="months"/>
      </c:dateAx>
      <c:valAx>
        <c:axId val="1687454495"/>
        <c:scaling>
          <c:orientation val="minMax"/>
        </c:scaling>
        <c:delete val="1"/>
        <c:axPos val="l"/>
        <c:numFmt formatCode="#,##0.00_ ;[Red]\-#,##0.00\ " sourceLinked="1"/>
        <c:majorTickMark val="none"/>
        <c:minorTickMark val="none"/>
        <c:tickLblPos val="nextTo"/>
        <c:crossAx val="168745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INDICADORES!$A$51</c:f>
              <c:strCache>
                <c:ptCount val="1"/>
                <c:pt idx="0">
                  <c:v>(=) MARGEM DE CONTRIBUIÇÃO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INDICADORES!$B$49:$G$49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INDICADORES!$B$51:$G$51</c:f>
              <c:numCache>
                <c:formatCode>0.00%</c:formatCode>
                <c:ptCount val="6"/>
                <c:pt idx="0">
                  <c:v>0.19800991771096346</c:v>
                </c:pt>
                <c:pt idx="1">
                  <c:v>0.18180804626575464</c:v>
                </c:pt>
                <c:pt idx="2">
                  <c:v>0.206427457310179</c:v>
                </c:pt>
                <c:pt idx="3">
                  <c:v>0.18180623598693044</c:v>
                </c:pt>
                <c:pt idx="4">
                  <c:v>0.14505085128709888</c:v>
                </c:pt>
                <c:pt idx="5">
                  <c:v>0.17894688573146267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7-465E-AECF-0BABDD58574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69581759"/>
        <c:axId val="1369580799"/>
      </c:lineChart>
      <c:dateAx>
        <c:axId val="136958175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9580799"/>
        <c:crosses val="autoZero"/>
        <c:auto val="1"/>
        <c:lblOffset val="100"/>
        <c:baseTimeUnit val="months"/>
      </c:dateAx>
      <c:valAx>
        <c:axId val="136958079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6958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INDICADORES!$A$87</c:f>
              <c:strCache>
                <c:ptCount val="1"/>
                <c:pt idx="0">
                  <c:v>(-) CUSTOS FIXOS OPERACIONAIS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INDICADORES!$B$85:$G$85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INDICADORES!$B$87:$G$87</c:f>
              <c:numCache>
                <c:formatCode>0.00%</c:formatCode>
                <c:ptCount val="6"/>
                <c:pt idx="0">
                  <c:v>7.7373698772237903E-2</c:v>
                </c:pt>
                <c:pt idx="1">
                  <c:v>6.5824666140233648E-2</c:v>
                </c:pt>
                <c:pt idx="2">
                  <c:v>7.5296700597877866E-2</c:v>
                </c:pt>
                <c:pt idx="3">
                  <c:v>0.10891255049398393</c:v>
                </c:pt>
                <c:pt idx="4">
                  <c:v>0.12757770452507622</c:v>
                </c:pt>
                <c:pt idx="5">
                  <c:v>0.1004990671062156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F-437D-AB8C-9A93B8CF7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601375"/>
        <c:axId val="1371601855"/>
      </c:lineChart>
      <c:dateAx>
        <c:axId val="1371601375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1601855"/>
        <c:crosses val="autoZero"/>
        <c:auto val="1"/>
        <c:lblOffset val="100"/>
        <c:baseTimeUnit val="months"/>
      </c:dateAx>
      <c:valAx>
        <c:axId val="137160185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160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INDICADORES!$A$123</c:f>
              <c:strCache>
                <c:ptCount val="1"/>
                <c:pt idx="0">
                  <c:v>(=) RESULTADO OPERACIONAL</c:v>
                </c:pt>
              </c:strCache>
            </c:strRef>
          </c:tx>
          <c:spPr>
            <a:ln w="2222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INDICADORES!$B$121:$G$121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f>INDICADORES!$B$123:$G$123</c:f>
              <c:numCache>
                <c:formatCode>0.00%</c:formatCode>
                <c:ptCount val="6"/>
                <c:pt idx="0">
                  <c:v>0.12063621893872557</c:v>
                </c:pt>
                <c:pt idx="1">
                  <c:v>0.11598338012552099</c:v>
                </c:pt>
                <c:pt idx="2">
                  <c:v>0.13113075671230112</c:v>
                </c:pt>
                <c:pt idx="3">
                  <c:v>7.2893685492946503E-2</c:v>
                </c:pt>
                <c:pt idx="4">
                  <c:v>1.7473146762022669E-2</c:v>
                </c:pt>
                <c:pt idx="5">
                  <c:v>7.8447818625247065E-2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B-4921-9259-0D1D303E84A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35438623"/>
        <c:axId val="1735435263"/>
      </c:lineChart>
      <c:dateAx>
        <c:axId val="17354386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435263"/>
        <c:crosses val="autoZero"/>
        <c:auto val="1"/>
        <c:lblOffset val="100"/>
        <c:baseTimeUnit val="months"/>
      </c:dateAx>
      <c:valAx>
        <c:axId val="1735435263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438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KITs MONTADOS GOTT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PRODUÇÃO!$B$2</c:f>
              <c:strCache>
                <c:ptCount val="1"/>
                <c:pt idx="0">
                  <c:v>KITs MONTADOS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rgbClr val="637CEF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rgbClr val="637CEF">
                          <a:lumMod val="60000"/>
                          <a:lumOff val="40000"/>
                        </a:srgb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PRODUÇÃO!$A$3:$A$17</c:f>
              <c:strCache>
                <c:ptCount val="15"/>
                <c:pt idx="0">
                  <c:v>08/01/2026</c:v>
                </c:pt>
                <c:pt idx="1">
                  <c:v>09/01/2026</c:v>
                </c:pt>
                <c:pt idx="2">
                  <c:v>12/01/2026</c:v>
                </c:pt>
                <c:pt idx="3">
                  <c:v>13/01/2026</c:v>
                </c:pt>
                <c:pt idx="4">
                  <c:v>14/01/2026</c:v>
                </c:pt>
                <c:pt idx="5">
                  <c:v>15/01/2026</c:v>
                </c:pt>
                <c:pt idx="6">
                  <c:v>16/01/2026</c:v>
                </c:pt>
                <c:pt idx="7">
                  <c:v>19/01/2026</c:v>
                </c:pt>
                <c:pt idx="8">
                  <c:v>20/01/2026</c:v>
                </c:pt>
                <c:pt idx="9">
                  <c:v>21/01/2026</c:v>
                </c:pt>
                <c:pt idx="10">
                  <c:v>22/01/2026</c:v>
                </c:pt>
                <c:pt idx="11">
                  <c:v>23/01/2026</c:v>
                </c:pt>
                <c:pt idx="12">
                  <c:v>26/01/2026</c:v>
                </c:pt>
                <c:pt idx="13">
                  <c:v>27/01/2026</c:v>
                </c:pt>
                <c:pt idx="14">
                  <c:v>29/01/2026</c:v>
                </c:pt>
              </c:strCache>
            </c:strRef>
          </c:cat>
          <c:val>
            <c:numRef>
              <c:f>PRODUÇÃO!$B$3:$B$17</c:f>
              <c:numCache>
                <c:formatCode>#,##0_ ;[Red]\-#,##0\ </c:formatCode>
                <c:ptCount val="15"/>
                <c:pt idx="0">
                  <c:v>152</c:v>
                </c:pt>
                <c:pt idx="1">
                  <c:v>166</c:v>
                </c:pt>
                <c:pt idx="2">
                  <c:v>187</c:v>
                </c:pt>
                <c:pt idx="3">
                  <c:v>219</c:v>
                </c:pt>
                <c:pt idx="4">
                  <c:v>135</c:v>
                </c:pt>
                <c:pt idx="5">
                  <c:v>217</c:v>
                </c:pt>
                <c:pt idx="6">
                  <c:v>209</c:v>
                </c:pt>
                <c:pt idx="7">
                  <c:v>149</c:v>
                </c:pt>
                <c:pt idx="8">
                  <c:v>119</c:v>
                </c:pt>
                <c:pt idx="9">
                  <c:v>109</c:v>
                </c:pt>
                <c:pt idx="10">
                  <c:v>208</c:v>
                </c:pt>
                <c:pt idx="11">
                  <c:v>161</c:v>
                </c:pt>
                <c:pt idx="12">
                  <c:v>126</c:v>
                </c:pt>
                <c:pt idx="13">
                  <c:v>206</c:v>
                </c:pt>
                <c:pt idx="14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1E-4572-AA01-20656500762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613346824"/>
        <c:axId val="103573000"/>
      </c:lineChart>
      <c:catAx>
        <c:axId val="61334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73000"/>
        <c:crosses val="autoZero"/>
        <c:auto val="1"/>
        <c:lblAlgn val="ctr"/>
        <c:lblOffset val="100"/>
        <c:noMultiLvlLbl val="0"/>
      </c:catAx>
      <c:valAx>
        <c:axId val="103573000"/>
        <c:scaling>
          <c:orientation val="minMax"/>
        </c:scaling>
        <c:delete val="1"/>
        <c:axPos val="l"/>
        <c:numFmt formatCode="#,##0_ ;[Red]\-#,##0\ " sourceLinked="1"/>
        <c:majorTickMark val="none"/>
        <c:minorTickMark val="none"/>
        <c:tickLblPos val="nextTo"/>
        <c:crossAx val="613346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637CEF"/>
    </a:solidFill>
    <a:ln w="9525" cap="flat" cmpd="sng" algn="ctr">
      <a:solidFill>
        <a:srgbClr val="637CEF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estoque de kits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PRODUÇÃO!$A$38</c:f>
              <c:strCache>
                <c:ptCount val="1"/>
                <c:pt idx="0">
                  <c:v>27/01/2026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PRODUÇÃO!$B$35:$I$35</c:f>
              <c:strCache>
                <c:ptCount val="8"/>
                <c:pt idx="0">
                  <c:v>KITs ESTOCADOS</c:v>
                </c:pt>
                <c:pt idx="1">
                  <c:v>AÇO</c:v>
                </c:pt>
                <c:pt idx="2">
                  <c:v>AÇO VORTEX</c:v>
                </c:pt>
                <c:pt idx="3">
                  <c:v>AÇO SUPENSÃO</c:v>
                </c:pt>
                <c:pt idx="4">
                  <c:v>AL 21v</c:v>
                </c:pt>
                <c:pt idx="5">
                  <c:v>AL 24v</c:v>
                </c:pt>
                <c:pt idx="6">
                  <c:v>BMX</c:v>
                </c:pt>
                <c:pt idx="7">
                  <c:v>SHIMANO</c:v>
                </c:pt>
              </c:strCache>
            </c:strRef>
          </c:cat>
          <c:val>
            <c:numRef>
              <c:f>PRODUÇÃO!$B$38:$I$38</c:f>
              <c:numCache>
                <c:formatCode>#,##0_ ;[Red]\-#,##0\ </c:formatCode>
                <c:ptCount val="8"/>
                <c:pt idx="0">
                  <c:v>235</c:v>
                </c:pt>
                <c:pt idx="1">
                  <c:v>175</c:v>
                </c:pt>
                <c:pt idx="2">
                  <c:v>21</c:v>
                </c:pt>
                <c:pt idx="3">
                  <c:v>0</c:v>
                </c:pt>
                <c:pt idx="4">
                  <c:v>10</c:v>
                </c:pt>
                <c:pt idx="5">
                  <c:v>0</c:v>
                </c:pt>
                <c:pt idx="6">
                  <c:v>29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C3-4B67-8689-DC230FA9DF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523919775"/>
        <c:axId val="1523916895"/>
      </c:lineChart>
      <c:catAx>
        <c:axId val="152391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23916895"/>
        <c:crosses val="autoZero"/>
        <c:auto val="1"/>
        <c:lblAlgn val="ctr"/>
        <c:lblOffset val="100"/>
        <c:noMultiLvlLbl val="0"/>
      </c:catAx>
      <c:valAx>
        <c:axId val="1523916895"/>
        <c:scaling>
          <c:orientation val="minMax"/>
        </c:scaling>
        <c:delete val="1"/>
        <c:axPos val="l"/>
        <c:numFmt formatCode="#,##0_ ;[Red]\-#,##0\ " sourceLinked="1"/>
        <c:majorTickMark val="none"/>
        <c:minorTickMark val="none"/>
        <c:tickLblPos val="nextTo"/>
        <c:crossAx val="152391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13" Type="http://schemas.openxmlformats.org/officeDocument/2006/relationships/chart" Target="../charts/chart17.xml"/><Relationship Id="rId18" Type="http://schemas.openxmlformats.org/officeDocument/2006/relationships/chart" Target="../charts/chart22.xml"/><Relationship Id="rId26" Type="http://schemas.openxmlformats.org/officeDocument/2006/relationships/chart" Target="../charts/chart30.xml"/><Relationship Id="rId3" Type="http://schemas.openxmlformats.org/officeDocument/2006/relationships/chart" Target="../charts/chart7.xml"/><Relationship Id="rId21" Type="http://schemas.openxmlformats.org/officeDocument/2006/relationships/chart" Target="../charts/chart25.xml"/><Relationship Id="rId7" Type="http://schemas.openxmlformats.org/officeDocument/2006/relationships/chart" Target="../charts/chart11.xml"/><Relationship Id="rId12" Type="http://schemas.openxmlformats.org/officeDocument/2006/relationships/chart" Target="../charts/chart16.xml"/><Relationship Id="rId17" Type="http://schemas.openxmlformats.org/officeDocument/2006/relationships/chart" Target="../charts/chart21.xml"/><Relationship Id="rId25" Type="http://schemas.openxmlformats.org/officeDocument/2006/relationships/chart" Target="../charts/chart29.xml"/><Relationship Id="rId2" Type="http://schemas.openxmlformats.org/officeDocument/2006/relationships/chart" Target="../charts/chart6.xml"/><Relationship Id="rId16" Type="http://schemas.openxmlformats.org/officeDocument/2006/relationships/chart" Target="../charts/chart20.xml"/><Relationship Id="rId20" Type="http://schemas.openxmlformats.org/officeDocument/2006/relationships/chart" Target="../charts/chart24.xml"/><Relationship Id="rId29" Type="http://schemas.openxmlformats.org/officeDocument/2006/relationships/chart" Target="../charts/chart33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24" Type="http://schemas.openxmlformats.org/officeDocument/2006/relationships/chart" Target="../charts/chart28.xml"/><Relationship Id="rId5" Type="http://schemas.openxmlformats.org/officeDocument/2006/relationships/chart" Target="../charts/chart9.xml"/><Relationship Id="rId15" Type="http://schemas.openxmlformats.org/officeDocument/2006/relationships/chart" Target="../charts/chart19.xml"/><Relationship Id="rId23" Type="http://schemas.openxmlformats.org/officeDocument/2006/relationships/chart" Target="../charts/chart27.xml"/><Relationship Id="rId28" Type="http://schemas.openxmlformats.org/officeDocument/2006/relationships/chart" Target="../charts/chart32.xml"/><Relationship Id="rId10" Type="http://schemas.openxmlformats.org/officeDocument/2006/relationships/chart" Target="../charts/chart14.xml"/><Relationship Id="rId19" Type="http://schemas.openxmlformats.org/officeDocument/2006/relationships/chart" Target="../charts/chart23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Relationship Id="rId14" Type="http://schemas.openxmlformats.org/officeDocument/2006/relationships/chart" Target="../charts/chart18.xml"/><Relationship Id="rId22" Type="http://schemas.openxmlformats.org/officeDocument/2006/relationships/chart" Target="../charts/chart26.xml"/><Relationship Id="rId27" Type="http://schemas.openxmlformats.org/officeDocument/2006/relationships/chart" Target="../charts/chart3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249</xdr:row>
      <xdr:rowOff>57150</xdr:rowOff>
    </xdr:from>
    <xdr:to>
      <xdr:col>0</xdr:col>
      <xdr:colOff>552450</xdr:colOff>
      <xdr:row>249</xdr:row>
      <xdr:rowOff>57150</xdr:rowOff>
    </xdr:to>
    <xdr:graphicFrame macro="">
      <xdr:nvGraphicFramePr>
        <xdr:cNvPr id="25" name="Gráfico 4">
          <a:extLst>
            <a:ext uri="{FF2B5EF4-FFF2-40B4-BE49-F238E27FC236}">
              <a16:creationId xmlns:a16="http://schemas.microsoft.com/office/drawing/2014/main" id="{E460F40F-E6FA-4DF1-8EA7-C9C34E62EA95}"/>
            </a:ext>
            <a:ext uri="{147F2762-F138-4A5C-976F-8EAC2B608ADB}">
              <a16:predDERef xmlns:a16="http://schemas.microsoft.com/office/drawing/2014/main" pred="{6BE9395F-44B5-0DB4-AAE1-3D5A8D664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106680</xdr:colOff>
      <xdr:row>5</xdr:row>
      <xdr:rowOff>26670</xdr:rowOff>
    </xdr:from>
    <xdr:to>
      <xdr:col>13</xdr:col>
      <xdr:colOff>0</xdr:colOff>
      <xdr:row>20</xdr:row>
      <xdr:rowOff>140970</xdr:rowOff>
    </xdr:to>
    <xdr:graphicFrame macro="">
      <xdr:nvGraphicFramePr>
        <xdr:cNvPr id="98" name="Gráfico 16">
          <a:extLst>
            <a:ext uri="{FF2B5EF4-FFF2-40B4-BE49-F238E27FC236}">
              <a16:creationId xmlns:a16="http://schemas.microsoft.com/office/drawing/2014/main" id="{1F4C6EEA-BCAF-0BC9-0D0E-A9DB0D1013D6}"/>
            </a:ext>
            <a:ext uri="{147F2762-F138-4A5C-976F-8EAC2B608ADB}">
              <a16:predDERef xmlns:a16="http://schemas.microsoft.com/office/drawing/2014/main" pred="{E460F40F-E6FA-4DF1-8EA7-C9C34E62EA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28</xdr:row>
      <xdr:rowOff>3810</xdr:rowOff>
    </xdr:from>
    <xdr:to>
      <xdr:col>12</xdr:col>
      <xdr:colOff>792480</xdr:colOff>
      <xdr:row>43</xdr:row>
      <xdr:rowOff>118110</xdr:rowOff>
    </xdr:to>
    <xdr:graphicFrame macro="">
      <xdr:nvGraphicFramePr>
        <xdr:cNvPr id="118" name="Gráfico 17">
          <a:extLst>
            <a:ext uri="{FF2B5EF4-FFF2-40B4-BE49-F238E27FC236}">
              <a16:creationId xmlns:a16="http://schemas.microsoft.com/office/drawing/2014/main" id="{86E21761-155E-5FAE-7BC6-93F7129F18AF}"/>
            </a:ext>
            <a:ext uri="{147F2762-F138-4A5C-976F-8EAC2B608ADB}">
              <a16:predDERef xmlns:a16="http://schemas.microsoft.com/office/drawing/2014/main" pred="{1F4C6EEA-BCAF-0BC9-0D0E-A9DB0D1013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326</xdr:row>
      <xdr:rowOff>57150</xdr:rowOff>
    </xdr:from>
    <xdr:to>
      <xdr:col>1</xdr:col>
      <xdr:colOff>552450</xdr:colOff>
      <xdr:row>326</xdr:row>
      <xdr:rowOff>57150</xdr:rowOff>
    </xdr:to>
    <xdr:graphicFrame macro="">
      <xdr:nvGraphicFramePr>
        <xdr:cNvPr id="3" name="Gráfico 4">
          <a:extLst>
            <a:ext uri="{FF2B5EF4-FFF2-40B4-BE49-F238E27FC236}">
              <a16:creationId xmlns:a16="http://schemas.microsoft.com/office/drawing/2014/main" id="{AFA5C789-F2A8-4454-B340-59455A3902ED}"/>
            </a:ext>
            <a:ext uri="{147F2762-F138-4A5C-976F-8EAC2B608ADB}">
              <a16:predDERef xmlns:a16="http://schemas.microsoft.com/office/drawing/2014/main" pred="{6BE9395F-44B5-0DB4-AAE1-3D5A8D664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279</xdr:row>
      <xdr:rowOff>179070</xdr:rowOff>
    </xdr:from>
    <xdr:to>
      <xdr:col>6</xdr:col>
      <xdr:colOff>952500</xdr:colOff>
      <xdr:row>294</xdr:row>
      <xdr:rowOff>179070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E9395F-44B5-0DB4-AAE1-3D5A8D664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552450</xdr:colOff>
      <xdr:row>819</xdr:row>
      <xdr:rowOff>57150</xdr:rowOff>
    </xdr:from>
    <xdr:to>
      <xdr:col>0</xdr:col>
      <xdr:colOff>552450</xdr:colOff>
      <xdr:row>819</xdr:row>
      <xdr:rowOff>57150</xdr:rowOff>
    </xdr:to>
    <xdr:graphicFrame macro="">
      <xdr:nvGraphicFramePr>
        <xdr:cNvPr id="21" name="Gráfico 4">
          <a:extLst>
            <a:ext uri="{FF2B5EF4-FFF2-40B4-BE49-F238E27FC236}">
              <a16:creationId xmlns:a16="http://schemas.microsoft.com/office/drawing/2014/main" id="{0F71D4D4-B373-62E5-1D29-578B239E720E}"/>
            </a:ext>
            <a:ext uri="{147F2762-F138-4A5C-976F-8EAC2B608ADB}">
              <a16:predDERef xmlns:a16="http://schemas.microsoft.com/office/drawing/2014/main" pred="{6BE9395F-44B5-0DB4-AAE1-3D5A8D664D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60960</xdr:colOff>
      <xdr:row>264</xdr:row>
      <xdr:rowOff>11430</xdr:rowOff>
    </xdr:from>
    <xdr:to>
      <xdr:col>6</xdr:col>
      <xdr:colOff>967740</xdr:colOff>
      <xdr:row>279</xdr:row>
      <xdr:rowOff>11430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5A472E-76A6-58DE-ECB4-7FDDBD5EDAC6}"/>
            </a:ext>
            <a:ext uri="{147F2762-F138-4A5C-976F-8EAC2B608ADB}">
              <a16:predDERef xmlns:a16="http://schemas.microsoft.com/office/drawing/2014/main" pred="{0F71D4D4-B373-62E5-1D29-578B239E7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60960</xdr:colOff>
      <xdr:row>366</xdr:row>
      <xdr:rowOff>0</xdr:rowOff>
    </xdr:from>
    <xdr:to>
      <xdr:col>6</xdr:col>
      <xdr:colOff>944880</xdr:colOff>
      <xdr:row>380</xdr:row>
      <xdr:rowOff>179070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0EB409-0633-C045-87EF-0F450849D395}"/>
            </a:ext>
            <a:ext uri="{147F2762-F138-4A5C-976F-8EAC2B608ADB}">
              <a16:predDERef xmlns:a16="http://schemas.microsoft.com/office/drawing/2014/main" pred="{775A472E-76A6-58DE-ECB4-7FDDBD5ED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83820</xdr:colOff>
      <xdr:row>3</xdr:row>
      <xdr:rowOff>19050</xdr:rowOff>
    </xdr:from>
    <xdr:to>
      <xdr:col>6</xdr:col>
      <xdr:colOff>998220</xdr:colOff>
      <xdr:row>18</xdr:row>
      <xdr:rowOff>19050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C960AE5-960F-950D-02BA-EBA35FF06FF8}"/>
            </a:ext>
            <a:ext uri="{147F2762-F138-4A5C-976F-8EAC2B608ADB}">
              <a16:predDERef xmlns:a16="http://schemas.microsoft.com/office/drawing/2014/main" pred="{4E0EB409-0633-C045-87EF-0F450849D3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76200</xdr:colOff>
      <xdr:row>25</xdr:row>
      <xdr:rowOff>171450</xdr:rowOff>
    </xdr:from>
    <xdr:to>
      <xdr:col>6</xdr:col>
      <xdr:colOff>982980</xdr:colOff>
      <xdr:row>40</xdr:row>
      <xdr:rowOff>171450</xdr:rowOff>
    </xdr:to>
    <xdr:graphicFrame macro="">
      <xdr:nvGraphicFramePr>
        <xdr:cNvPr id="19" name="Gráfico 5">
          <a:extLst>
            <a:ext uri="{FF2B5EF4-FFF2-40B4-BE49-F238E27FC236}">
              <a16:creationId xmlns:a16="http://schemas.microsoft.com/office/drawing/2014/main" id="{426F4300-277E-B559-2369-441FF46F9B78}"/>
            </a:ext>
            <a:ext uri="{147F2762-F138-4A5C-976F-8EAC2B608ADB}">
              <a16:predDERef xmlns:a16="http://schemas.microsoft.com/office/drawing/2014/main" pred="{AC960AE5-960F-950D-02BA-EBA35FF06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114300</xdr:colOff>
      <xdr:row>87</xdr:row>
      <xdr:rowOff>179070</xdr:rowOff>
    </xdr:from>
    <xdr:to>
      <xdr:col>6</xdr:col>
      <xdr:colOff>998220</xdr:colOff>
      <xdr:row>102</xdr:row>
      <xdr:rowOff>179070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21E4783-CF1D-59B5-7305-2C7E69C4A4DA}"/>
            </a:ext>
            <a:ext uri="{147F2762-F138-4A5C-976F-8EAC2B608ADB}">
              <a16:predDERef xmlns:a16="http://schemas.microsoft.com/office/drawing/2014/main" pred="{426F4300-277E-B559-2369-441FF46F9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53340</xdr:colOff>
      <xdr:row>51</xdr:row>
      <xdr:rowOff>171450</xdr:rowOff>
    </xdr:from>
    <xdr:to>
      <xdr:col>6</xdr:col>
      <xdr:colOff>952500</xdr:colOff>
      <xdr:row>66</xdr:row>
      <xdr:rowOff>171450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7ABF1113-E16D-C276-D04F-744D3EB42DF9}"/>
            </a:ext>
            <a:ext uri="{147F2762-F138-4A5C-976F-8EAC2B608ADB}">
              <a16:predDERef xmlns:a16="http://schemas.microsoft.com/office/drawing/2014/main" pred="{221E4783-CF1D-59B5-7305-2C7E69C4A4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76200</xdr:colOff>
      <xdr:row>123</xdr:row>
      <xdr:rowOff>179070</xdr:rowOff>
    </xdr:from>
    <xdr:to>
      <xdr:col>6</xdr:col>
      <xdr:colOff>975360</xdr:colOff>
      <xdr:row>138</xdr:row>
      <xdr:rowOff>179070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2CBFB358-E05B-AE60-75E1-A97118DC144F}"/>
            </a:ext>
            <a:ext uri="{147F2762-F138-4A5C-976F-8EAC2B608ADB}">
              <a16:predDERef xmlns:a16="http://schemas.microsoft.com/office/drawing/2014/main" pred="{7ABF1113-E16D-C276-D04F-744D3EB42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83820</xdr:colOff>
      <xdr:row>337</xdr:row>
      <xdr:rowOff>3810</xdr:rowOff>
    </xdr:from>
    <xdr:to>
      <xdr:col>6</xdr:col>
      <xdr:colOff>982980</xdr:colOff>
      <xdr:row>352</xdr:row>
      <xdr:rowOff>3810</xdr:rowOff>
    </xdr:to>
    <xdr:graphicFrame macro="">
      <xdr:nvGraphicFramePr>
        <xdr:cNvPr id="44" name="Gráfico 9">
          <a:extLst>
            <a:ext uri="{FF2B5EF4-FFF2-40B4-BE49-F238E27FC236}">
              <a16:creationId xmlns:a16="http://schemas.microsoft.com/office/drawing/2014/main" id="{81176087-034E-2FFC-9F15-3C1714879825}"/>
            </a:ext>
            <a:ext uri="{147F2762-F138-4A5C-976F-8EAC2B608ADB}">
              <a16:predDERef xmlns:a16="http://schemas.microsoft.com/office/drawing/2014/main" pred="{2CBFB358-E05B-AE60-75E1-A97118DC14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60960</xdr:colOff>
      <xdr:row>571</xdr:row>
      <xdr:rowOff>179070</xdr:rowOff>
    </xdr:from>
    <xdr:to>
      <xdr:col>6</xdr:col>
      <xdr:colOff>967740</xdr:colOff>
      <xdr:row>586</xdr:row>
      <xdr:rowOff>179070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22764DE-A58B-B4EB-71F0-822DDA2B842C}"/>
            </a:ext>
            <a:ext uri="{147F2762-F138-4A5C-976F-8EAC2B608ADB}">
              <a16:predDERef xmlns:a16="http://schemas.microsoft.com/office/drawing/2014/main" pred="{81176087-034E-2FFC-9F15-3C1714879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60960</xdr:colOff>
      <xdr:row>458</xdr:row>
      <xdr:rowOff>163830</xdr:rowOff>
    </xdr:from>
    <xdr:to>
      <xdr:col>6</xdr:col>
      <xdr:colOff>960120</xdr:colOff>
      <xdr:row>473</xdr:row>
      <xdr:rowOff>163830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CA68AD80-83D9-34F3-0E30-D75C8BDA64D8}"/>
            </a:ext>
            <a:ext uri="{147F2762-F138-4A5C-976F-8EAC2B608ADB}">
              <a16:predDERef xmlns:a16="http://schemas.microsoft.com/office/drawing/2014/main" pred="{E22764DE-A58B-B4EB-71F0-822DDA2B8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76200</xdr:colOff>
      <xdr:row>510</xdr:row>
      <xdr:rowOff>3810</xdr:rowOff>
    </xdr:from>
    <xdr:to>
      <xdr:col>6</xdr:col>
      <xdr:colOff>944880</xdr:colOff>
      <xdr:row>525</xdr:row>
      <xdr:rowOff>3810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E5FE518-E5BA-EBFC-8FC7-58A8CEEA2685}"/>
            </a:ext>
            <a:ext uri="{147F2762-F138-4A5C-976F-8EAC2B608ADB}">
              <a16:predDERef xmlns:a16="http://schemas.microsoft.com/office/drawing/2014/main" pred="{CA68AD80-83D9-34F3-0E30-D75C8BDA6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76200</xdr:colOff>
      <xdr:row>170</xdr:row>
      <xdr:rowOff>11430</xdr:rowOff>
    </xdr:from>
    <xdr:to>
      <xdr:col>6</xdr:col>
      <xdr:colOff>975360</xdr:colOff>
      <xdr:row>185</xdr:row>
      <xdr:rowOff>11430</xdr:rowOff>
    </xdr:to>
    <xdr:graphicFrame macro="">
      <xdr:nvGraphicFramePr>
        <xdr:cNvPr id="31" name="Gráfico 13">
          <a:extLst>
            <a:ext uri="{FF2B5EF4-FFF2-40B4-BE49-F238E27FC236}">
              <a16:creationId xmlns:a16="http://schemas.microsoft.com/office/drawing/2014/main" id="{FBA1BCDC-F284-CC01-2363-CCFFB1C0A8D8}"/>
            </a:ext>
            <a:ext uri="{147F2762-F138-4A5C-976F-8EAC2B608ADB}">
              <a16:predDERef xmlns:a16="http://schemas.microsoft.com/office/drawing/2014/main" pred="{2E5FE518-E5BA-EBFC-8FC7-58A8CEEA26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83820</xdr:colOff>
      <xdr:row>190</xdr:row>
      <xdr:rowOff>163830</xdr:rowOff>
    </xdr:from>
    <xdr:to>
      <xdr:col>6</xdr:col>
      <xdr:colOff>967740</xdr:colOff>
      <xdr:row>205</xdr:row>
      <xdr:rowOff>163830</xdr:rowOff>
    </xdr:to>
    <xdr:graphicFrame macro="">
      <xdr:nvGraphicFramePr>
        <xdr:cNvPr id="43" name="Gráfico 14">
          <a:extLst>
            <a:ext uri="{FF2B5EF4-FFF2-40B4-BE49-F238E27FC236}">
              <a16:creationId xmlns:a16="http://schemas.microsoft.com/office/drawing/2014/main" id="{1E4AF85F-252E-184D-802D-FDE572286DDA}"/>
            </a:ext>
            <a:ext uri="{147F2762-F138-4A5C-976F-8EAC2B608ADB}">
              <a16:predDERef xmlns:a16="http://schemas.microsoft.com/office/drawing/2014/main" pred="{FBA1BCDC-F284-CC01-2363-CCFFB1C0A8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114300</xdr:colOff>
      <xdr:row>615</xdr:row>
      <xdr:rowOff>156210</xdr:rowOff>
    </xdr:from>
    <xdr:to>
      <xdr:col>6</xdr:col>
      <xdr:colOff>944880</xdr:colOff>
      <xdr:row>630</xdr:row>
      <xdr:rowOff>156210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4D58AFE7-9FD0-3804-93ED-DAB3ECB68C84}"/>
            </a:ext>
            <a:ext uri="{147F2762-F138-4A5C-976F-8EAC2B608ADB}">
              <a16:predDERef xmlns:a16="http://schemas.microsoft.com/office/drawing/2014/main" pred="{5191F359-A0BB-1362-22B9-BCE02B0C1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106680</xdr:colOff>
      <xdr:row>302</xdr:row>
      <xdr:rowOff>19050</xdr:rowOff>
    </xdr:from>
    <xdr:to>
      <xdr:col>6</xdr:col>
      <xdr:colOff>982980</xdr:colOff>
      <xdr:row>317</xdr:row>
      <xdr:rowOff>19050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0034C87-A561-2034-40E3-E8B63D794464}"/>
            </a:ext>
            <a:ext uri="{147F2762-F138-4A5C-976F-8EAC2B608ADB}">
              <a16:predDERef xmlns:a16="http://schemas.microsoft.com/office/drawing/2014/main" pred="{4D58AFE7-9FD0-3804-93ED-DAB3ECB68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106680</xdr:colOff>
      <xdr:row>420</xdr:row>
      <xdr:rowOff>171450</xdr:rowOff>
    </xdr:from>
    <xdr:to>
      <xdr:col>6</xdr:col>
      <xdr:colOff>944880</xdr:colOff>
      <xdr:row>435</xdr:row>
      <xdr:rowOff>171450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DD81D388-56BB-1959-47E2-924260691056}"/>
            </a:ext>
            <a:ext uri="{147F2762-F138-4A5C-976F-8EAC2B608ADB}">
              <a16:predDERef xmlns:a16="http://schemas.microsoft.com/office/drawing/2014/main" pred="{30034C87-A561-2034-40E3-E8B63D794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83820</xdr:colOff>
      <xdr:row>437</xdr:row>
      <xdr:rowOff>11430</xdr:rowOff>
    </xdr:from>
    <xdr:to>
      <xdr:col>6</xdr:col>
      <xdr:colOff>929640</xdr:colOff>
      <xdr:row>452</xdr:row>
      <xdr:rowOff>11430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B7F74367-CBE6-2848-27B5-DCA7CA697CEF}"/>
            </a:ext>
            <a:ext uri="{147F2762-F138-4A5C-976F-8EAC2B608ADB}">
              <a16:predDERef xmlns:a16="http://schemas.microsoft.com/office/drawing/2014/main" pred="{DD81D388-56BB-1959-47E2-924260691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129540</xdr:colOff>
      <xdr:row>550</xdr:row>
      <xdr:rowOff>11430</xdr:rowOff>
    </xdr:from>
    <xdr:to>
      <xdr:col>6</xdr:col>
      <xdr:colOff>960120</xdr:colOff>
      <xdr:row>565</xdr:row>
      <xdr:rowOff>11430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EC87A0E3-CDDC-9528-FF82-3D7469714B38}"/>
            </a:ext>
            <a:ext uri="{147F2762-F138-4A5C-976F-8EAC2B608ADB}">
              <a16:predDERef xmlns:a16="http://schemas.microsoft.com/office/drawing/2014/main" pred="{B7F74367-CBE6-2848-27B5-DCA7CA697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38100</xdr:colOff>
      <xdr:row>636</xdr:row>
      <xdr:rowOff>148590</xdr:rowOff>
    </xdr:from>
    <xdr:to>
      <xdr:col>7</xdr:col>
      <xdr:colOff>15240</xdr:colOff>
      <xdr:row>651</xdr:row>
      <xdr:rowOff>148590</xdr:rowOff>
    </xdr:to>
    <xdr:graphicFrame macro="">
      <xdr:nvGraphicFramePr>
        <xdr:cNvPr id="49" name="Gráfico 9">
          <a:extLst>
            <a:ext uri="{FF2B5EF4-FFF2-40B4-BE49-F238E27FC236}">
              <a16:creationId xmlns:a16="http://schemas.microsoft.com/office/drawing/2014/main" id="{A41F5A85-5AFD-C5EE-14C6-3EE0D9C1D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60960</xdr:colOff>
      <xdr:row>247</xdr:row>
      <xdr:rowOff>167640</xdr:rowOff>
    </xdr:from>
    <xdr:to>
      <xdr:col>6</xdr:col>
      <xdr:colOff>967740</xdr:colOff>
      <xdr:row>262</xdr:row>
      <xdr:rowOff>167640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B3B1BD2-436C-470D-83C4-FD335BBB904B}"/>
            </a:ext>
            <a:ext uri="{147F2762-F138-4A5C-976F-8EAC2B608ADB}">
              <a16:predDERef xmlns:a16="http://schemas.microsoft.com/office/drawing/2014/main" pred="{0F71D4D4-B373-62E5-1D29-578B239E7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76200</xdr:colOff>
      <xdr:row>528</xdr:row>
      <xdr:rowOff>114300</xdr:rowOff>
    </xdr:from>
    <xdr:to>
      <xdr:col>6</xdr:col>
      <xdr:colOff>944880</xdr:colOff>
      <xdr:row>543</xdr:row>
      <xdr:rowOff>114300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564EBA87-60D7-4BCA-A1E6-C1FD670AB6CB}"/>
            </a:ext>
            <a:ext uri="{147F2762-F138-4A5C-976F-8EAC2B608ADB}">
              <a16:predDERef xmlns:a16="http://schemas.microsoft.com/office/drawing/2014/main" pred="{CA68AD80-83D9-34F3-0E30-D75C8BDA6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83820</xdr:colOff>
      <xdr:row>206</xdr:row>
      <xdr:rowOff>163830</xdr:rowOff>
    </xdr:from>
    <xdr:to>
      <xdr:col>6</xdr:col>
      <xdr:colOff>967740</xdr:colOff>
      <xdr:row>221</xdr:row>
      <xdr:rowOff>163830</xdr:rowOff>
    </xdr:to>
    <xdr:graphicFrame macro="">
      <xdr:nvGraphicFramePr>
        <xdr:cNvPr id="23" name="Gráfico 14">
          <a:extLst>
            <a:ext uri="{FF2B5EF4-FFF2-40B4-BE49-F238E27FC236}">
              <a16:creationId xmlns:a16="http://schemas.microsoft.com/office/drawing/2014/main" id="{B45A6112-2ABC-450E-A018-990C2322C8D4}"/>
            </a:ext>
            <a:ext uri="{147F2762-F138-4A5C-976F-8EAC2B608ADB}">
              <a16:predDERef xmlns:a16="http://schemas.microsoft.com/office/drawing/2014/main" pred="{FBA1BCDC-F284-CC01-2363-CCFFB1C0A8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114300</xdr:colOff>
      <xdr:row>486</xdr:row>
      <xdr:rowOff>179070</xdr:rowOff>
    </xdr:from>
    <xdr:to>
      <xdr:col>6</xdr:col>
      <xdr:colOff>998220</xdr:colOff>
      <xdr:row>501</xdr:row>
      <xdr:rowOff>179070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E117E5C-DB11-FCCD-CE35-8259424D08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45720</xdr:colOff>
      <xdr:row>225</xdr:row>
      <xdr:rowOff>163830</xdr:rowOff>
    </xdr:from>
    <xdr:to>
      <xdr:col>6</xdr:col>
      <xdr:colOff>982980</xdr:colOff>
      <xdr:row>240</xdr:row>
      <xdr:rowOff>163830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81415853-7D58-57E4-1E9E-383DC9EB8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68580</xdr:colOff>
      <xdr:row>67</xdr:row>
      <xdr:rowOff>163830</xdr:rowOff>
    </xdr:from>
    <xdr:to>
      <xdr:col>6</xdr:col>
      <xdr:colOff>914400</xdr:colOff>
      <xdr:row>82</xdr:row>
      <xdr:rowOff>163830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F3240E4A-E2F8-A8A0-1A40-E209E4457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121920</xdr:colOff>
      <xdr:row>103</xdr:row>
      <xdr:rowOff>171450</xdr:rowOff>
    </xdr:from>
    <xdr:to>
      <xdr:col>6</xdr:col>
      <xdr:colOff>982980</xdr:colOff>
      <xdr:row>118</xdr:row>
      <xdr:rowOff>171450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D24B1A8A-8A00-6351-8B29-B304B3F9E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106680</xdr:colOff>
      <xdr:row>139</xdr:row>
      <xdr:rowOff>171450</xdr:rowOff>
    </xdr:from>
    <xdr:to>
      <xdr:col>6</xdr:col>
      <xdr:colOff>937260</xdr:colOff>
      <xdr:row>154</xdr:row>
      <xdr:rowOff>171450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2EAF3696-3566-1940-D47B-A492A5EF3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20</xdr:row>
      <xdr:rowOff>140970</xdr:rowOff>
    </xdr:from>
    <xdr:to>
      <xdr:col>9</xdr:col>
      <xdr:colOff>3971925</xdr:colOff>
      <xdr:row>32</xdr:row>
      <xdr:rowOff>17145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B6ED43-F7BD-BD6E-3171-F434EBF9F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129540</xdr:colOff>
      <xdr:row>44</xdr:row>
      <xdr:rowOff>171450</xdr:rowOff>
    </xdr:from>
    <xdr:to>
      <xdr:col>10</xdr:col>
      <xdr:colOff>0</xdr:colOff>
      <xdr:row>59</xdr:row>
      <xdr:rowOff>171450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36C3DAC-B1FC-E930-BAD3-D14466492ACF}"/>
            </a:ext>
            <a:ext uri="{147F2762-F138-4A5C-976F-8EAC2B608ADB}">
              <a16:predDERef xmlns:a16="http://schemas.microsoft.com/office/drawing/2014/main" pred="{73B6ED43-F7BD-BD6E-3171-F434EBF9F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21D8CCC0-01C9-4FC8-83A7-3F24E4DD010F}">
    <nsvFilter filterId="{6A9D80EC-A178-469B-8075-98CE4EB53734}" ref="A2:M2549" tableId="1">
      <sortRules>
        <sortRule colId="1" id="{67A0D71D-E511-4446-90B5-D9024F373046}">
          <sortCondition ref="B2:B2549"/>
        </sortRule>
      </sortRules>
    </nsvFilter>
  </namedSheetView>
  <namedSheetView name="Exibição 2" id="{A351879F-4A6B-4B38-B6D8-8AF8B6CF3ACF}">
    <nsvFilter filterId="{6A9D80EC-A178-469B-8075-98CE4EB53734}" ref="A2:M2549" tableId="1">
      <columnFilter colId="1" id="{67A0D71D-E511-4446-90B5-D9024F373046}">
        <filter colId="1">
          <x:filters>
            <x:dateGroupItem year="2025" month="12" dateTimeGrouping="month"/>
          </x:filters>
        </filter>
      </columnFilter>
      <sortRules>
        <sortRule colId="1" id="{67A0D71D-E511-4446-90B5-D9024F373046}">
          <sortCondition ref="B2:B2549"/>
        </sortRule>
      </sortRules>
    </nsvFilter>
  </namedSheetView>
  <namedSheetView name="Exibir1" id="{3CEBE213-5DBA-4F1C-B630-A839BBE06B7D}">
    <nsvFilter filterId="{6A9D80EC-A178-469B-8075-98CE4EB53734}" ref="A2:M2549" tableId="1">
      <columnFilter colId="1" id="{67A0D71D-E511-4446-90B5-D9024F373046}">
        <filter colId="1">
          <x:filters>
            <x:dateGroupItem year="2026" month="2" day="28" dateTimeGrouping="day"/>
            <x:dateGroupItem year="2026" month="3" dateTimeGrouping="month"/>
          </x:filters>
        </filter>
      </columnFilter>
      <sortRules>
        <sortRule colId="1" id="{67A0D71D-E511-4446-90B5-D9024F373046}">
          <sortCondition ref="B2:B2549"/>
        </sortRule>
      </sortRules>
    </nsvFilter>
  </namedSheetView>
  <namedSheetView name="Exibir2" id="{F4C6814C-96D6-41B2-8ED6-110832CDC2AA}">
    <nsvFilter filterId="{6A9D80EC-A178-469B-8075-98CE4EB53734}" ref="A2:M2549" tableId="1">
      <columnFilter colId="1" id="{67A0D71D-E511-4446-90B5-D9024F373046}">
        <filter colId="1">
          <x:filters>
            <x:dateGroupItem year="2026" month="2" day="6" dateTimeGrouping="day"/>
          </x:filters>
        </filter>
      </columnFilter>
      <sortRules>
        <sortRule colId="1" id="{67A0D71D-E511-4446-90B5-D9024F373046}">
          <sortCondition ref="B2:B2549"/>
        </sortRule>
      </sortRules>
    </nsvFilter>
  </namedSheetView>
  <namedSheetView name="Exibir3" id="{00604E92-1EE8-4D07-9DA8-E00B026195AE}">
    <nsvFilter filterId="{6A9D80EC-A178-469B-8075-98CE4EB53734}" ref="A2:M2549" tableId="1">
      <columnFilter colId="1" id="{67A0D71D-E511-4446-90B5-D9024F373046}">
        <filter colId="1">
          <x:filters>
            <x:dateGroupItem year="2026" month="2" day="19" dateTimeGrouping="day"/>
          </x:filters>
        </filter>
      </columnFilter>
      <sortRules>
        <sortRule colId="1" id="{67A0D71D-E511-4446-90B5-D9024F373046}">
          <sortCondition ref="B2:B2549"/>
        </sortRule>
      </sortRules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Cotta" refreshedDate="46122.682194444445" createdVersion="8" refreshedVersion="8" minRefreshableVersion="3" recordCount="280" xr:uid="{53AAF8A3-4635-485D-9231-E22621A2FFEC}">
  <cacheSource type="worksheet">
    <worksheetSource name="Tabela2"/>
  </cacheSource>
  <cacheFields count="4">
    <cacheField name="VCTO" numFmtId="14">
      <sharedItems containsSemiMixedTypes="0" containsNonDate="0" containsDate="1" containsString="0" minDate="2025-10-13T00:00:00" maxDate="2026-12-14T00:00:00" count="9">
        <d v="2026-02-13T00:00:00"/>
        <d v="2026-01-13T00:00:00"/>
        <d v="2025-12-13T00:00:00"/>
        <d v="2025-11-13T00:00:00"/>
        <d v="2025-10-13T00:00:00"/>
        <d v="2026-03-13T00:00:00"/>
        <d v="2026-12-13T00:00:00" u="1"/>
        <d v="2026-11-13T00:00:00" u="1"/>
        <d v="2026-10-13T00:00:00" u="1"/>
      </sharedItems>
    </cacheField>
    <cacheField name="DESCRIÇÃO" numFmtId="0">
      <sharedItems/>
    </cacheField>
    <cacheField name="VALOR" numFmtId="169">
      <sharedItems containsSemiMixedTypes="0" containsString="0" containsNumber="1" minValue="-45" maxValue="10283.07"/>
    </cacheField>
    <cacheField name="CLASSIFICAÇÃO" numFmtId="0">
      <sharedItems containsBlank="1" count="23">
        <s v="ADS SHOPEE"/>
        <s v="ALIMENTAÇÃO"/>
        <s v="ASSINATURAS"/>
        <s v="COMBUSTÍVEL"/>
        <s v="COMPRA DE MÓVEIS E UTENSÍLIOS"/>
        <s v="DESP DE MARKETING E PROPAGANDA"/>
        <s v="DESPESAS DE VIAGEM"/>
        <s v="DESPESAS MANUTENCAO VEICULOS"/>
        <s v="FERRAMENTAS PARA MANUTENÇÃO"/>
        <s v="OUTRAS DESPESAS ADMINISTRATIVAS"/>
        <s v="PEÇAS"/>
        <s v="SEGURO DE VEICULOS"/>
        <s v="REEMBOLSO"/>
        <s v="COMISSÕES E TAXAS DOS MARKETPLACES"/>
        <s v="ADS MAGALU"/>
        <s v="ESTACIONAMENTO"/>
        <s v="TX. BANCÁRIA"/>
        <s v="ADS TIKTOK"/>
        <s v="TINTAS (COMO CLASSIFICAR?)"/>
        <s v="CHECAR" u="1"/>
        <s v="COMBUSTÍVEL " u="1"/>
        <s v="??" u="1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">
  <r>
    <x v="0"/>
    <s v="Shopee"/>
    <n v="1500"/>
    <x v="0"/>
  </r>
  <r>
    <x v="0"/>
    <s v="Shopee"/>
    <n v="1500"/>
    <x v="0"/>
  </r>
  <r>
    <x v="0"/>
    <s v="Shopee"/>
    <n v="1800"/>
    <x v="0"/>
  </r>
  <r>
    <x v="0"/>
    <s v="Shopee"/>
    <n v="1800"/>
    <x v="0"/>
  </r>
  <r>
    <x v="0"/>
    <s v="Churrascaria Herança"/>
    <n v="641"/>
    <x v="1"/>
  </r>
  <r>
    <x v="0"/>
    <s v="Padaria Chij"/>
    <n v="23"/>
    <x v="1"/>
  </r>
  <r>
    <x v="0"/>
    <s v="Restaurante Abençoado"/>
    <n v="69.27"/>
    <x v="1"/>
  </r>
  <r>
    <x v="0"/>
    <s v="Adobe"/>
    <n v="169"/>
    <x v="2"/>
  </r>
  <r>
    <x v="0"/>
    <s v="BR1 China Lin Do Brasil"/>
    <n v="1600"/>
    <x v="2"/>
  </r>
  <r>
    <x v="0"/>
    <s v="Pro TeamViewer (Parc 2/10)"/>
    <n v="58.8"/>
    <x v="2"/>
  </r>
  <r>
    <x v="0"/>
    <s v="Sem Parar"/>
    <n v="64.7"/>
    <x v="2"/>
  </r>
  <r>
    <x v="0"/>
    <s v="Vindi Tray Ecommerce (Parc 4/6)"/>
    <n v="269.99"/>
    <x v="2"/>
  </r>
  <r>
    <x v="0"/>
    <s v="Auto Posto Verona"/>
    <n v="340.54"/>
    <x v="3"/>
  </r>
  <r>
    <x v="0"/>
    <s v="Malassise Ribeirete"/>
    <n v="187.98"/>
    <x v="3"/>
  </r>
  <r>
    <x v="0"/>
    <s v="Malassise Ribeirete"/>
    <n v="288.51"/>
    <x v="3"/>
  </r>
  <r>
    <x v="0"/>
    <s v="Posto Taquari"/>
    <n v="290.12"/>
    <x v="3"/>
  </r>
  <r>
    <x v="0"/>
    <s v="MP Climário (Parc 2/10)"/>
    <n v="184.12"/>
    <x v="4"/>
  </r>
  <r>
    <x v="0"/>
    <s v="Lin Criattiva (Parc 2/6)"/>
    <n v="435"/>
    <x v="5"/>
  </r>
  <r>
    <x v="0"/>
    <s v="Bacio di Latte"/>
    <n v="146.75"/>
    <x v="6"/>
  </r>
  <r>
    <x v="0"/>
    <s v="Dinamite São Conrado"/>
    <n v="437"/>
    <x v="6"/>
  </r>
  <r>
    <x v="0"/>
    <s v="Estorno Hotel San Gabriel"/>
    <n v="-45"/>
    <x v="6"/>
  </r>
  <r>
    <x v="0"/>
    <s v="Hotel San Gabriel"/>
    <n v="772"/>
    <x v="6"/>
  </r>
  <r>
    <x v="0"/>
    <s v="Rancho do Tiothor"/>
    <n v="51.97"/>
    <x v="6"/>
  </r>
  <r>
    <x v="0"/>
    <s v="Rodo Stop"/>
    <n v="23.1"/>
    <x v="6"/>
  </r>
  <r>
    <x v="0"/>
    <s v="Uber"/>
    <n v="45.97"/>
    <x v="6"/>
  </r>
  <r>
    <x v="0"/>
    <s v="Uber"/>
    <n v="27.98"/>
    <x v="6"/>
  </r>
  <r>
    <x v="0"/>
    <s v="Uber"/>
    <n v="115"/>
    <x v="6"/>
  </r>
  <r>
    <x v="0"/>
    <s v="Uber (pendente)"/>
    <n v="35.979999999999997"/>
    <x v="6"/>
  </r>
  <r>
    <x v="0"/>
    <s v="Villa Country"/>
    <n v="210"/>
    <x v="6"/>
  </r>
  <r>
    <x v="0"/>
    <s v="MP Motortech (Parc 2/3)"/>
    <n v="1705.52"/>
    <x v="7"/>
  </r>
  <r>
    <x v="0"/>
    <s v="DR Comércio de Tintas"/>
    <n v="759"/>
    <x v="8"/>
  </r>
  <r>
    <x v="0"/>
    <s v="Superfer Comercial"/>
    <n v="2175"/>
    <x v="8"/>
  </r>
  <r>
    <x v="0"/>
    <s v="Keb Continental (Virtual)"/>
    <n v="35"/>
    <x v="9"/>
  </r>
  <r>
    <x v="0"/>
    <s v="MercadoLivre"/>
    <n v="54.55"/>
    <x v="9"/>
  </r>
  <r>
    <x v="0"/>
    <s v="MercadoLivre"/>
    <n v="84.99"/>
    <x v="9"/>
  </r>
  <r>
    <x v="0"/>
    <s v="Mercadolivre (Parc 2/2)"/>
    <n v="165.25"/>
    <x v="9"/>
  </r>
  <r>
    <x v="0"/>
    <s v="Mercadolivre (Parc 3/5)"/>
    <n v="99.8"/>
    <x v="9"/>
  </r>
  <r>
    <x v="0"/>
    <s v="EC Clubeb2b"/>
    <n v="2264.5100000000002"/>
    <x v="10"/>
  </r>
  <r>
    <x v="0"/>
    <s v="EC Clubeb2b"/>
    <n v="2274.12"/>
    <x v="10"/>
  </r>
  <r>
    <x v="0"/>
    <s v="EC Clubeb2b"/>
    <n v="10283.07"/>
    <x v="10"/>
  </r>
  <r>
    <x v="0"/>
    <s v="EC Clubeb2b"/>
    <n v="2114.3000000000002"/>
    <x v="10"/>
  </r>
  <r>
    <x v="0"/>
    <s v="EC Clubeb2b"/>
    <n v="6917"/>
    <x v="10"/>
  </r>
  <r>
    <x v="0"/>
    <s v="EC Clubeb2b"/>
    <n v="482"/>
    <x v="10"/>
  </r>
  <r>
    <x v="0"/>
    <s v="EC Clubeb2b"/>
    <n v="2127.9299999999998"/>
    <x v="10"/>
  </r>
  <r>
    <x v="0"/>
    <s v="EC Clubeb2b"/>
    <n v="1070.69"/>
    <x v="10"/>
  </r>
  <r>
    <x v="0"/>
    <s v="EC Clubeb2b"/>
    <n v="1618.03"/>
    <x v="10"/>
  </r>
  <r>
    <x v="0"/>
    <s v="EC Clubeb2b"/>
    <n v="4199.0600000000004"/>
    <x v="10"/>
  </r>
  <r>
    <x v="0"/>
    <s v="Mapfre (Parc 7/8)"/>
    <n v="145.63999999999999"/>
    <x v="11"/>
  </r>
  <r>
    <x v="0"/>
    <s v="Mapfre (Parc 8/12)"/>
    <n v="827.27"/>
    <x v="11"/>
  </r>
  <r>
    <x v="1"/>
    <s v="Mapfre Pcl7de12"/>
    <n v="827.27"/>
    <x v="11"/>
  </r>
  <r>
    <x v="1"/>
    <s v="Shopee Shopee Shpstecn ,00"/>
    <n v="1500"/>
    <x v="0"/>
  </r>
  <r>
    <x v="1"/>
    <s v="Adobe"/>
    <n v="169"/>
    <x v="2"/>
  </r>
  <r>
    <x v="1"/>
    <s v="Link Criattiva Com 01"/>
    <n v="435"/>
    <x v="5"/>
  </r>
  <r>
    <x v="1"/>
    <s v="Mp Motortech 01"/>
    <n v="1705.54"/>
    <x v="7"/>
  </r>
  <r>
    <x v="1"/>
    <s v="Santos Br1 China Link Do Bras ,00"/>
    <n v="1600"/>
    <x v="2"/>
  </r>
  <r>
    <x v="1"/>
    <s v="Palhoca Ec Clubeb2b ,95"/>
    <n v="3686.95"/>
    <x v="10"/>
  </r>
  <r>
    <x v="1"/>
    <s v="Orlandini Comercio De"/>
    <n v="342"/>
    <x v="10"/>
  </r>
  <r>
    <x v="1"/>
    <s v="Joseademirmurari"/>
    <n v="174"/>
    <x v="10"/>
  </r>
  <r>
    <x v="1"/>
    <s v="Gp Bike Store"/>
    <n v="396"/>
    <x v="10"/>
  </r>
  <r>
    <x v="1"/>
    <s v="Joseademirmurari"/>
    <n v="348"/>
    <x v="10"/>
  </r>
  <r>
    <x v="1"/>
    <s v="Office Bike"/>
    <n v="500"/>
    <x v="10"/>
  </r>
  <r>
    <x v="1"/>
    <s v="Shopee Shopee Shpstecn ,00"/>
    <n v="2800"/>
    <x v="0"/>
  </r>
  <r>
    <x v="1"/>
    <s v="Osasco Sem Parar"/>
    <n v="84.1"/>
    <x v="2"/>
  </r>
  <r>
    <x v="1"/>
    <s v="Mercadolivre Mercadoli Jundia"/>
    <n v="-22.99"/>
    <x v="12"/>
  </r>
  <r>
    <x v="1"/>
    <s v="Braslia Mercadolivre Easyte 01"/>
    <n v="165.26"/>
    <x v="9"/>
  </r>
  <r>
    <x v="1"/>
    <s v="Santo Andre Mercadolivre Theenigma"/>
    <n v="142.4"/>
    <x v="9"/>
  </r>
  <r>
    <x v="1"/>
    <s v="Jundia Mercadolivre Mercadoli"/>
    <n v="22.99"/>
    <x v="9"/>
  </r>
  <r>
    <x v="1"/>
    <s v="Churrascaria Heranca ,00"/>
    <n v="1282"/>
    <x v="1"/>
  </r>
  <r>
    <x v="1"/>
    <s v="Mapfre Pcl6de8"/>
    <n v="145.63999999999999"/>
    <x v="11"/>
  </r>
  <r>
    <x v="1"/>
    <s v="Palhoca Ec Clubeb2b ,29"/>
    <n v="1360.29"/>
    <x v="10"/>
  </r>
  <r>
    <x v="1"/>
    <s v="Palhoca Ec Clubeb2b ,85"/>
    <n v="5262.85"/>
    <x v="10"/>
  </r>
  <r>
    <x v="1"/>
    <s v="Palhoca Ec Clubeb2b ,51"/>
    <n v="2264.5100000000002"/>
    <x v="10"/>
  </r>
  <r>
    <x v="1"/>
    <s v="Vila Velha Mp Climario 01"/>
    <n v="184.17"/>
    <x v="4"/>
  </r>
  <r>
    <x v="1"/>
    <s v="Mercadolivre Mercad 02"/>
    <n v="99.8"/>
    <x v="9"/>
  </r>
  <r>
    <x v="1"/>
    <s v="Vindi Trayecommer 06"/>
    <n v="170"/>
    <x v="2"/>
  </r>
  <r>
    <x v="1"/>
    <s v="Prado Comercio De P 06"/>
    <n v="253"/>
    <x v="10"/>
  </r>
  <r>
    <x v="1"/>
    <s v="Mercadolivre Mercadoli"/>
    <n v="43.94"/>
    <x v="9"/>
  </r>
  <r>
    <x v="1"/>
    <s v="Bauru Mercadolivre Mercadoli"/>
    <n v="33.29"/>
    <x v="9"/>
  </r>
  <r>
    <x v="1"/>
    <s v="Porto Alegre Webcontinental"/>
    <n v="35"/>
    <x v="13"/>
  </r>
  <r>
    <x v="1"/>
    <s v="Ppro Teamviewer 01"/>
    <n v="58.8"/>
    <x v="2"/>
  </r>
  <r>
    <x v="1"/>
    <s v="Amazon Marketplace"/>
    <n v="10"/>
    <x v="13"/>
  </r>
  <r>
    <x v="1"/>
    <s v="Amazon Marketplace"/>
    <n v="10"/>
    <x v="13"/>
  </r>
  <r>
    <x v="1"/>
    <s v="Vindi Trayecommer 03"/>
    <n v="269.99"/>
    <x v="2"/>
  </r>
  <r>
    <x v="2"/>
    <s v="Kim Casa De Carne E C"/>
    <n v="749.85"/>
    <x v="1"/>
  </r>
  <r>
    <x v="2"/>
    <s v="Mapfre"/>
    <n v="827.27"/>
    <x v="11"/>
  </r>
  <r>
    <x v="2"/>
    <s v="Mercadolivre Mercad"/>
    <n v="99.8"/>
    <x v="9"/>
  </r>
  <r>
    <x v="2"/>
    <s v="Shopee Shopee Shpstecn"/>
    <n v="3500"/>
    <x v="0"/>
  </r>
  <r>
    <x v="2"/>
    <s v="Ebn Adobe"/>
    <n v="169"/>
    <x v="2"/>
  </r>
  <r>
    <x v="2"/>
    <s v="Mp Clubeb2b"/>
    <n v="2729.11"/>
    <x v="10"/>
  </r>
  <r>
    <x v="2"/>
    <s v="Br1 China Link Do Bras"/>
    <n v="1600"/>
    <x v="2"/>
  </r>
  <r>
    <x v="2"/>
    <s v="Sem Parar"/>
    <n v="270.12"/>
    <x v="2"/>
  </r>
  <r>
    <x v="2"/>
    <s v="Shopee Shopee Shpstecn"/>
    <n v="5000"/>
    <x v="0"/>
  </r>
  <r>
    <x v="2"/>
    <s v="Mlp Magalu Ads Ma"/>
    <n v="4000"/>
    <x v="14"/>
  </r>
  <r>
    <x v="2"/>
    <s v="Shopee Shopee Shpstecn"/>
    <n v="5000"/>
    <x v="0"/>
  </r>
  <r>
    <x v="2"/>
    <s v="Casa De Carne Siriema"/>
    <n v="164.6"/>
    <x v="1"/>
  </r>
  <r>
    <x v="2"/>
    <s v="Jefersonfaria"/>
    <n v="120"/>
    <x v="1"/>
  </r>
  <r>
    <x v="2"/>
    <s v="Panificadora Viana Ltd"/>
    <n v="35.75"/>
    <x v="1"/>
  </r>
  <r>
    <x v="2"/>
    <s v="Auto Posto Aguia Do Ib"/>
    <n v="286.08999999999997"/>
    <x v="3"/>
  </r>
  <r>
    <x v="2"/>
    <s v="Castelinho Da Pamonha"/>
    <n v="7.5"/>
    <x v="1"/>
  </r>
  <r>
    <x v="2"/>
    <s v="Restaurante Paloma"/>
    <n v="67.040000000000006"/>
    <x v="1"/>
  </r>
  <r>
    <x v="2"/>
    <s v="Mp Park Est Lava Rap"/>
    <n v="50"/>
    <x v="15"/>
  </r>
  <r>
    <x v="2"/>
    <s v="Restaurante Paloma"/>
    <n v="28"/>
    <x v="1"/>
  </r>
  <r>
    <x v="2"/>
    <s v="Mercadolivre Mercadoli"/>
    <n v="66.930000000000007"/>
    <x v="9"/>
  </r>
  <r>
    <x v="2"/>
    <s v="Mp Park Est Lava Rap"/>
    <n v="50"/>
    <x v="15"/>
  </r>
  <r>
    <x v="2"/>
    <s v="Ape Smart Studio"/>
    <n v="226.68"/>
    <x v="6"/>
  </r>
  <r>
    <x v="2"/>
    <s v="Ifd La Braciera Sant"/>
    <n v="229.14"/>
    <x v="6"/>
  </r>
  <r>
    <x v="2"/>
    <s v="Mapfre"/>
    <n v="145.63999999999999"/>
    <x v="11"/>
  </r>
  <r>
    <x v="2"/>
    <s v="Mp Clubeb2b"/>
    <n v="1408.55"/>
    <x v="10"/>
  </r>
  <r>
    <x v="2"/>
    <s v="Shopee Shopee Shpstecn"/>
    <n v="5500"/>
    <x v="0"/>
  </r>
  <r>
    <x v="2"/>
    <s v="EC Clubeb2b"/>
    <n v="1883.32"/>
    <x v="10"/>
  </r>
  <r>
    <x v="2"/>
    <s v="Padaria Chik Matriz"/>
    <n v="227.6"/>
    <x v="1"/>
  </r>
  <r>
    <x v="2"/>
    <s v="Mp Lpqbrrestaura"/>
    <n v="160"/>
    <x v="6"/>
  </r>
  <r>
    <x v="2"/>
    <s v="Mp Lpqbrrestaura"/>
    <n v="26"/>
    <x v="6"/>
  </r>
  <r>
    <x v="2"/>
    <s v="Nova Faria Lima"/>
    <n v="121.8"/>
    <x v="6"/>
  </r>
  <r>
    <x v="2"/>
    <s v="Mp Park Est Lava Rap"/>
    <n v="80"/>
    <x v="15"/>
  </r>
  <r>
    <x v="2"/>
    <s v="G E G Auto Posto"/>
    <n v="288.79000000000002"/>
    <x v="3"/>
  </r>
  <r>
    <x v="2"/>
    <s v="Rodosnack Gg"/>
    <n v="57.1"/>
    <x v="6"/>
  </r>
  <r>
    <x v="2"/>
    <s v="Restaurante Posto Cafe"/>
    <n v="81.55"/>
    <x v="6"/>
  </r>
  <r>
    <x v="2"/>
    <s v="Hous Coffee"/>
    <n v="28.2"/>
    <x v="6"/>
  </r>
  <r>
    <x v="2"/>
    <s v="Vindi Trayecommer"/>
    <n v="170"/>
    <x v="2"/>
  </r>
  <r>
    <x v="2"/>
    <s v="Prado Comercio De P"/>
    <n v="253"/>
    <x v="10"/>
  </r>
  <r>
    <x v="2"/>
    <s v="Mercadolivre Viking"/>
    <n v="159.80000000000001"/>
    <x v="9"/>
  </r>
  <r>
    <x v="2"/>
    <s v="Th Virtual"/>
    <n v="200"/>
    <x v="9"/>
  </r>
  <r>
    <x v="2"/>
    <s v="Webcontinental"/>
    <n v="35"/>
    <x v="13"/>
  </r>
  <r>
    <x v="2"/>
    <s v="Vindi Trayecommer"/>
    <n v="269.99"/>
    <x v="2"/>
  </r>
  <r>
    <x v="3"/>
    <s v="Garden Hotels Empreend"/>
    <n v="10"/>
    <x v="6"/>
  </r>
  <r>
    <x v="3"/>
    <s v="Rosim"/>
    <n v="59.8"/>
    <x v="6"/>
  </r>
  <r>
    <x v="3"/>
    <s v="Grill Sul Leme"/>
    <n v="230.45"/>
    <x v="6"/>
  </r>
  <r>
    <x v="3"/>
    <s v="Ape Smart Studio"/>
    <n v="193.32"/>
    <x v="6"/>
  </r>
  <r>
    <x v="3"/>
    <s v="Borelli Patio"/>
    <n v="55.5"/>
    <x v="6"/>
  </r>
  <r>
    <x v="3"/>
    <s v="Coco Bambu Conceito Pa"/>
    <n v="170.72"/>
    <x v="6"/>
  </r>
  <r>
    <x v="3"/>
    <s v="Sua Academia"/>
    <n v="39.9"/>
    <x v="6"/>
  </r>
  <r>
    <x v="3"/>
    <s v="Smart Market Mercado A"/>
    <n v="21.14"/>
    <x v="6"/>
  </r>
  <r>
    <x v="3"/>
    <s v="Sua Academia"/>
    <n v="39.9"/>
    <x v="6"/>
  </r>
  <r>
    <x v="3"/>
    <s v="Ape Smart Studio"/>
    <n v="193.32"/>
    <x v="6"/>
  </r>
  <r>
    <x v="3"/>
    <s v="Garden Hotels Empreend"/>
    <n v="240.68"/>
    <x v="6"/>
  </r>
  <r>
    <x v="3"/>
    <s v="Rodosnack Esmeralda"/>
    <n v="166.19"/>
    <x v="6"/>
  </r>
  <r>
    <x v="3"/>
    <s v="Auto Posto Bola Branca"/>
    <n v="261.02"/>
    <x v="3"/>
  </r>
  <r>
    <x v="3"/>
    <s v="Lojade"/>
    <n v="37"/>
    <x v="6"/>
  </r>
  <r>
    <x v="3"/>
    <s v="Mapfre Pcl"/>
    <n v="827.27"/>
    <x v="6"/>
  </r>
  <r>
    <x v="3"/>
    <s v="Kim Casa De Carne E C"/>
    <n v="153.75"/>
    <x v="1"/>
  </r>
  <r>
    <x v="3"/>
    <s v="Mp Clubeb2b"/>
    <n v="2254.66"/>
    <x v="10"/>
  </r>
  <r>
    <x v="3"/>
    <s v="Mp Clubeb2b"/>
    <n v="187.33"/>
    <x v="10"/>
  </r>
  <r>
    <x v="3"/>
    <s v="Ebn Adobe"/>
    <n v="169"/>
    <x v="2"/>
  </r>
  <r>
    <x v="3"/>
    <s v="Uber Pending"/>
    <n v="17.190000000000001"/>
    <x v="6"/>
  </r>
  <r>
    <x v="3"/>
    <s v="Amazon Marketplace"/>
    <n v="573.11"/>
    <x v="13"/>
  </r>
  <r>
    <x v="3"/>
    <s v="Amazon Marketplace"/>
    <n v="10"/>
    <x v="13"/>
  </r>
  <r>
    <x v="3"/>
    <s v="Amazon Marketplace"/>
    <n v="20"/>
    <x v="13"/>
  </r>
  <r>
    <x v="3"/>
    <s v="Br1 Br1 China Link Do"/>
    <n v="1600"/>
    <x v="2"/>
  </r>
  <r>
    <x v="3"/>
    <s v="Espetaria Porco E Cia"/>
    <n v="335.1"/>
    <x v="1"/>
  </r>
  <r>
    <x v="3"/>
    <s v="Mercadolivre Pgcomerci"/>
    <n v="118.88"/>
    <x v="9"/>
  </r>
  <r>
    <x v="3"/>
    <s v="Mercadolivre Rededistr"/>
    <n v="70.86"/>
    <x v="9"/>
  </r>
  <r>
    <x v="3"/>
    <s v="Sem Parar"/>
    <n v="657.39"/>
    <x v="2"/>
  </r>
  <r>
    <x v="3"/>
    <s v="Webcontinental"/>
    <n v="35"/>
    <x v="13"/>
  </r>
  <r>
    <x v="3"/>
    <s v="Mp Clubeb2b"/>
    <n v="746.63"/>
    <x v="10"/>
  </r>
  <r>
    <x v="3"/>
    <s v="JF Leite Filho Restau"/>
    <n v="305"/>
    <x v="10"/>
  </r>
  <r>
    <x v="3"/>
    <s v="EC Clubeb2b"/>
    <n v="399"/>
    <x v="10"/>
  </r>
  <r>
    <x v="3"/>
    <s v="Mp Clubeb2b"/>
    <n v="3831.32"/>
    <x v="10"/>
  </r>
  <r>
    <x v="3"/>
    <s v="EC Clubeb2b"/>
    <n v="1022.43"/>
    <x v="10"/>
  </r>
  <r>
    <x v="3"/>
    <s v="Mapfre Pcl"/>
    <n v="145.63999999999999"/>
    <x v="6"/>
  </r>
  <r>
    <x v="3"/>
    <s v="Mp Franco"/>
    <n v="4100"/>
    <x v="9"/>
  </r>
  <r>
    <x v="3"/>
    <s v="Churrascaria Herança"/>
    <n v="1114.0999999999999"/>
    <x v="1"/>
  </r>
  <r>
    <x v="3"/>
    <s v="Sem Parar"/>
    <n v="923.39"/>
    <x v="2"/>
  </r>
  <r>
    <x v="3"/>
    <s v="Amazon Marketplace"/>
    <n v="10"/>
    <x v="13"/>
  </r>
  <r>
    <x v="3"/>
    <s v="Mc Favorito"/>
    <n v="41"/>
    <x v="9"/>
  </r>
  <r>
    <x v="3"/>
    <s v="Mp Clubeb2b"/>
    <n v="3185.49"/>
    <x v="10"/>
  </r>
  <r>
    <x v="3"/>
    <s v="Mp Clubeb2b"/>
    <n v="1783.18"/>
    <x v="10"/>
  </r>
  <r>
    <x v="3"/>
    <s v="Vindi Trayecommer"/>
    <n v="270.04000000000002"/>
    <x v="2"/>
  </r>
  <r>
    <x v="3"/>
    <s v="Restaurante Santa Juli"/>
    <n v="865.24"/>
    <x v="6"/>
  </r>
  <r>
    <x v="3"/>
    <s v="Viana Conveniencia"/>
    <n v="239.58"/>
    <x v="6"/>
  </r>
  <r>
    <x v="3"/>
    <s v="Hot Vallet"/>
    <n v="35"/>
    <x v="15"/>
  </r>
  <r>
    <x v="3"/>
    <s v="Mp Park Est Lava Rap"/>
    <n v="72"/>
    <x v="15"/>
  </r>
  <r>
    <x v="3"/>
    <s v="Pmphbdrocastello Branc"/>
    <n v="264"/>
    <x v="6"/>
  </r>
  <r>
    <x v="3"/>
    <s v="Ape Administracao D"/>
    <n v="332.06"/>
    <x v="6"/>
  </r>
  <r>
    <x v="3"/>
    <s v="Vindi Trayecommer"/>
    <n v="170"/>
    <x v="2"/>
  </r>
  <r>
    <x v="3"/>
    <s v="Prado Comercio De P"/>
    <n v="253"/>
    <x v="10"/>
  </r>
  <r>
    <x v="3"/>
    <s v="Mercadolivre Viking"/>
    <n v="159.80000000000001"/>
    <x v="9"/>
  </r>
  <r>
    <x v="3"/>
    <s v="Th Virtual"/>
    <n v="200"/>
    <x v="9"/>
  </r>
  <r>
    <x v="3"/>
    <s v="Ycell Store"/>
    <n v="528.33000000000004"/>
    <x v="9"/>
  </r>
  <r>
    <x v="4"/>
    <s v="Anuidade Diferenc 0113"/>
    <n v="28.33"/>
    <x v="16"/>
  </r>
  <r>
    <x v="4"/>
    <s v="Parx"/>
    <n v="92"/>
    <x v="6"/>
  </r>
  <r>
    <x v="4"/>
    <s v="Mapfre Pcl"/>
    <n v="827.27"/>
    <x v="6"/>
  </r>
  <r>
    <x v="4"/>
    <s v="EC Clubeb2b"/>
    <n v="4718.8100000000004"/>
    <x v="10"/>
  </r>
  <r>
    <x v="4"/>
    <s v="Panificadora Viana Ltd"/>
    <n v="372.63"/>
    <x v="6"/>
  </r>
  <r>
    <x v="4"/>
    <s v="Mp Veronasgrill"/>
    <n v="211"/>
    <x v="6"/>
  </r>
  <r>
    <x v="4"/>
    <s v="Mp Victorneto"/>
    <n v="70"/>
    <x v="6"/>
  </r>
  <r>
    <x v="4"/>
    <s v="Mp Park Est Lava Rap"/>
    <n v="50"/>
    <x v="15"/>
  </r>
  <r>
    <x v="4"/>
    <s v="Parx 27"/>
    <n v="92"/>
    <x v="6"/>
  </r>
  <r>
    <x v="4"/>
    <s v="Jdw"/>
    <n v="40"/>
    <x v="6"/>
  </r>
  <r>
    <x v="4"/>
    <s v="Jdw"/>
    <n v="50"/>
    <x v="6"/>
  </r>
  <r>
    <x v="4"/>
    <s v="Uber Trip"/>
    <n v="29.92"/>
    <x v="6"/>
  </r>
  <r>
    <x v="4"/>
    <s v="Panificadora Viana Ltd"/>
    <n v="111.6"/>
    <x v="6"/>
  </r>
  <r>
    <x v="4"/>
    <s v="EC Clubeb2b"/>
    <n v="3673.77"/>
    <x v="10"/>
  </r>
  <r>
    <x v="4"/>
    <s v="EC Clubeb2b"/>
    <n v="1299.71"/>
    <x v="10"/>
  </r>
  <r>
    <x v="4"/>
    <s v="Parx 27"/>
    <n v="92"/>
    <x v="6"/>
  </r>
  <r>
    <x v="4"/>
    <s v="Parx 27"/>
    <n v="92"/>
    <x v="6"/>
  </r>
  <r>
    <x v="4"/>
    <s v="Mp Park Est Lava Rap"/>
    <n v="80"/>
    <x v="15"/>
  </r>
  <r>
    <x v="4"/>
    <s v="Mp Park Est Lava Rap"/>
    <n v="80"/>
    <x v="15"/>
  </r>
  <r>
    <x v="4"/>
    <s v="Ifd Cantina Do Piero"/>
    <n v="525.28"/>
    <x v="6"/>
  </r>
  <r>
    <x v="4"/>
    <s v="Viana Conveniencia"/>
    <n v="147.1"/>
    <x v="6"/>
  </r>
  <r>
    <x v="4"/>
    <s v="Rodovias Integradas Do"/>
    <n v="19.399999999999999"/>
    <x v="6"/>
  </r>
  <r>
    <x v="4"/>
    <s v="Auto Posto Limoeiro"/>
    <n v="6.45"/>
    <x v="6"/>
  </r>
  <r>
    <x v="4"/>
    <s v="Uber Trip"/>
    <n v="33.31"/>
    <x v="6"/>
  </r>
  <r>
    <x v="4"/>
    <s v="Chacara Flora"/>
    <n v="99.8"/>
    <x v="6"/>
  </r>
  <r>
    <x v="4"/>
    <s v="Posto Avenida Brasil"/>
    <n v="19"/>
    <x v="6"/>
  </r>
  <r>
    <x v="4"/>
    <s v="Posto Avenida Brasil"/>
    <n v="245.07"/>
    <x v="3"/>
  </r>
  <r>
    <x v="4"/>
    <s v="Smart Market Mercado A"/>
    <n v="34.1"/>
    <x v="6"/>
  </r>
  <r>
    <x v="4"/>
    <s v="Rest Quinta Do Marques"/>
    <n v="137.16999999999999"/>
    <x v="6"/>
  </r>
  <r>
    <x v="4"/>
    <s v="Posto Quinta Do Marque"/>
    <n v="275.19"/>
    <x v="6"/>
  </r>
  <r>
    <x v="4"/>
    <s v="HY Nishikawa Me"/>
    <n v="20"/>
    <x v="6"/>
  </r>
  <r>
    <x v="4"/>
    <s v="Restaurante E Lanchone"/>
    <n v="176.6"/>
    <x v="6"/>
  </r>
  <r>
    <x v="4"/>
    <s v="Mania De Churrasco Pri"/>
    <n v="121.6"/>
    <x v="6"/>
  </r>
  <r>
    <x v="4"/>
    <s v="Lanches Maristela Par"/>
    <n v="273.93"/>
    <x v="6"/>
  </r>
  <r>
    <x v="4"/>
    <s v="Outback Paulista"/>
    <n v="541.24"/>
    <x v="6"/>
  </r>
  <r>
    <x v="4"/>
    <s v="Amazon Marketplace"/>
    <n v="2842.31"/>
    <x v="13"/>
  </r>
  <r>
    <x v="4"/>
    <s v="Panificadora Viana Ltd"/>
    <n v="96.04"/>
    <x v="6"/>
  </r>
  <r>
    <x v="4"/>
    <s v="Mp Park Est Lava Rap"/>
    <n v="80"/>
    <x v="15"/>
  </r>
  <r>
    <x v="4"/>
    <s v="Posto Rodosery"/>
    <n v="281.79000000000002"/>
    <x v="3"/>
  </r>
  <r>
    <x v="4"/>
    <s v="Canto Da Mata Forneri"/>
    <n v="379.03"/>
    <x v="6"/>
  </r>
  <r>
    <x v="4"/>
    <s v="Webcontinental"/>
    <n v="35"/>
    <x v="13"/>
  </r>
  <r>
    <x v="4"/>
    <s v="EC Clubeb2b"/>
    <n v="1001.75"/>
    <x v="10"/>
  </r>
  <r>
    <x v="4"/>
    <s v="Ape Administracao D"/>
    <n v="580.59"/>
    <x v="6"/>
  </r>
  <r>
    <x v="4"/>
    <s v="Ape Administracao D"/>
    <n v="580.6"/>
    <x v="6"/>
  </r>
  <r>
    <x v="4"/>
    <s v="Ape Administracao D"/>
    <n v="498.09"/>
    <x v="6"/>
  </r>
  <r>
    <x v="4"/>
    <s v="Ape Administracao D"/>
    <n v="332.06"/>
    <x v="6"/>
  </r>
  <r>
    <x v="4"/>
    <s v="Mercadopago Farmink"/>
    <n v="203.24"/>
    <x v="6"/>
  </r>
  <r>
    <x v="4"/>
    <s v="Vindi Trayecommer"/>
    <n v="170"/>
    <x v="2"/>
  </r>
  <r>
    <x v="4"/>
    <s v="Prado Comercio De P"/>
    <n v="253"/>
    <x v="10"/>
  </r>
  <r>
    <x v="4"/>
    <s v="Mercadolivre Viking"/>
    <n v="159.80000000000001"/>
    <x v="9"/>
  </r>
  <r>
    <x v="4"/>
    <s v="Mercadolivre Eshop"/>
    <n v="221"/>
    <x v="9"/>
  </r>
  <r>
    <x v="4"/>
    <s v="Th Virtual"/>
    <n v="200"/>
    <x v="9"/>
  </r>
  <r>
    <x v="4"/>
    <s v="Ycell Store"/>
    <n v="528.33000000000004"/>
    <x v="9"/>
  </r>
  <r>
    <x v="4"/>
    <s v="Grupo Casas Bahia S"/>
    <n v="1619.4"/>
    <x v="13"/>
  </r>
  <r>
    <x v="4"/>
    <s v="Teamviewer"/>
    <n v="58.8"/>
    <x v="2"/>
  </r>
  <r>
    <x v="5"/>
    <s v="EDE SOUZA CONSTANTIN"/>
    <n v="968"/>
    <x v="10"/>
  </r>
  <r>
    <x v="5"/>
    <s v="Joseademirmurari"/>
    <n v="140"/>
    <x v="10"/>
  </r>
  <r>
    <x v="5"/>
    <s v="JIM COM ZOIO BIKE E"/>
    <n v="40"/>
    <x v="10"/>
  </r>
  <r>
    <x v="5"/>
    <s v="Mapfre Pcl9de12"/>
    <n v="827.27"/>
    <x v="11"/>
  </r>
  <r>
    <x v="5"/>
    <s v="LANCHONETE REI DA CA"/>
    <n v="18"/>
    <x v="6"/>
  </r>
  <r>
    <x v="5"/>
    <s v="KAFE SANTA CRUZ REST"/>
    <n v="179.6"/>
    <x v="6"/>
  </r>
  <r>
    <x v="5"/>
    <s v="AUTO POSTO REI DA CA"/>
    <n v="219.81"/>
    <x v="3"/>
  </r>
  <r>
    <x v="5"/>
    <s v="MULTIPARK"/>
    <n v="40"/>
    <x v="15"/>
  </r>
  <r>
    <x v="5"/>
    <s v="Shopee SHOPEE SHPSTE"/>
    <n v="2000"/>
    <x v="0"/>
  </r>
  <r>
    <x v="5"/>
    <s v="SLAVIERO EMPREENDIME"/>
    <n v="1068.33"/>
    <x v="6"/>
  </r>
  <r>
    <x v="5"/>
    <s v="SLAVIERO EMPREENDIME"/>
    <n v="8"/>
    <x v="6"/>
  </r>
  <r>
    <x v="5"/>
    <s v="RODOSERVSTAR"/>
    <n v="23.6"/>
    <x v="6"/>
  </r>
  <r>
    <x v="5"/>
    <s v="PALOMA RESTAURANTE E"/>
    <n v="287.61"/>
    <x v="6"/>
  </r>
  <r>
    <x v="5"/>
    <s v="AUTO POSTO SANTA TER"/>
    <n v="240.01"/>
    <x v="3"/>
  </r>
  <r>
    <x v="5"/>
    <s v="Adobe"/>
    <n v="169"/>
    <x v="2"/>
  </r>
  <r>
    <x v="5"/>
    <s v="PARDINHO"/>
    <n v="261.5"/>
    <x v="6"/>
  </r>
  <r>
    <x v="5"/>
    <s v="ZIG Fazenda Churrasc"/>
    <n v="468.95"/>
    <x v="6"/>
  </r>
  <r>
    <x v="5"/>
    <s v="KAFE SANTA CRUZ REST"/>
    <n v="251.54"/>
    <x v="6"/>
  </r>
  <r>
    <x v="5"/>
    <s v="MULTIPARK"/>
    <n v="22"/>
    <x v="15"/>
  </r>
  <r>
    <x v="5"/>
    <s v="Shopee SHOPEE SHPSTE"/>
    <n v="2000"/>
    <x v="0"/>
  </r>
  <r>
    <x v="5"/>
    <s v="BR1 CHINA LINK DO BR"/>
    <n v="1600"/>
    <x v="2"/>
  </r>
  <r>
    <x v="5"/>
    <s v="Sem Parar"/>
    <n v="55.7"/>
    <x v="2"/>
  </r>
  <r>
    <x v="5"/>
    <s v="Shopee SHOPEE SHPSTE"/>
    <n v="2000"/>
    <x v="0"/>
  </r>
  <r>
    <x v="5"/>
    <s v="ELETRO ARAPONGAS"/>
    <n v="699"/>
    <x v="9"/>
  </r>
  <r>
    <x v="5"/>
    <s v="MERCADO PAGO MERC"/>
    <n v="69.97"/>
    <x v="9"/>
  </r>
  <r>
    <x v="5"/>
    <s v="Mlp Magalu Ads Ma"/>
    <n v="1200"/>
    <x v="14"/>
  </r>
  <r>
    <x v="5"/>
    <s v="RECANTO DO CAPITAO G"/>
    <n v="1335.4"/>
    <x v="1"/>
  </r>
  <r>
    <x v="5"/>
    <s v="DL TikTok Ads"/>
    <n v="2000"/>
    <x v="17"/>
  </r>
  <r>
    <x v="5"/>
    <s v="Shopee SHOPEE SHPSTE"/>
    <n v="2000"/>
    <x v="0"/>
  </r>
  <r>
    <x v="5"/>
    <s v="MERCADOLIVRE MERCADO"/>
    <n v="756.8"/>
    <x v="9"/>
  </r>
  <r>
    <x v="5"/>
    <s v="IDALCI ALVES GONCALV"/>
    <n v="340"/>
    <x v="1"/>
  </r>
  <r>
    <x v="5"/>
    <s v="LOJAS G"/>
    <n v="309.17"/>
    <x v="9"/>
  </r>
  <r>
    <x v="5"/>
    <s v="SUP VERONA"/>
    <n v="910.25"/>
    <x v="1"/>
  </r>
  <r>
    <x v="5"/>
    <s v="Mapfre Pcl8de8"/>
    <n v="145.62"/>
    <x v="11"/>
  </r>
  <r>
    <x v="5"/>
    <s v="Shopee SHOPEE SHPSTE"/>
    <n v="2000"/>
    <x v="0"/>
  </r>
  <r>
    <x v="5"/>
    <s v="MERCADO PAGO 2PRO"/>
    <n v="25.9"/>
    <x v="9"/>
  </r>
  <r>
    <x v="5"/>
    <s v="MERCADOLIVRE 2PRODU 01/04"/>
    <n v="95.98"/>
    <x v="9"/>
  </r>
  <r>
    <x v="5"/>
    <s v="SUPERFER COMERCIAL 02/02"/>
    <n v="2175"/>
    <x v="8"/>
  </r>
  <r>
    <x v="5"/>
    <s v="DR COMERCIO DE TINT 02/02"/>
    <n v="759"/>
    <x v="18"/>
  </r>
  <r>
    <x v="5"/>
    <s v="LINK CRIATTIVA COM 03/06"/>
    <n v="435"/>
    <x v="5"/>
  </r>
  <r>
    <x v="5"/>
    <s v="MP MOTORTECH 03/03"/>
    <n v="1705.52"/>
    <x v="9"/>
  </r>
  <r>
    <x v="5"/>
    <s v="MP CLIMARIO 03/10"/>
    <n v="184.12"/>
    <x v="4"/>
  </r>
  <r>
    <x v="5"/>
    <s v="MERCADOLIVRE MERCAD 04/05"/>
    <n v="99.8"/>
    <x v="9"/>
  </r>
  <r>
    <x v="5"/>
    <s v="Webcontinental"/>
    <n v="35"/>
    <x v="13"/>
  </r>
  <r>
    <x v="5"/>
    <s v="Ppro Teamviewer 01"/>
    <n v="58.8"/>
    <x v="2"/>
  </r>
  <r>
    <x v="5"/>
    <s v="Vindi Trayecommer"/>
    <n v="269.9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DDC38-8355-4362-87E4-CAEC5B0ABE1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G4:H24" firstHeaderRow="1" firstDataRow="1" firstDataCol="1" rowPageCount="1" colPageCount="1"/>
  <pivotFields count="4">
    <pivotField axis="axisPage" compact="0" numFmtId="14" outline="0" showAll="0">
      <items count="10">
        <item x="1"/>
        <item x="0"/>
        <item m="1" x="8"/>
        <item m="1" x="7"/>
        <item m="1" x="6"/>
        <item x="2"/>
        <item x="3"/>
        <item x="4"/>
        <item x="5"/>
        <item t="default"/>
      </items>
    </pivotField>
    <pivotField compact="0" outline="0" showAll="0"/>
    <pivotField dataField="1" compact="0" numFmtId="169" outline="0" showAll="0"/>
    <pivotField axis="axisRow" compact="0" outline="0" showAll="0">
      <items count="24">
        <item m="1" x="21"/>
        <item x="14"/>
        <item x="0"/>
        <item x="1"/>
        <item x="2"/>
        <item x="3"/>
        <item m="1" x="20"/>
        <item x="13"/>
        <item x="4"/>
        <item x="5"/>
        <item x="6"/>
        <item x="7"/>
        <item x="15"/>
        <item x="8"/>
        <item x="9"/>
        <item x="10"/>
        <item x="12"/>
        <item x="11"/>
        <item x="16"/>
        <item m="1" x="22"/>
        <item m="1" x="19"/>
        <item x="17"/>
        <item x="18"/>
        <item t="default"/>
      </items>
    </pivotField>
  </pivotFields>
  <rowFields count="1">
    <field x="3"/>
  </rowFields>
  <rowItems count="20">
    <i>
      <x v="1"/>
    </i>
    <i>
      <x v="2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1"/>
    </i>
    <i>
      <x v="22"/>
    </i>
    <i t="grand">
      <x/>
    </i>
  </rowItems>
  <colItems count="1">
    <i/>
  </colItems>
  <pageFields count="1">
    <pageField fld="0" hier="-1"/>
  </pageFields>
  <dataFields count="1">
    <dataField name="Soma de VALOR" fld="2" baseField="0" baseItem="0" numFmtId="169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9D80EC-A178-469B-8075-98CE4EB53734}" name="Tabela1" displayName="Tabela1" ref="A2:M2549" totalsRowShown="0" headerRowDxfId="16">
  <autoFilter ref="A2:M2549" xr:uid="{6A9D80EC-A178-469B-8075-98CE4EB53734}"/>
  <tableColumns count="13">
    <tableColumn id="1" xr3:uid="{92F4B68B-395B-4205-9CF3-849D08861FE8}" name="NF" dataDxfId="15"/>
    <tableColumn id="8" xr3:uid="{67A0D71D-E511-4446-90B5-D9024F373046}" name="DT. VENCIMENTO" dataDxfId="14"/>
    <tableColumn id="7" xr3:uid="{A952195B-E19B-4689-8F32-F8CF50E43CD5}" name="TIPO" dataDxfId="13"/>
    <tableColumn id="12" xr3:uid="{A379842A-D845-4DA5-8FC1-9656D7B12543}" name="CLASSIFICAÇÃO" dataDxfId="12"/>
    <tableColumn id="6" xr3:uid="{9AFCB651-CE79-48DC-81E6-A555554B5468}" name="DESCRIÇÃO" dataDxfId="11"/>
    <tableColumn id="2" xr3:uid="{743F642F-1979-4F9C-AC63-FE84FA4409AA}" name="FORNECEDOR"/>
    <tableColumn id="3" xr3:uid="{BED6C851-8C40-4E42-9DE0-B078C2805FCE}" name="VALOR" dataDxfId="10" dataCellStyle="Moeda"/>
    <tableColumn id="4" xr3:uid="{460EAB80-6258-43FF-A8A9-A1BAEDBA27FC}" name="PARC." dataDxfId="9"/>
    <tableColumn id="9" xr3:uid="{A88BC6E8-61C7-4B94-A481-3B1FE939F0F0}" name="#" dataDxfId="8">
      <calculatedColumnFormula>COUNTIF(Tabela1[NF],Tabela1[[#This Row],[NF]])</calculatedColumnFormula>
    </tableColumn>
    <tableColumn id="5" xr3:uid="{0400641B-9C14-4278-A773-A663FD4A3565}" name="OBSERVAÇÕES"/>
    <tableColumn id="10" xr3:uid="{3B53A990-288C-41FD-88A7-D221A9CA6FB5}" name="DT. PAGAMENTO" dataDxfId="7"/>
    <tableColumn id="11" xr3:uid="{19065BA1-AE3C-4659-9045-5FF96048B27F}" name="Valor original"/>
    <tableColumn id="13" xr3:uid="{55463707-9719-46ED-A612-9B3AFF38A69C}" name="Jur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EA37D0-9378-4C0A-97A0-2B08A051B9C0}" name="Tabela2" displayName="Tabela2" ref="B2:E282" totalsRowShown="0" dataDxfId="6">
  <autoFilter ref="B2:E282" xr:uid="{22EA37D0-9378-4C0A-97A0-2B08A051B9C0}"/>
  <tableColumns count="4">
    <tableColumn id="1" xr3:uid="{BF040E7E-0330-4AB0-8CFD-CDA02C78CDF4}" name="VCTO" dataDxfId="5"/>
    <tableColumn id="2" xr3:uid="{D21A305B-BBAC-4469-9D03-CACADB888873}" name="DESCRIÇÃO" dataDxfId="4"/>
    <tableColumn id="3" xr3:uid="{10837156-83D7-4519-8629-CB2A1E38732A}" name="VALOR" dataDxfId="3"/>
    <tableColumn id="4" xr3:uid="{E435F048-3B94-47B4-831E-325910E9F625}" name="CLASSIFICAÇÃO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C655-2D6D-4F4D-B6AF-E24E9E1B090E}">
  <sheetPr>
    <tabColor rgb="FFFFFF00"/>
    <pageSetUpPr fitToPage="1"/>
  </sheetPr>
  <dimension ref="A1:EG2549"/>
  <sheetViews>
    <sheetView showGridLines="0" topLeftCell="A2369" zoomScale="70" zoomScaleNormal="70" workbookViewId="0">
      <selection activeCell="F2561" sqref="F2561"/>
    </sheetView>
  </sheetViews>
  <sheetFormatPr defaultRowHeight="15" customHeight="1" outlineLevelCol="1" x14ac:dyDescent="0.3"/>
  <cols>
    <col min="1" max="1" width="16.88671875" style="3" customWidth="1"/>
    <col min="2" max="2" width="18.44140625" style="5" bestFit="1" customWidth="1"/>
    <col min="3" max="3" width="9.109375" style="3" customWidth="1"/>
    <col min="4" max="4" width="39.33203125" style="3" bestFit="1" customWidth="1"/>
    <col min="5" max="5" width="43.33203125" style="3" bestFit="1" customWidth="1"/>
    <col min="6" max="6" width="54.33203125" bestFit="1" customWidth="1"/>
    <col min="7" max="7" width="16.44140625" style="479" bestFit="1" customWidth="1"/>
    <col min="8" max="8" width="8.6640625" style="1" hidden="1" customWidth="1" outlineLevel="1"/>
    <col min="9" max="9" width="4.109375" style="1" hidden="1" customWidth="1" outlineLevel="1"/>
    <col min="10" max="10" width="53" hidden="1" customWidth="1" outlineLevel="1"/>
    <col min="11" max="11" width="17.6640625" style="13" bestFit="1" customWidth="1" collapsed="1"/>
    <col min="12" max="12" width="2.33203125" bestFit="1" customWidth="1" outlineLevel="1"/>
    <col min="13" max="13" width="7.88671875" bestFit="1" customWidth="1" outlineLevel="1"/>
    <col min="14" max="14" width="40.5546875" style="1" bestFit="1" customWidth="1"/>
    <col min="15" max="15" width="10.109375" bestFit="1" customWidth="1"/>
    <col min="16" max="16" width="25.5546875" style="303" bestFit="1" customWidth="1"/>
    <col min="17" max="17" width="12.5546875" style="262" bestFit="1" customWidth="1"/>
    <col min="18" max="18" width="3" bestFit="1" customWidth="1"/>
  </cols>
  <sheetData>
    <row r="1" spans="1:17" ht="14.4" x14ac:dyDescent="0.3">
      <c r="A1" s="476">
        <f>SUBTOTAL(2,Tabela1[NF])</f>
        <v>536</v>
      </c>
      <c r="B1" s="233"/>
      <c r="C1" s="80"/>
      <c r="F1" s="292">
        <v>991587.1</v>
      </c>
      <c r="G1" s="478">
        <f>SUBTOTAL(9,Tabela1[VALOR])</f>
        <v>7986006.0220000111</v>
      </c>
      <c r="J1" s="4" t="s">
        <v>0</v>
      </c>
    </row>
    <row r="2" spans="1:17" ht="19.5" customHeight="1" x14ac:dyDescent="0.3">
      <c r="A2" s="1" t="s">
        <v>1</v>
      </c>
      <c r="B2" s="5" t="s">
        <v>2</v>
      </c>
      <c r="C2" s="2" t="s">
        <v>3</v>
      </c>
      <c r="D2" s="3" t="s">
        <v>4</v>
      </c>
      <c r="E2" s="3" t="s">
        <v>5</v>
      </c>
      <c r="F2" t="s">
        <v>6</v>
      </c>
      <c r="G2" s="479" t="s">
        <v>7</v>
      </c>
      <c r="H2" s="1" t="s">
        <v>8</v>
      </c>
      <c r="I2" s="1" t="s">
        <v>9</v>
      </c>
      <c r="J2" t="s">
        <v>10</v>
      </c>
      <c r="K2" s="13" t="s">
        <v>11</v>
      </c>
      <c r="L2" s="231" t="s">
        <v>12</v>
      </c>
      <c r="M2" t="s">
        <v>13</v>
      </c>
      <c r="P2" s="496" t="s">
        <v>14</v>
      </c>
      <c r="Q2" s="496"/>
    </row>
    <row r="3" spans="1:17" ht="14.4" x14ac:dyDescent="0.3">
      <c r="A3" s="19">
        <v>14872</v>
      </c>
      <c r="B3" s="21">
        <v>45887</v>
      </c>
      <c r="C3" s="21" t="s">
        <v>15</v>
      </c>
      <c r="D3" s="21"/>
      <c r="E3" s="20"/>
      <c r="F3" s="22" t="s">
        <v>16</v>
      </c>
      <c r="G3" s="252">
        <v>1439.8</v>
      </c>
      <c r="H3" s="19" t="s">
        <v>17</v>
      </c>
      <c r="I3" s="19">
        <f>COUNTIF(Tabela1[NF],Tabela1[[#This Row],[NF]])</f>
        <v>3</v>
      </c>
      <c r="J3" s="22"/>
      <c r="K3" s="26">
        <v>45887</v>
      </c>
      <c r="N3" s="14"/>
      <c r="P3" s="232" t="s">
        <v>18</v>
      </c>
      <c r="Q3"/>
    </row>
    <row r="4" spans="1:17" ht="14.4" x14ac:dyDescent="0.3">
      <c r="A4" s="19">
        <v>442577</v>
      </c>
      <c r="B4" s="21">
        <v>45903</v>
      </c>
      <c r="C4" s="21" t="s">
        <v>15</v>
      </c>
      <c r="D4" s="21" t="s">
        <v>19</v>
      </c>
      <c r="E4" s="20"/>
      <c r="F4" s="22" t="s">
        <v>20</v>
      </c>
      <c r="G4" s="252">
        <v>20895.3</v>
      </c>
      <c r="H4" s="19" t="s">
        <v>21</v>
      </c>
      <c r="I4" s="19">
        <f>COUNTIF(Tabela1[NF],Tabela1[[#This Row],[NF]])</f>
        <v>1</v>
      </c>
      <c r="J4" s="22"/>
      <c r="K4" s="26">
        <f>Tabela1[[#This Row],[DT. VENCIMENTO]]</f>
        <v>45903</v>
      </c>
      <c r="N4" s="14" t="str" cm="1">
        <f t="array" ref="N4">_xlfn.XLOOKUP(TRIM(D4),TRIM(DFC!A:A),DFC!A:A,"NÃO ESTÁ NA DFC")</f>
        <v xml:space="preserve">      PEÇAS</v>
      </c>
      <c r="P4" s="232" t="s">
        <v>22</v>
      </c>
      <c r="Q4"/>
    </row>
    <row r="5" spans="1:17" ht="14.4" x14ac:dyDescent="0.3">
      <c r="A5" s="19">
        <v>442590</v>
      </c>
      <c r="B5" s="21">
        <v>45903</v>
      </c>
      <c r="C5" s="21" t="s">
        <v>15</v>
      </c>
      <c r="D5" s="21" t="s">
        <v>19</v>
      </c>
      <c r="E5" s="20"/>
      <c r="F5" s="22" t="s">
        <v>20</v>
      </c>
      <c r="G5" s="252">
        <v>11070.67</v>
      </c>
      <c r="H5" s="19" t="s">
        <v>21</v>
      </c>
      <c r="I5" s="19">
        <f>COUNTIF(Tabela1[NF],Tabela1[[#This Row],[NF]])</f>
        <v>1</v>
      </c>
      <c r="J5" s="22"/>
      <c r="K5" s="26">
        <f>Tabela1[[#This Row],[DT. VENCIMENTO]]</f>
        <v>45903</v>
      </c>
      <c r="N5" s="14" t="str" cm="1">
        <f t="array" ref="N5">_xlfn.XLOOKUP(TRIM(D5),TRIM(DFC!A:A),DFC!A:A,"NÃO ESTÁ NA DFC")</f>
        <v xml:space="preserve">      PEÇAS</v>
      </c>
      <c r="P5" s="232" t="s">
        <v>23</v>
      </c>
      <c r="Q5"/>
    </row>
    <row r="6" spans="1:17" ht="14.4" x14ac:dyDescent="0.3">
      <c r="A6" s="19">
        <v>436412</v>
      </c>
      <c r="B6" s="21">
        <v>45905</v>
      </c>
      <c r="C6" s="21" t="s">
        <v>15</v>
      </c>
      <c r="D6" s="21" t="s">
        <v>19</v>
      </c>
      <c r="E6" s="20"/>
      <c r="F6" s="22" t="s">
        <v>24</v>
      </c>
      <c r="G6" s="252">
        <v>5160.1099999999997</v>
      </c>
      <c r="H6" s="1" t="s">
        <v>25</v>
      </c>
      <c r="I6" s="1">
        <f>COUNTIF(Tabela1[NF],Tabela1[[#This Row],[NF]])</f>
        <v>5</v>
      </c>
      <c r="K6" s="26">
        <v>45936</v>
      </c>
      <c r="N6" s="14"/>
      <c r="P6" s="232" t="s">
        <v>26</v>
      </c>
      <c r="Q6"/>
    </row>
    <row r="7" spans="1:17" ht="14.4" x14ac:dyDescent="0.3">
      <c r="A7" s="19">
        <v>436358</v>
      </c>
      <c r="B7" s="21">
        <v>45905</v>
      </c>
      <c r="C7" s="21" t="s">
        <v>15</v>
      </c>
      <c r="D7" s="21" t="s">
        <v>19</v>
      </c>
      <c r="E7" s="20"/>
      <c r="F7" s="22" t="s">
        <v>24</v>
      </c>
      <c r="G7" s="285">
        <v>6117.9</v>
      </c>
      <c r="I7" s="1">
        <f>COUNTIF(Tabela1[NF],Tabela1[[#This Row],[NF]])</f>
        <v>5</v>
      </c>
      <c r="K7" s="26">
        <f>B7</f>
        <v>45905</v>
      </c>
      <c r="N7" s="14"/>
      <c r="P7" s="232" t="s">
        <v>27</v>
      </c>
      <c r="Q7"/>
    </row>
    <row r="8" spans="1:17" ht="14.4" x14ac:dyDescent="0.3">
      <c r="A8" s="19">
        <v>436424</v>
      </c>
      <c r="B8" s="21">
        <v>45905</v>
      </c>
      <c r="C8" s="21" t="s">
        <v>15</v>
      </c>
      <c r="D8" s="21" t="s">
        <v>19</v>
      </c>
      <c r="E8" s="20"/>
      <c r="F8" s="22" t="s">
        <v>24</v>
      </c>
      <c r="G8" s="252">
        <v>2959.38</v>
      </c>
      <c r="I8" s="1">
        <f>COUNTIF(Tabela1[NF],Tabela1[[#This Row],[NF]])</f>
        <v>4</v>
      </c>
      <c r="K8" s="26">
        <f>Tabela1[[#This Row],[DT. VENCIMENTO]]</f>
        <v>45905</v>
      </c>
      <c r="N8" s="14"/>
      <c r="P8" s="232" t="s">
        <v>28</v>
      </c>
      <c r="Q8"/>
    </row>
    <row r="9" spans="1:17" ht="14.4" x14ac:dyDescent="0.3">
      <c r="A9" s="19">
        <v>436345</v>
      </c>
      <c r="B9" s="21">
        <v>45905</v>
      </c>
      <c r="C9" s="21" t="s">
        <v>15</v>
      </c>
      <c r="D9" s="21" t="s">
        <v>19</v>
      </c>
      <c r="E9" s="20"/>
      <c r="F9" s="22" t="s">
        <v>24</v>
      </c>
      <c r="G9" s="252">
        <v>51965.5</v>
      </c>
      <c r="I9" s="1">
        <f>COUNTIF(Tabela1[NF],Tabela1[[#This Row],[NF]])</f>
        <v>6</v>
      </c>
      <c r="K9" s="26">
        <f>B9</f>
        <v>45905</v>
      </c>
      <c r="N9" s="14"/>
      <c r="P9" s="232" t="s">
        <v>29</v>
      </c>
      <c r="Q9"/>
    </row>
    <row r="10" spans="1:17" ht="14.4" x14ac:dyDescent="0.3">
      <c r="A10" s="19">
        <v>436655</v>
      </c>
      <c r="B10" s="21">
        <v>45906</v>
      </c>
      <c r="C10" s="21" t="s">
        <v>15</v>
      </c>
      <c r="D10" s="21" t="s">
        <v>19</v>
      </c>
      <c r="E10" s="20"/>
      <c r="F10" s="22" t="s">
        <v>30</v>
      </c>
      <c r="G10" s="252">
        <v>29413.88</v>
      </c>
      <c r="I10" s="1">
        <f>COUNTIF(Tabela1[NF],Tabela1[[#This Row],[NF]])</f>
        <v>5</v>
      </c>
      <c r="K10" s="26">
        <f>Tabela1[[#This Row],[DT. VENCIMENTO]]</f>
        <v>45906</v>
      </c>
      <c r="N10" s="14"/>
      <c r="P10" s="232" t="s">
        <v>31</v>
      </c>
      <c r="Q10"/>
    </row>
    <row r="11" spans="1:17" ht="14.4" x14ac:dyDescent="0.3">
      <c r="A11" s="19">
        <v>8043</v>
      </c>
      <c r="B11" s="21">
        <v>45908</v>
      </c>
      <c r="C11" s="21" t="s">
        <v>15</v>
      </c>
      <c r="D11" s="21"/>
      <c r="E11" s="20"/>
      <c r="F11" s="22" t="s">
        <v>32</v>
      </c>
      <c r="G11" s="252">
        <v>60502.11</v>
      </c>
      <c r="H11" s="19" t="s">
        <v>21</v>
      </c>
      <c r="I11" s="19">
        <f>COUNTIF(Tabela1[NF],Tabela1[[#This Row],[NF]])</f>
        <v>1</v>
      </c>
      <c r="J11" s="22" t="s">
        <v>33</v>
      </c>
      <c r="K11" s="26">
        <f>Tabela1[[#This Row],[DT. VENCIMENTO]]</f>
        <v>45908</v>
      </c>
      <c r="N11" s="14"/>
      <c r="P11" s="232" t="s">
        <v>34</v>
      </c>
      <c r="Q11"/>
    </row>
    <row r="12" spans="1:17" ht="14.4" x14ac:dyDescent="0.3">
      <c r="A12" s="19">
        <v>438008</v>
      </c>
      <c r="B12" s="21">
        <v>45912</v>
      </c>
      <c r="C12" s="21" t="s">
        <v>15</v>
      </c>
      <c r="D12" s="21" t="s">
        <v>19</v>
      </c>
      <c r="E12" s="20"/>
      <c r="F12" s="22" t="s">
        <v>24</v>
      </c>
      <c r="G12" s="285">
        <v>2850.82</v>
      </c>
      <c r="I12" s="1">
        <f>COUNTIF(Tabela1[NF],Tabela1[[#This Row],[NF]])</f>
        <v>4</v>
      </c>
      <c r="K12" s="26">
        <f>Tabela1[[#This Row],[DT. VENCIMENTO]]</f>
        <v>45912</v>
      </c>
      <c r="N12" s="14"/>
      <c r="P12" s="232" t="s">
        <v>35</v>
      </c>
      <c r="Q12"/>
    </row>
    <row r="13" spans="1:17" ht="14.4" x14ac:dyDescent="0.3">
      <c r="A13" s="19">
        <v>14872</v>
      </c>
      <c r="B13" s="21">
        <v>45915</v>
      </c>
      <c r="C13" s="21" t="s">
        <v>15</v>
      </c>
      <c r="D13" s="21"/>
      <c r="E13" s="20"/>
      <c r="F13" s="22" t="s">
        <v>16</v>
      </c>
      <c r="G13" s="252">
        <v>1439.8</v>
      </c>
      <c r="H13" s="19" t="s">
        <v>36</v>
      </c>
      <c r="I13" s="19">
        <f>COUNTIF(Tabela1[NF],Tabela1[[#This Row],[NF]])</f>
        <v>3</v>
      </c>
      <c r="J13" s="22"/>
      <c r="K13" s="26">
        <f>Tabela1[[#This Row],[DT. VENCIMENTO]]</f>
        <v>45915</v>
      </c>
      <c r="N13" s="14"/>
      <c r="P13" s="232" t="s">
        <v>37</v>
      </c>
      <c r="Q13"/>
    </row>
    <row r="14" spans="1:17" ht="14.4" x14ac:dyDescent="0.3">
      <c r="A14" s="19">
        <v>8761</v>
      </c>
      <c r="B14" s="21">
        <v>45917</v>
      </c>
      <c r="C14" s="21" t="s">
        <v>15</v>
      </c>
      <c r="D14" s="21"/>
      <c r="E14" s="20"/>
      <c r="F14" s="22" t="s">
        <v>38</v>
      </c>
      <c r="G14" s="252">
        <v>563.54999999999995</v>
      </c>
      <c r="H14" s="19" t="s">
        <v>17</v>
      </c>
      <c r="I14" s="19">
        <f>COUNTIF(Tabela1[NF],Tabela1[[#This Row],[NF]])</f>
        <v>2</v>
      </c>
      <c r="J14" s="22"/>
      <c r="K14" s="26">
        <f>Tabela1[[#This Row],[DT. VENCIMENTO]]</f>
        <v>45917</v>
      </c>
      <c r="N14" s="14"/>
      <c r="P14" s="232" t="s">
        <v>19</v>
      </c>
      <c r="Q14"/>
    </row>
    <row r="15" spans="1:17" ht="14.4" x14ac:dyDescent="0.3">
      <c r="A15" s="19">
        <v>69985</v>
      </c>
      <c r="B15" s="21">
        <v>45917</v>
      </c>
      <c r="C15" s="21" t="s">
        <v>15</v>
      </c>
      <c r="D15" s="21"/>
      <c r="E15" s="20"/>
      <c r="F15" s="22" t="s">
        <v>39</v>
      </c>
      <c r="G15" s="252">
        <v>697.71</v>
      </c>
      <c r="H15" s="19" t="s">
        <v>21</v>
      </c>
      <c r="I15" s="19">
        <f>COUNTIF(Tabela1[NF],Tabela1[[#This Row],[NF]])</f>
        <v>1</v>
      </c>
      <c r="J15" s="22"/>
      <c r="K15" s="26">
        <f>Tabela1[[#This Row],[DT. VENCIMENTO]]</f>
        <v>45917</v>
      </c>
      <c r="N15" s="14"/>
      <c r="P15" s="232" t="s">
        <v>40</v>
      </c>
      <c r="Q15"/>
    </row>
    <row r="16" spans="1:17" ht="14.4" x14ac:dyDescent="0.3">
      <c r="A16" s="19">
        <v>438751</v>
      </c>
      <c r="B16" s="21">
        <v>45917</v>
      </c>
      <c r="C16" s="21" t="s">
        <v>15</v>
      </c>
      <c r="D16" s="21" t="s">
        <v>19</v>
      </c>
      <c r="E16" s="20"/>
      <c r="F16" s="22" t="s">
        <v>24</v>
      </c>
      <c r="G16" s="285">
        <v>1139.28</v>
      </c>
      <c r="I16" s="1">
        <f>COUNTIF(Tabela1[NF],Tabela1[[#This Row],[NF]])</f>
        <v>4</v>
      </c>
      <c r="K16" s="26">
        <f>B16</f>
        <v>45917</v>
      </c>
      <c r="N16" s="14"/>
      <c r="P16" s="232" t="s">
        <v>41</v>
      </c>
      <c r="Q16"/>
    </row>
    <row r="17" spans="1:16" customFormat="1" ht="14.4" x14ac:dyDescent="0.3">
      <c r="A17" s="19">
        <v>12943</v>
      </c>
      <c r="B17" s="21">
        <v>45918</v>
      </c>
      <c r="C17" s="21" t="s">
        <v>15</v>
      </c>
      <c r="D17" s="21"/>
      <c r="E17" s="20"/>
      <c r="F17" s="22" t="s">
        <v>42</v>
      </c>
      <c r="G17" s="252">
        <v>1600.32</v>
      </c>
      <c r="H17" s="19" t="s">
        <v>17</v>
      </c>
      <c r="I17" s="19">
        <f>COUNTIF(Tabela1[NF],Tabela1[[#This Row],[NF]])</f>
        <v>2</v>
      </c>
      <c r="J17" s="22"/>
      <c r="K17" s="26">
        <f>Tabela1[[#This Row],[DT. VENCIMENTO]]</f>
        <v>45918</v>
      </c>
      <c r="N17" s="14"/>
      <c r="P17" s="232" t="s">
        <v>43</v>
      </c>
    </row>
    <row r="18" spans="1:16" customFormat="1" ht="14.4" x14ac:dyDescent="0.3">
      <c r="A18" s="23">
        <v>45901</v>
      </c>
      <c r="B18" s="21">
        <v>45920</v>
      </c>
      <c r="C18" s="21" t="s">
        <v>44</v>
      </c>
      <c r="D18" s="21"/>
      <c r="E18" s="20"/>
      <c r="F18" s="22" t="s">
        <v>45</v>
      </c>
      <c r="G18" s="252">
        <v>9679.49</v>
      </c>
      <c r="H18" s="19" t="s">
        <v>21</v>
      </c>
      <c r="I18" s="19">
        <f>COUNTIF(Tabela1[NF],Tabela1[[#This Row],[NF]])</f>
        <v>9</v>
      </c>
      <c r="J18" s="22" t="s">
        <v>46</v>
      </c>
      <c r="K18" s="26">
        <f>Tabela1[[#This Row],[DT. VENCIMENTO]]</f>
        <v>45920</v>
      </c>
      <c r="N18" s="14"/>
      <c r="P18" s="232" t="s">
        <v>47</v>
      </c>
    </row>
    <row r="19" spans="1:16" customFormat="1" ht="14.4" x14ac:dyDescent="0.3">
      <c r="A19" s="19">
        <v>221024</v>
      </c>
      <c r="B19" s="21">
        <v>45921</v>
      </c>
      <c r="C19" s="21" t="s">
        <v>15</v>
      </c>
      <c r="D19" s="21"/>
      <c r="E19" s="20"/>
      <c r="F19" s="22" t="s">
        <v>48</v>
      </c>
      <c r="G19" s="252">
        <v>2211.65</v>
      </c>
      <c r="H19" s="19" t="s">
        <v>49</v>
      </c>
      <c r="I19" s="19">
        <f>COUNTIF(Tabela1[NF],Tabela1[[#This Row],[NF]])</f>
        <v>2</v>
      </c>
      <c r="J19" s="22"/>
      <c r="K19" s="26">
        <f>Tabela1[[#This Row],[DT. VENCIMENTO]]</f>
        <v>45921</v>
      </c>
      <c r="N19" s="14"/>
      <c r="P19" s="232" t="s">
        <v>50</v>
      </c>
    </row>
    <row r="20" spans="1:16" customFormat="1" ht="14.4" x14ac:dyDescent="0.3">
      <c r="A20" s="19">
        <v>1278</v>
      </c>
      <c r="B20" s="21">
        <v>45922</v>
      </c>
      <c r="C20" s="21" t="s">
        <v>15</v>
      </c>
      <c r="D20" s="21"/>
      <c r="E20" s="20"/>
      <c r="F20" s="22" t="s">
        <v>51</v>
      </c>
      <c r="G20" s="252">
        <v>523.17999999999995</v>
      </c>
      <c r="H20" s="19" t="s">
        <v>52</v>
      </c>
      <c r="I20" s="19">
        <f>COUNTIF(Tabela1[NF],Tabela1[[#This Row],[NF]])</f>
        <v>2</v>
      </c>
      <c r="J20" s="22"/>
      <c r="K20" s="26">
        <f>Tabela1[[#This Row],[DT. VENCIMENTO]]</f>
        <v>45922</v>
      </c>
      <c r="N20" s="14"/>
      <c r="P20" s="232" t="s">
        <v>53</v>
      </c>
    </row>
    <row r="21" spans="1:16" customFormat="1" ht="14.4" x14ac:dyDescent="0.3">
      <c r="A21" s="19">
        <v>3568</v>
      </c>
      <c r="B21" s="21">
        <v>45924</v>
      </c>
      <c r="C21" s="21" t="s">
        <v>15</v>
      </c>
      <c r="D21" s="21"/>
      <c r="E21" s="20"/>
      <c r="F21" s="22" t="s">
        <v>54</v>
      </c>
      <c r="G21" s="252">
        <v>6996.9</v>
      </c>
      <c r="H21" s="19" t="s">
        <v>55</v>
      </c>
      <c r="I21" s="19">
        <f>COUNTIF(Tabela1[NF],Tabela1[[#This Row],[NF]])</f>
        <v>3</v>
      </c>
      <c r="J21" s="22" t="s">
        <v>56</v>
      </c>
      <c r="K21" s="26">
        <f>Tabela1[[#This Row],[DT. VENCIMENTO]]</f>
        <v>45924</v>
      </c>
      <c r="N21" s="14"/>
      <c r="P21" s="232" t="s">
        <v>57</v>
      </c>
    </row>
    <row r="22" spans="1:16" customFormat="1" ht="14.4" x14ac:dyDescent="0.3">
      <c r="A22" s="19">
        <v>7341</v>
      </c>
      <c r="B22" s="21">
        <v>45925</v>
      </c>
      <c r="C22" s="21" t="s">
        <v>15</v>
      </c>
      <c r="D22" s="21"/>
      <c r="E22" s="20"/>
      <c r="F22" s="22" t="s">
        <v>58</v>
      </c>
      <c r="G22" s="252">
        <v>281.52</v>
      </c>
      <c r="H22" s="19" t="s">
        <v>59</v>
      </c>
      <c r="I22" s="19">
        <f>COUNTIF(Tabela1[NF],Tabela1[[#This Row],[NF]])</f>
        <v>1</v>
      </c>
      <c r="J22" s="22"/>
      <c r="K22" s="26">
        <f>Tabela1[[#This Row],[DT. VENCIMENTO]]</f>
        <v>45925</v>
      </c>
      <c r="N22" s="14"/>
      <c r="P22" s="232" t="s">
        <v>60</v>
      </c>
    </row>
    <row r="23" spans="1:16" customFormat="1" ht="14.4" x14ac:dyDescent="0.3">
      <c r="A23" s="19">
        <v>120785</v>
      </c>
      <c r="B23" s="21">
        <v>45925</v>
      </c>
      <c r="C23" s="21" t="s">
        <v>15</v>
      </c>
      <c r="D23" s="21"/>
      <c r="E23" s="20"/>
      <c r="F23" s="22" t="s">
        <v>61</v>
      </c>
      <c r="G23" s="252">
        <v>1908.61</v>
      </c>
      <c r="H23" s="19" t="s">
        <v>62</v>
      </c>
      <c r="I23" s="19">
        <f>COUNTIF(Tabela1[NF],Tabela1[[#This Row],[NF]])</f>
        <v>1</v>
      </c>
      <c r="J23" s="22"/>
      <c r="K23" s="26">
        <f>Tabela1[[#This Row],[DT. VENCIMENTO]]</f>
        <v>45925</v>
      </c>
      <c r="N23" s="14"/>
      <c r="P23" s="232" t="s">
        <v>63</v>
      </c>
    </row>
    <row r="24" spans="1:16" customFormat="1" ht="14.4" x14ac:dyDescent="0.3">
      <c r="A24" s="19">
        <v>162321</v>
      </c>
      <c r="B24" s="21">
        <v>45925</v>
      </c>
      <c r="C24" s="21" t="s">
        <v>15</v>
      </c>
      <c r="D24" s="21"/>
      <c r="E24" s="20"/>
      <c r="F24" s="22" t="s">
        <v>64</v>
      </c>
      <c r="G24" s="252">
        <v>3311.57</v>
      </c>
      <c r="H24" s="19" t="s">
        <v>59</v>
      </c>
      <c r="I24" s="19">
        <f>COUNTIF(Tabela1[NF],Tabela1[[#This Row],[NF]])</f>
        <v>1</v>
      </c>
      <c r="J24" s="22"/>
      <c r="K24" s="26">
        <f>Tabela1[[#This Row],[DT. VENCIMENTO]]</f>
        <v>45925</v>
      </c>
      <c r="N24" s="14"/>
      <c r="P24" s="232" t="s">
        <v>65</v>
      </c>
    </row>
    <row r="25" spans="1:16" customFormat="1" ht="14.4" x14ac:dyDescent="0.3">
      <c r="A25" s="19">
        <v>7881</v>
      </c>
      <c r="B25" s="21">
        <v>45926</v>
      </c>
      <c r="C25" s="21" t="s">
        <v>15</v>
      </c>
      <c r="D25" s="21"/>
      <c r="E25" s="20"/>
      <c r="F25" s="22" t="s">
        <v>58</v>
      </c>
      <c r="G25" s="252">
        <v>269.16000000000003</v>
      </c>
      <c r="H25" s="19" t="s">
        <v>17</v>
      </c>
      <c r="I25" s="19">
        <f>COUNTIF(Tabela1[NF],Tabela1[[#This Row],[NF]])</f>
        <v>2</v>
      </c>
      <c r="J25" s="22"/>
      <c r="K25" s="26">
        <f>Tabela1[[#This Row],[DT. VENCIMENTO]]</f>
        <v>45926</v>
      </c>
      <c r="N25" s="14"/>
      <c r="P25" s="232" t="s">
        <v>66</v>
      </c>
    </row>
    <row r="26" spans="1:16" customFormat="1" ht="14.4" x14ac:dyDescent="0.3">
      <c r="A26" s="19">
        <v>7921</v>
      </c>
      <c r="B26" s="21">
        <v>45926</v>
      </c>
      <c r="C26" s="21" t="s">
        <v>15</v>
      </c>
      <c r="D26" s="21"/>
      <c r="E26" s="20"/>
      <c r="F26" s="22" t="s">
        <v>58</v>
      </c>
      <c r="G26" s="252">
        <v>7134.45</v>
      </c>
      <c r="H26" s="19" t="s">
        <v>17</v>
      </c>
      <c r="I26" s="19">
        <f>COUNTIF(Tabela1[NF],Tabela1[[#This Row],[NF]])</f>
        <v>2</v>
      </c>
      <c r="J26" s="22"/>
      <c r="K26" s="26">
        <f>Tabela1[[#This Row],[DT. VENCIMENTO]]</f>
        <v>45926</v>
      </c>
      <c r="N26" s="14" cm="1">
        <f t="array" ref="N26">_xlfn.XLOOKUP(TRIM(D26),TRIM(DFC!A:A),DFC!A:A,"NÃO ESTÁ NA DFC")</f>
        <v>0</v>
      </c>
      <c r="P26" s="232" t="s">
        <v>67</v>
      </c>
    </row>
    <row r="27" spans="1:16" customFormat="1" ht="14.4" x14ac:dyDescent="0.3">
      <c r="A27" s="19">
        <v>2879</v>
      </c>
      <c r="B27" s="21">
        <v>45927</v>
      </c>
      <c r="C27" s="21" t="s">
        <v>15</v>
      </c>
      <c r="D27" s="21"/>
      <c r="E27" s="20"/>
      <c r="F27" s="22" t="s">
        <v>68</v>
      </c>
      <c r="G27" s="252">
        <v>440</v>
      </c>
      <c r="H27" s="19" t="s">
        <v>21</v>
      </c>
      <c r="I27" s="19">
        <f>COUNTIF(Tabela1[NF],Tabela1[[#This Row],[NF]])</f>
        <v>1</v>
      </c>
      <c r="J27" s="22"/>
      <c r="K27" s="26">
        <v>45929</v>
      </c>
      <c r="N27" s="14" cm="1">
        <f t="array" ref="N27">_xlfn.XLOOKUP(TRIM(D27),TRIM(DFC!A:A),DFC!A:A,"NÃO ESTÁ NA DFC")</f>
        <v>0</v>
      </c>
      <c r="P27" s="232" t="s">
        <v>69</v>
      </c>
    </row>
    <row r="28" spans="1:16" customFormat="1" ht="14.4" x14ac:dyDescent="0.3">
      <c r="A28" s="19">
        <v>143402</v>
      </c>
      <c r="B28" s="21">
        <v>45927</v>
      </c>
      <c r="C28" s="21" t="s">
        <v>15</v>
      </c>
      <c r="D28" s="21"/>
      <c r="E28" s="20"/>
      <c r="F28" s="22" t="s">
        <v>70</v>
      </c>
      <c r="G28" s="252">
        <v>2555.63</v>
      </c>
      <c r="H28" s="19" t="s">
        <v>71</v>
      </c>
      <c r="I28" s="19">
        <f>COUNTIF(Tabela1[NF],Tabela1[[#This Row],[NF]])</f>
        <v>1</v>
      </c>
      <c r="J28" s="22"/>
      <c r="K28" s="26">
        <v>45929</v>
      </c>
      <c r="N28" s="14"/>
      <c r="P28" s="232" t="s">
        <v>72</v>
      </c>
    </row>
    <row r="29" spans="1:16" customFormat="1" ht="14.4" x14ac:dyDescent="0.3">
      <c r="A29" s="19">
        <v>155144</v>
      </c>
      <c r="B29" s="21">
        <v>45927</v>
      </c>
      <c r="C29" s="21" t="s">
        <v>15</v>
      </c>
      <c r="D29" s="21"/>
      <c r="E29" s="20"/>
      <c r="F29" s="22" t="s">
        <v>70</v>
      </c>
      <c r="G29" s="252">
        <v>8542.83</v>
      </c>
      <c r="H29" s="19" t="s">
        <v>21</v>
      </c>
      <c r="I29" s="19">
        <f>COUNTIF(Tabela1[NF],Tabela1[[#This Row],[NF]])</f>
        <v>1</v>
      </c>
      <c r="J29" s="22"/>
      <c r="K29" s="26">
        <v>45929</v>
      </c>
      <c r="N29" s="14"/>
      <c r="P29" s="232" t="s">
        <v>73</v>
      </c>
    </row>
    <row r="30" spans="1:16" customFormat="1" ht="14.4" x14ac:dyDescent="0.3">
      <c r="A30" s="19">
        <v>1928</v>
      </c>
      <c r="B30" s="21">
        <v>45928</v>
      </c>
      <c r="C30" s="21" t="s">
        <v>15</v>
      </c>
      <c r="D30" s="21"/>
      <c r="E30" s="20"/>
      <c r="F30" s="22" t="s">
        <v>74</v>
      </c>
      <c r="G30" s="252">
        <v>1180.6400000000001</v>
      </c>
      <c r="H30" s="19" t="s">
        <v>59</v>
      </c>
      <c r="I30" s="19">
        <f>COUNTIF(Tabela1[NF],Tabela1[[#This Row],[NF]])</f>
        <v>1</v>
      </c>
      <c r="J30" s="22"/>
      <c r="K30" s="26">
        <v>45929</v>
      </c>
      <c r="N30" s="14"/>
      <c r="P30" s="232" t="s">
        <v>75</v>
      </c>
    </row>
    <row r="31" spans="1:16" customFormat="1" ht="14.4" x14ac:dyDescent="0.3">
      <c r="A31" s="19">
        <v>7266</v>
      </c>
      <c r="B31" s="21">
        <v>45928</v>
      </c>
      <c r="C31" s="21" t="s">
        <v>15</v>
      </c>
      <c r="D31" s="21"/>
      <c r="E31" s="20"/>
      <c r="F31" s="22" t="s">
        <v>74</v>
      </c>
      <c r="G31" s="252">
        <v>505.99</v>
      </c>
      <c r="H31" s="19" t="s">
        <v>59</v>
      </c>
      <c r="I31" s="19">
        <f>COUNTIF(Tabela1[NF],Tabela1[[#This Row],[NF]])</f>
        <v>1</v>
      </c>
      <c r="J31" s="22"/>
      <c r="K31" s="26">
        <v>45929</v>
      </c>
      <c r="N31" s="14"/>
      <c r="P31" s="232" t="s">
        <v>76</v>
      </c>
    </row>
    <row r="32" spans="1:16" customFormat="1" ht="14.4" x14ac:dyDescent="0.3">
      <c r="A32" s="19">
        <v>152744</v>
      </c>
      <c r="B32" s="21">
        <v>45928</v>
      </c>
      <c r="C32" s="21" t="s">
        <v>15</v>
      </c>
      <c r="D32" s="21"/>
      <c r="E32" s="20"/>
      <c r="F32" s="22" t="s">
        <v>70</v>
      </c>
      <c r="G32" s="252">
        <v>1616.98</v>
      </c>
      <c r="H32" s="19" t="s">
        <v>55</v>
      </c>
      <c r="I32" s="19">
        <f>COUNTIF(Tabela1[NF],Tabela1[[#This Row],[NF]])</f>
        <v>2</v>
      </c>
      <c r="J32" s="22"/>
      <c r="K32" s="26">
        <v>45929</v>
      </c>
      <c r="N32" s="14" cm="1">
        <f t="array" ref="N32">_xlfn.XLOOKUP(TRIM(D32),TRIM(DFC!A:A),DFC!A:A,"NÃO ESTÁ NA DFC")</f>
        <v>0</v>
      </c>
      <c r="P32" s="232" t="s">
        <v>77</v>
      </c>
    </row>
    <row r="33" spans="1:16" customFormat="1" ht="14.4" x14ac:dyDescent="0.3">
      <c r="A33" s="19">
        <v>614512</v>
      </c>
      <c r="B33" s="21">
        <v>45928</v>
      </c>
      <c r="C33" s="21" t="s">
        <v>15</v>
      </c>
      <c r="D33" s="21" t="s">
        <v>19</v>
      </c>
      <c r="E33" s="20"/>
      <c r="F33" s="22" t="s">
        <v>20</v>
      </c>
      <c r="G33" s="252">
        <v>3359.95</v>
      </c>
      <c r="H33" s="19" t="s">
        <v>55</v>
      </c>
      <c r="I33" s="19">
        <f>COUNTIF(Tabela1[NF],Tabela1[[#This Row],[NF]])</f>
        <v>5</v>
      </c>
      <c r="J33" s="22"/>
      <c r="K33" s="26">
        <v>45929</v>
      </c>
      <c r="N33" s="14" t="str" cm="1">
        <f t="array" ref="N33">_xlfn.XLOOKUP(TRIM(D33),TRIM(DFC!A:A),DFC!A:A,"NÃO ESTÁ NA DFC")</f>
        <v xml:space="preserve">      PEÇAS</v>
      </c>
      <c r="P33" s="232" t="s">
        <v>78</v>
      </c>
    </row>
    <row r="34" spans="1:16" customFormat="1" ht="14.4" x14ac:dyDescent="0.3">
      <c r="A34" s="19">
        <v>614562</v>
      </c>
      <c r="B34" s="21">
        <v>45928</v>
      </c>
      <c r="C34" s="21" t="s">
        <v>15</v>
      </c>
      <c r="D34" s="21" t="s">
        <v>19</v>
      </c>
      <c r="E34" s="20"/>
      <c r="F34" s="22" t="s">
        <v>20</v>
      </c>
      <c r="G34" s="252">
        <v>2768.5</v>
      </c>
      <c r="H34" s="19" t="s">
        <v>55</v>
      </c>
      <c r="I34" s="19">
        <f>COUNTIF(Tabela1[NF],Tabela1[[#This Row],[NF]])</f>
        <v>5</v>
      </c>
      <c r="J34" s="22"/>
      <c r="K34" s="26">
        <v>45929</v>
      </c>
      <c r="N34" s="14" t="str" cm="1">
        <f t="array" ref="N34">_xlfn.XLOOKUP(TRIM(D34),TRIM(DFC!A:A),DFC!A:A,"NÃO ESTÁ NA DFC")</f>
        <v xml:space="preserve">      PEÇAS</v>
      </c>
      <c r="P34" s="232" t="s">
        <v>79</v>
      </c>
    </row>
    <row r="35" spans="1:16" customFormat="1" ht="14.4" x14ac:dyDescent="0.3">
      <c r="A35" s="19">
        <v>3974</v>
      </c>
      <c r="B35" s="21">
        <v>45929</v>
      </c>
      <c r="C35" s="21" t="s">
        <v>15</v>
      </c>
      <c r="D35" s="21"/>
      <c r="E35" s="20"/>
      <c r="F35" s="22" t="s">
        <v>58</v>
      </c>
      <c r="G35" s="252">
        <v>9001.6219999999994</v>
      </c>
      <c r="H35" s="19" t="s">
        <v>17</v>
      </c>
      <c r="I35" s="19">
        <f>COUNTIF(Tabela1[NF],Tabela1[[#This Row],[NF]])</f>
        <v>2</v>
      </c>
      <c r="J35" s="22"/>
      <c r="K35" s="26">
        <v>45929</v>
      </c>
      <c r="N35" s="14" cm="1">
        <f t="array" ref="N35">_xlfn.XLOOKUP(TRIM(D35),TRIM(DFC!A:A),DFC!A:A,"NÃO ESTÁ NA DFC")</f>
        <v>0</v>
      </c>
      <c r="P35" s="232" t="s">
        <v>80</v>
      </c>
    </row>
    <row r="36" spans="1:16" customFormat="1" ht="14.4" x14ac:dyDescent="0.3">
      <c r="A36" s="19">
        <v>7373</v>
      </c>
      <c r="B36" s="21">
        <v>45929</v>
      </c>
      <c r="C36" s="21" t="s">
        <v>15</v>
      </c>
      <c r="D36" s="21"/>
      <c r="E36" s="20"/>
      <c r="F36" s="22" t="s">
        <v>58</v>
      </c>
      <c r="G36" s="252">
        <v>3793.65</v>
      </c>
      <c r="H36" s="19" t="s">
        <v>59</v>
      </c>
      <c r="I36" s="19">
        <f>COUNTIF(Tabela1[NF],Tabela1[[#This Row],[NF]])</f>
        <v>1</v>
      </c>
      <c r="J36" s="22"/>
      <c r="K36" s="26">
        <v>45929</v>
      </c>
      <c r="N36" s="14" cm="1">
        <f t="array" ref="N36">_xlfn.XLOOKUP(TRIM(D36),TRIM(DFC!A:A),DFC!A:A,"NÃO ESTÁ NA DFC")</f>
        <v>0</v>
      </c>
      <c r="P36" s="232" t="s">
        <v>81</v>
      </c>
    </row>
    <row r="37" spans="1:16" customFormat="1" ht="14.4" x14ac:dyDescent="0.3">
      <c r="A37" s="19">
        <v>7374</v>
      </c>
      <c r="B37" s="21">
        <v>45929</v>
      </c>
      <c r="C37" s="21" t="s">
        <v>15</v>
      </c>
      <c r="D37" s="21"/>
      <c r="E37" s="20"/>
      <c r="F37" s="22" t="s">
        <v>58</v>
      </c>
      <c r="G37" s="252">
        <v>281.52</v>
      </c>
      <c r="H37" s="19" t="s">
        <v>59</v>
      </c>
      <c r="I37" s="19">
        <f>COUNTIF(Tabela1[NF],Tabela1[[#This Row],[NF]])</f>
        <v>1</v>
      </c>
      <c r="J37" s="22"/>
      <c r="K37" s="26">
        <v>45929</v>
      </c>
      <c r="N37" s="14" cm="1">
        <f t="array" ref="N37">_xlfn.XLOOKUP(TRIM(D37),TRIM(DFC!A:A),DFC!A:A,"NÃO ESTÁ NA DFC")</f>
        <v>0</v>
      </c>
      <c r="P37" s="232" t="s">
        <v>82</v>
      </c>
    </row>
    <row r="38" spans="1:16" customFormat="1" ht="14.4" x14ac:dyDescent="0.3">
      <c r="A38" s="19">
        <v>7614</v>
      </c>
      <c r="B38" s="21">
        <v>45929</v>
      </c>
      <c r="C38" s="21" t="s">
        <v>15</v>
      </c>
      <c r="D38" s="21"/>
      <c r="E38" s="20"/>
      <c r="F38" s="22" t="s">
        <v>58</v>
      </c>
      <c r="G38" s="252">
        <v>563.04</v>
      </c>
      <c r="H38" s="19" t="s">
        <v>36</v>
      </c>
      <c r="I38" s="19">
        <f>COUNTIF(Tabela1[NF],Tabela1[[#This Row],[NF]])</f>
        <v>2</v>
      </c>
      <c r="J38" s="22"/>
      <c r="K38" s="26">
        <v>45929</v>
      </c>
      <c r="N38" s="14" cm="1">
        <f t="array" ref="N38">_xlfn.XLOOKUP(TRIM(D38),TRIM(DFC!A:A),DFC!A:A,"NÃO ESTÁ NA DFC")</f>
        <v>0</v>
      </c>
      <c r="P38" s="232" t="s">
        <v>83</v>
      </c>
    </row>
    <row r="39" spans="1:16" customFormat="1" ht="14.4" x14ac:dyDescent="0.3">
      <c r="A39" s="19">
        <v>7976</v>
      </c>
      <c r="B39" s="21">
        <v>45929</v>
      </c>
      <c r="C39" s="21" t="s">
        <v>15</v>
      </c>
      <c r="D39" s="21"/>
      <c r="E39" s="20"/>
      <c r="F39" s="22" t="s">
        <v>58</v>
      </c>
      <c r="G39" s="252">
        <v>9001.6200000000008</v>
      </c>
      <c r="H39" s="19" t="s">
        <v>17</v>
      </c>
      <c r="I39" s="19">
        <f>COUNTIF(Tabela1[NF],Tabela1[[#This Row],[NF]])</f>
        <v>1</v>
      </c>
      <c r="J39" s="22" t="s">
        <v>84</v>
      </c>
      <c r="K39" s="26">
        <v>45929</v>
      </c>
      <c r="L39" s="5"/>
      <c r="M39" s="5"/>
      <c r="N39" s="14" cm="1">
        <f t="array" ref="N39">_xlfn.XLOOKUP(TRIM(D39),TRIM(DFC!A:A),DFC!A:A,"NÃO ESTÁ NA DFC")</f>
        <v>0</v>
      </c>
      <c r="P39" s="232" t="s">
        <v>85</v>
      </c>
    </row>
    <row r="40" spans="1:16" customFormat="1" ht="14.4" x14ac:dyDescent="0.3">
      <c r="A40" s="19">
        <v>121102</v>
      </c>
      <c r="B40" s="21">
        <v>45929</v>
      </c>
      <c r="C40" s="21" t="s">
        <v>15</v>
      </c>
      <c r="D40" s="21"/>
      <c r="E40" s="20"/>
      <c r="F40" s="22" t="s">
        <v>61</v>
      </c>
      <c r="G40" s="252">
        <v>2403.44</v>
      </c>
      <c r="H40" s="19" t="s">
        <v>52</v>
      </c>
      <c r="I40" s="19">
        <f>COUNTIF(Tabela1[NF],Tabela1[[#This Row],[NF]])</f>
        <v>2</v>
      </c>
      <c r="J40" s="22"/>
      <c r="K40" s="26">
        <v>45929</v>
      </c>
      <c r="N40" s="14" cm="1">
        <f t="array" ref="N40">_xlfn.XLOOKUP(TRIM(D40),TRIM(DFC!A:A),DFC!A:A,"NÃO ESTÁ NA DFC")</f>
        <v>0</v>
      </c>
      <c r="P40" s="232" t="s">
        <v>86</v>
      </c>
    </row>
    <row r="41" spans="1:16" customFormat="1" ht="14.4" x14ac:dyDescent="0.3">
      <c r="A41" s="19">
        <v>146651</v>
      </c>
      <c r="B41" s="21">
        <v>45929</v>
      </c>
      <c r="C41" s="21" t="s">
        <v>15</v>
      </c>
      <c r="D41" s="21"/>
      <c r="E41" s="20"/>
      <c r="F41" s="22" t="s">
        <v>70</v>
      </c>
      <c r="G41" s="252">
        <v>942.41</v>
      </c>
      <c r="H41" s="19" t="s">
        <v>87</v>
      </c>
      <c r="I41" s="19">
        <f>COUNTIF(Tabela1[NF],Tabela1[[#This Row],[NF]])</f>
        <v>2</v>
      </c>
      <c r="J41" s="22"/>
      <c r="K41" s="26">
        <v>45929</v>
      </c>
      <c r="N41" s="14" cm="1">
        <f t="array" ref="N41">_xlfn.XLOOKUP(TRIM(D41),TRIM(DFC!A:A),DFC!A:A,"NÃO ESTÁ NA DFC")</f>
        <v>0</v>
      </c>
      <c r="P41" s="232" t="s">
        <v>88</v>
      </c>
    </row>
    <row r="42" spans="1:16" customFormat="1" ht="14.4" x14ac:dyDescent="0.3">
      <c r="A42" s="19">
        <v>146673</v>
      </c>
      <c r="B42" s="21">
        <v>45929</v>
      </c>
      <c r="C42" s="21" t="s">
        <v>15</v>
      </c>
      <c r="D42" s="21"/>
      <c r="E42" s="20"/>
      <c r="F42" s="22" t="s">
        <v>70</v>
      </c>
      <c r="G42" s="252">
        <v>6338.6</v>
      </c>
      <c r="H42" s="19" t="s">
        <v>87</v>
      </c>
      <c r="I42" s="19">
        <f>COUNTIF(Tabela1[NF],Tabela1[[#This Row],[NF]])</f>
        <v>2</v>
      </c>
      <c r="J42" s="22"/>
      <c r="K42" s="26">
        <v>45929</v>
      </c>
      <c r="N42" s="14" cm="1">
        <f t="array" ref="N42">_xlfn.XLOOKUP(TRIM(D42),TRIM(DFC!A:A),DFC!A:A,"NÃO ESTÁ NA DFC")</f>
        <v>0</v>
      </c>
      <c r="P42" s="232" t="s">
        <v>89</v>
      </c>
    </row>
    <row r="43" spans="1:16" customFormat="1" ht="14.4" x14ac:dyDescent="0.3">
      <c r="A43" s="19">
        <v>155429</v>
      </c>
      <c r="B43" s="21">
        <v>45929</v>
      </c>
      <c r="C43" s="21" t="s">
        <v>15</v>
      </c>
      <c r="D43" s="21"/>
      <c r="E43" s="20"/>
      <c r="F43" s="22" t="s">
        <v>70</v>
      </c>
      <c r="G43" s="252">
        <v>9236.49</v>
      </c>
      <c r="H43" s="19" t="s">
        <v>21</v>
      </c>
      <c r="I43" s="19">
        <f>COUNTIF(Tabela1[NF],Tabela1[[#This Row],[NF]])</f>
        <v>1</v>
      </c>
      <c r="J43" s="22"/>
      <c r="K43" s="26">
        <v>45929</v>
      </c>
      <c r="N43" s="14" cm="1">
        <f t="array" ref="N43">_xlfn.XLOOKUP(TRIM(D43),TRIM(DFC!A:A),DFC!A:A,"NÃO ESTÁ NA DFC")</f>
        <v>0</v>
      </c>
      <c r="P43" s="232" t="s">
        <v>90</v>
      </c>
    </row>
    <row r="44" spans="1:16" customFormat="1" ht="14.4" x14ac:dyDescent="0.3">
      <c r="A44" s="19">
        <v>429843</v>
      </c>
      <c r="B44" s="21">
        <v>45929</v>
      </c>
      <c r="C44" s="21" t="s">
        <v>15</v>
      </c>
      <c r="D44" s="21" t="s">
        <v>19</v>
      </c>
      <c r="E44" s="20"/>
      <c r="F44" s="22" t="s">
        <v>20</v>
      </c>
      <c r="G44" s="252">
        <v>14450</v>
      </c>
      <c r="H44" s="19" t="s">
        <v>87</v>
      </c>
      <c r="I44" s="19">
        <f>COUNTIF(Tabela1[NF],Tabela1[[#This Row],[NF]])</f>
        <v>2</v>
      </c>
      <c r="J44" s="22"/>
      <c r="K44" s="26">
        <v>45929</v>
      </c>
      <c r="N44" s="14" t="str" cm="1">
        <f t="array" ref="N44">_xlfn.XLOOKUP(TRIM(D44),TRIM(DFC!A:A),DFC!A:A,"NÃO ESTÁ NA DFC")</f>
        <v xml:space="preserve">      PEÇAS</v>
      </c>
      <c r="P44" s="232" t="s">
        <v>91</v>
      </c>
    </row>
    <row r="45" spans="1:16" customFormat="1" ht="14.4" x14ac:dyDescent="0.3">
      <c r="A45" s="19">
        <v>7627</v>
      </c>
      <c r="B45" s="21">
        <v>45930</v>
      </c>
      <c r="C45" s="21" t="s">
        <v>15</v>
      </c>
      <c r="D45" s="21"/>
      <c r="E45" s="20"/>
      <c r="F45" s="22" t="s">
        <v>58</v>
      </c>
      <c r="G45" s="252">
        <v>140.76</v>
      </c>
      <c r="H45" s="19" t="s">
        <v>36</v>
      </c>
      <c r="I45" s="19">
        <f>COUNTIF(Tabela1[NF],Tabela1[[#This Row],[NF]])</f>
        <v>2</v>
      </c>
      <c r="J45" s="22"/>
      <c r="K45" s="26">
        <f>Tabela1[[#This Row],[DT. VENCIMENTO]]</f>
        <v>45930</v>
      </c>
      <c r="N45" s="14" cm="1">
        <f t="array" ref="N45">_xlfn.XLOOKUP(TRIM(D45),TRIM(DFC!A:A),DFC!A:A,"NÃO ESTÁ NA DFC")</f>
        <v>0</v>
      </c>
      <c r="P45" s="232" t="s">
        <v>92</v>
      </c>
    </row>
    <row r="46" spans="1:16" customFormat="1" ht="14.4" x14ac:dyDescent="0.3">
      <c r="A46" s="19">
        <v>150030</v>
      </c>
      <c r="B46" s="21">
        <v>45930</v>
      </c>
      <c r="C46" s="21" t="s">
        <v>15</v>
      </c>
      <c r="D46" s="21"/>
      <c r="E46" s="20"/>
      <c r="F46" s="22" t="s">
        <v>70</v>
      </c>
      <c r="G46" s="252">
        <v>2354.5</v>
      </c>
      <c r="H46" s="19" t="s">
        <v>93</v>
      </c>
      <c r="I46" s="19">
        <f>COUNTIF(Tabela1[NF],Tabela1[[#This Row],[NF]])</f>
        <v>2</v>
      </c>
      <c r="J46" s="22"/>
      <c r="K46" s="26">
        <f>Tabela1[[#This Row],[DT. VENCIMENTO]]</f>
        <v>45930</v>
      </c>
      <c r="N46" s="14" cm="1">
        <f t="array" ref="N46">_xlfn.XLOOKUP(TRIM(D46),TRIM(DFC!A:A),DFC!A:A,"NÃO ESTÁ NA DFC")</f>
        <v>0</v>
      </c>
      <c r="P46" s="232" t="s">
        <v>34</v>
      </c>
    </row>
    <row r="47" spans="1:16" customFormat="1" ht="14.4" x14ac:dyDescent="0.3">
      <c r="A47" s="19">
        <v>162583</v>
      </c>
      <c r="B47" s="21">
        <v>45930</v>
      </c>
      <c r="C47" s="21" t="s">
        <v>15</v>
      </c>
      <c r="D47" s="21"/>
      <c r="E47" s="20"/>
      <c r="F47" s="22" t="s">
        <v>64</v>
      </c>
      <c r="G47" s="252">
        <v>2126.79</v>
      </c>
      <c r="H47" s="19" t="s">
        <v>36</v>
      </c>
      <c r="I47" s="19">
        <f>COUNTIF(Tabela1[NF],Tabela1[[#This Row],[NF]])</f>
        <v>2</v>
      </c>
      <c r="J47" s="22"/>
      <c r="K47" s="26">
        <f>Tabela1[[#This Row],[DT. VENCIMENTO]]</f>
        <v>45930</v>
      </c>
      <c r="N47" s="14" cm="1">
        <f t="array" ref="N47">_xlfn.XLOOKUP(TRIM(D47),TRIM(DFC!A:A),DFC!A:A,"NÃO ESTÁ NA DFC")</f>
        <v>0</v>
      </c>
      <c r="P47" s="232" t="s">
        <v>94</v>
      </c>
    </row>
    <row r="48" spans="1:16" customFormat="1" ht="14.4" x14ac:dyDescent="0.3">
      <c r="A48" s="19">
        <v>466115</v>
      </c>
      <c r="B48" s="21">
        <v>45930</v>
      </c>
      <c r="C48" s="21" t="s">
        <v>15</v>
      </c>
      <c r="D48" s="21" t="s">
        <v>19</v>
      </c>
      <c r="E48" s="20"/>
      <c r="F48" s="22" t="s">
        <v>20</v>
      </c>
      <c r="G48" s="252">
        <v>1355</v>
      </c>
      <c r="H48" s="19" t="s">
        <v>93</v>
      </c>
      <c r="I48" s="19">
        <f>COUNTIF(Tabela1[NF],Tabela1[[#This Row],[NF]])</f>
        <v>3</v>
      </c>
      <c r="J48" s="22"/>
      <c r="K48" s="26">
        <f>Tabela1[[#This Row],[DT. VENCIMENTO]]</f>
        <v>45930</v>
      </c>
      <c r="N48" s="14" t="str" cm="1">
        <f t="array" ref="N48">_xlfn.XLOOKUP(TRIM(D48),TRIM(DFC!A:A),DFC!A:A,"NÃO ESTÁ NA DFC")</f>
        <v xml:space="preserve">      PEÇAS</v>
      </c>
      <c r="P48" s="232" t="s">
        <v>95</v>
      </c>
    </row>
    <row r="49" spans="1:16" customFormat="1" ht="14.4" x14ac:dyDescent="0.3">
      <c r="A49" s="19">
        <v>609659</v>
      </c>
      <c r="B49" s="21">
        <v>45930</v>
      </c>
      <c r="C49" s="21" t="s">
        <v>15</v>
      </c>
      <c r="D49" s="21" t="s">
        <v>19</v>
      </c>
      <c r="E49" s="20"/>
      <c r="F49" s="22" t="s">
        <v>20</v>
      </c>
      <c r="G49" s="252">
        <v>7718</v>
      </c>
      <c r="H49" s="19" t="s">
        <v>25</v>
      </c>
      <c r="I49" s="19">
        <f>COUNTIF(Tabela1[NF],Tabela1[[#This Row],[NF]])</f>
        <v>4</v>
      </c>
      <c r="J49" s="22"/>
      <c r="K49" s="26">
        <f>Tabela1[[#This Row],[DT. VENCIMENTO]]</f>
        <v>45930</v>
      </c>
      <c r="N49" s="14" t="str" cm="1">
        <f t="array" ref="N49">_xlfn.XLOOKUP(TRIM(D49),TRIM(DFC!A:A),DFC!A:A,"NÃO ESTÁ NA DFC")</f>
        <v xml:space="preserve">      PEÇAS</v>
      </c>
      <c r="P49" s="232" t="s">
        <v>96</v>
      </c>
    </row>
    <row r="50" spans="1:16" customFormat="1" ht="14.4" x14ac:dyDescent="0.3">
      <c r="A50" s="19">
        <v>4005</v>
      </c>
      <c r="B50" s="21">
        <v>45931</v>
      </c>
      <c r="C50" s="21" t="s">
        <v>15</v>
      </c>
      <c r="D50" s="21" t="s">
        <v>19</v>
      </c>
      <c r="E50" s="20"/>
      <c r="F50" s="22" t="s">
        <v>58</v>
      </c>
      <c r="G50" s="252">
        <v>2242.2600000000002</v>
      </c>
      <c r="H50" s="1" t="s">
        <v>17</v>
      </c>
      <c r="I50" s="1">
        <f>COUNTIF(Tabela1[NF],Tabela1[[#This Row],[NF]])</f>
        <v>2</v>
      </c>
      <c r="K50" s="13">
        <f>Tabela1[[#This Row],[DT. VENCIMENTO]]</f>
        <v>45931</v>
      </c>
      <c r="N50" s="14" t="str" cm="1">
        <f t="array" ref="N50">_xlfn.XLOOKUP(TRIM(D50),TRIM(DFC!A:A),DFC!A:A,"NÃO ESTÁ NA DFC")</f>
        <v xml:space="preserve">      PEÇAS</v>
      </c>
      <c r="P50" s="232" t="s">
        <v>97</v>
      </c>
    </row>
    <row r="51" spans="1:16" customFormat="1" ht="14.4" x14ac:dyDescent="0.3">
      <c r="A51" s="24"/>
      <c r="B51" s="21">
        <v>45931</v>
      </c>
      <c r="C51" s="21" t="s">
        <v>15</v>
      </c>
      <c r="D51" s="21" t="s">
        <v>98</v>
      </c>
      <c r="E51" s="20"/>
      <c r="F51" s="22" t="s">
        <v>99</v>
      </c>
      <c r="G51" s="252">
        <v>15</v>
      </c>
      <c r="H51" s="1"/>
      <c r="I51" s="1">
        <f>COUNTIF(Tabela1[NF],Tabela1[[#This Row],[NF]])</f>
        <v>0</v>
      </c>
      <c r="K51" s="13">
        <f>Tabela1[[#This Row],[DT. VENCIMENTO]]</f>
        <v>45931</v>
      </c>
      <c r="N51" s="14" t="str" cm="1">
        <f t="array" ref="N51">_xlfn.XLOOKUP(TRIM(D51),TRIM(DFC!A:A),DFC!A:A,"NÃO ESTÁ NA DFC")</f>
        <v xml:space="preserve">     REEMBOLSO SAC</v>
      </c>
      <c r="P51" s="232" t="s">
        <v>100</v>
      </c>
    </row>
    <row r="52" spans="1:16" customFormat="1" ht="14.4" x14ac:dyDescent="0.3">
      <c r="A52" s="24"/>
      <c r="B52" s="21">
        <v>45931</v>
      </c>
      <c r="C52" s="21" t="s">
        <v>15</v>
      </c>
      <c r="D52" s="21" t="s">
        <v>98</v>
      </c>
      <c r="E52" s="20"/>
      <c r="F52" s="22" t="s">
        <v>101</v>
      </c>
      <c r="G52" s="252">
        <v>25</v>
      </c>
      <c r="H52" s="1"/>
      <c r="I52" s="1">
        <f>COUNTIF(Tabela1[NF],Tabela1[[#This Row],[NF]])</f>
        <v>0</v>
      </c>
      <c r="K52" s="13">
        <f>Tabela1[[#This Row],[DT. VENCIMENTO]]</f>
        <v>45931</v>
      </c>
      <c r="N52" s="14" t="str" cm="1">
        <f t="array" ref="N52">_xlfn.XLOOKUP(TRIM(D52),TRIM(DFC!A:A),DFC!A:A,"NÃO ESTÁ NA DFC")</f>
        <v xml:space="preserve">     REEMBOLSO SAC</v>
      </c>
      <c r="P52" s="232" t="s">
        <v>102</v>
      </c>
    </row>
    <row r="53" spans="1:16" customFormat="1" ht="14.4" x14ac:dyDescent="0.3">
      <c r="A53" s="24"/>
      <c r="B53" s="21">
        <v>45931</v>
      </c>
      <c r="C53" s="21" t="s">
        <v>15</v>
      </c>
      <c r="D53" s="21" t="s">
        <v>19</v>
      </c>
      <c r="E53" s="20"/>
      <c r="F53" s="22" t="s">
        <v>103</v>
      </c>
      <c r="G53" s="252">
        <v>12966.66</v>
      </c>
      <c r="H53" s="1"/>
      <c r="I53" s="1">
        <f>COUNTIF(Tabela1[NF],Tabela1[[#This Row],[NF]])</f>
        <v>0</v>
      </c>
      <c r="K53" s="13">
        <f>Tabela1[[#This Row],[DT. VENCIMENTO]]</f>
        <v>45931</v>
      </c>
      <c r="N53" s="14" t="str" cm="1">
        <f t="array" ref="N53">_xlfn.XLOOKUP(TRIM(D53),TRIM(DFC!A:A),DFC!A:A,"NÃO ESTÁ NA DFC")</f>
        <v xml:space="preserve">      PEÇAS</v>
      </c>
      <c r="P53" s="232" t="s">
        <v>104</v>
      </c>
    </row>
    <row r="54" spans="1:16" customFormat="1" ht="14.4" x14ac:dyDescent="0.3">
      <c r="A54" s="24"/>
      <c r="B54" s="21">
        <v>45931</v>
      </c>
      <c r="C54" s="21" t="s">
        <v>15</v>
      </c>
      <c r="D54" s="21" t="s">
        <v>76</v>
      </c>
      <c r="E54" s="20" t="s">
        <v>105</v>
      </c>
      <c r="F54" s="22" t="s">
        <v>103</v>
      </c>
      <c r="G54" s="252">
        <v>3350</v>
      </c>
      <c r="H54" s="1"/>
      <c r="I54" s="1">
        <f>COUNTIF(Tabela1[NF],Tabela1[[#This Row],[NF]])</f>
        <v>0</v>
      </c>
      <c r="K54" s="13">
        <f>Tabela1[[#This Row],[DT. VENCIMENTO]]</f>
        <v>45931</v>
      </c>
      <c r="N54" s="14" t="str" cm="1">
        <f t="array" ref="N54">_xlfn.XLOOKUP(TRIM(D54),TRIM(DFC!A:A),DFC!A:A,"NÃO ESTÁ NA DFC")</f>
        <v xml:space="preserve">          COMPRA DE MÓVEIS E UTENSÍLIOS</v>
      </c>
      <c r="P54" s="232" t="s">
        <v>106</v>
      </c>
    </row>
    <row r="55" spans="1:16" customFormat="1" ht="14.4" x14ac:dyDescent="0.3">
      <c r="A55" s="19">
        <v>435665</v>
      </c>
      <c r="B55" s="21">
        <v>45931</v>
      </c>
      <c r="C55" s="21" t="s">
        <v>15</v>
      </c>
      <c r="D55" s="21" t="s">
        <v>19</v>
      </c>
      <c r="E55" s="20"/>
      <c r="F55" s="22" t="s">
        <v>20</v>
      </c>
      <c r="G55" s="252">
        <v>1300</v>
      </c>
      <c r="H55" s="1" t="s">
        <v>93</v>
      </c>
      <c r="I55" s="1">
        <f>COUNTIF(Tabela1[NF],Tabela1[[#This Row],[NF]])</f>
        <v>3</v>
      </c>
      <c r="K55" s="26">
        <v>45932</v>
      </c>
      <c r="N55" s="14" t="str" cm="1">
        <f t="array" ref="N55">_xlfn.XLOOKUP(TRIM(D55),TRIM(DFC!A:A),DFC!A:A,"NÃO ESTÁ NA DFC")</f>
        <v xml:space="preserve">      PEÇAS</v>
      </c>
      <c r="P55" s="232" t="s">
        <v>107</v>
      </c>
    </row>
    <row r="56" spans="1:16" customFormat="1" ht="14.4" x14ac:dyDescent="0.3">
      <c r="A56" s="19">
        <v>442271</v>
      </c>
      <c r="B56" s="21">
        <v>45931</v>
      </c>
      <c r="C56" s="21" t="s">
        <v>15</v>
      </c>
      <c r="D56" s="21" t="s">
        <v>19</v>
      </c>
      <c r="E56" s="20"/>
      <c r="F56" s="22" t="s">
        <v>20</v>
      </c>
      <c r="G56" s="252">
        <v>2283.16</v>
      </c>
      <c r="H56" s="1" t="s">
        <v>108</v>
      </c>
      <c r="I56" s="1">
        <f>COUNTIF(Tabela1[NF],Tabela1[[#This Row],[NF]])</f>
        <v>4</v>
      </c>
      <c r="K56" s="26">
        <v>45932</v>
      </c>
      <c r="N56" s="14" t="str" cm="1">
        <f t="array" ref="N56">_xlfn.XLOOKUP(TRIM(D56),TRIM(DFC!A:A),DFC!A:A,"NÃO ESTÁ NA DFC")</f>
        <v xml:space="preserve">      PEÇAS</v>
      </c>
      <c r="P56" s="232" t="s">
        <v>109</v>
      </c>
    </row>
    <row r="57" spans="1:16" customFormat="1" ht="14.4" x14ac:dyDescent="0.3">
      <c r="A57" s="19">
        <v>605824</v>
      </c>
      <c r="B57" s="21">
        <v>45931</v>
      </c>
      <c r="C57" s="21" t="s">
        <v>15</v>
      </c>
      <c r="D57" s="21" t="s">
        <v>19</v>
      </c>
      <c r="E57" s="20"/>
      <c r="F57" s="22" t="s">
        <v>20</v>
      </c>
      <c r="G57" s="252">
        <v>517</v>
      </c>
      <c r="H57" s="1" t="s">
        <v>59</v>
      </c>
      <c r="I57" s="1">
        <f>COUNTIF(Tabela1[NF],Tabela1[[#This Row],[NF]])</f>
        <v>1</v>
      </c>
      <c r="K57" s="26">
        <v>45932</v>
      </c>
      <c r="N57" s="14" t="str" cm="1">
        <f t="array" ref="N57">_xlfn.XLOOKUP(TRIM(D57),TRIM(DFC!A:A),DFC!A:A,"NÃO ESTÁ NA DFC")</f>
        <v xml:space="preserve">      PEÇAS</v>
      </c>
      <c r="P57" s="232" t="s">
        <v>110</v>
      </c>
    </row>
    <row r="58" spans="1:16" customFormat="1" ht="14.4" x14ac:dyDescent="0.3">
      <c r="A58" s="23">
        <v>45931</v>
      </c>
      <c r="B58" s="21">
        <v>45932</v>
      </c>
      <c r="C58" s="21" t="s">
        <v>15</v>
      </c>
      <c r="D58" s="21" t="s">
        <v>111</v>
      </c>
      <c r="E58" s="20"/>
      <c r="F58" s="22" t="s">
        <v>112</v>
      </c>
      <c r="G58" s="252">
        <v>11.91</v>
      </c>
      <c r="H58" s="1"/>
      <c r="I58" s="1">
        <f>COUNTIF(Tabela1[NF],Tabela1[[#This Row],[NF]])</f>
        <v>23</v>
      </c>
      <c r="K58" s="13">
        <v>45932</v>
      </c>
      <c r="N58" s="14" t="str" cm="1">
        <f t="array" ref="N58">_xlfn.XLOOKUP(TRIM(D58),TRIM(DFC!A:A),DFC!A:A,"NÃO ESTÁ NA DFC")</f>
        <v xml:space="preserve">          TX. BANCÁRIA</v>
      </c>
      <c r="P58" s="232" t="s">
        <v>113</v>
      </c>
    </row>
    <row r="59" spans="1:16" customFormat="1" ht="14.4" x14ac:dyDescent="0.3">
      <c r="A59" s="24"/>
      <c r="B59" s="21">
        <v>45932</v>
      </c>
      <c r="C59" s="21" t="s">
        <v>15</v>
      </c>
      <c r="D59" s="21" t="s">
        <v>111</v>
      </c>
      <c r="E59" s="20"/>
      <c r="F59" s="22" t="s">
        <v>114</v>
      </c>
      <c r="G59" s="252">
        <v>12.97</v>
      </c>
      <c r="H59" s="1"/>
      <c r="I59" s="1">
        <f>COUNTIF(Tabela1[NF],Tabela1[[#This Row],[NF]])</f>
        <v>0</v>
      </c>
      <c r="K59" s="13">
        <f>Tabela1[[#This Row],[DT. VENCIMENTO]]</f>
        <v>45932</v>
      </c>
      <c r="N59" s="14" t="str" cm="1">
        <f t="array" ref="N59">_xlfn.XLOOKUP(TRIM(D59),TRIM(DFC!A:A),DFC!A:A,"NÃO ESTÁ NA DFC")</f>
        <v xml:space="preserve">          TX. BANCÁRIA</v>
      </c>
      <c r="P59" s="232" t="s">
        <v>115</v>
      </c>
    </row>
    <row r="60" spans="1:16" customFormat="1" ht="14.4" x14ac:dyDescent="0.3">
      <c r="A60" s="24"/>
      <c r="B60" s="21">
        <v>45932</v>
      </c>
      <c r="C60" s="21" t="s">
        <v>15</v>
      </c>
      <c r="D60" s="21" t="s">
        <v>98</v>
      </c>
      <c r="E60" s="20"/>
      <c r="F60" s="22" t="s">
        <v>116</v>
      </c>
      <c r="G60" s="252">
        <v>50</v>
      </c>
      <c r="H60" s="1"/>
      <c r="I60" s="1">
        <f>COUNTIF(Tabela1[NF],Tabela1[[#This Row],[NF]])</f>
        <v>0</v>
      </c>
      <c r="K60" s="13">
        <f>Tabela1[[#This Row],[DT. VENCIMENTO]]</f>
        <v>45932</v>
      </c>
      <c r="N60" s="14" t="str" cm="1">
        <f t="array" ref="N60">_xlfn.XLOOKUP(TRIM(D60),TRIM(DFC!A:A),DFC!A:A,"NÃO ESTÁ NA DFC")</f>
        <v xml:space="preserve">     REEMBOLSO SAC</v>
      </c>
      <c r="P60" s="232" t="s">
        <v>117</v>
      </c>
    </row>
    <row r="61" spans="1:16" customFormat="1" ht="14.4" x14ac:dyDescent="0.3">
      <c r="A61" s="24"/>
      <c r="B61" s="21">
        <v>45932</v>
      </c>
      <c r="C61" s="21" t="s">
        <v>15</v>
      </c>
      <c r="D61" s="21" t="s">
        <v>19</v>
      </c>
      <c r="E61" s="20"/>
      <c r="F61" s="22" t="s">
        <v>118</v>
      </c>
      <c r="G61" s="252">
        <v>71.3</v>
      </c>
      <c r="H61" s="1"/>
      <c r="I61" s="1">
        <f>COUNTIF(Tabela1[NF],Tabela1[[#This Row],[NF]])</f>
        <v>0</v>
      </c>
      <c r="K61" s="13">
        <f>Tabela1[[#This Row],[DT. VENCIMENTO]]</f>
        <v>45932</v>
      </c>
      <c r="N61" s="14" t="str" cm="1">
        <f t="array" ref="N61">_xlfn.XLOOKUP(TRIM(D61),TRIM(DFC!A:A),DFC!A:A,"NÃO ESTÁ NA DFC")</f>
        <v xml:space="preserve">      PEÇAS</v>
      </c>
      <c r="P61" s="232" t="s">
        <v>119</v>
      </c>
    </row>
    <row r="62" spans="1:16" customFormat="1" ht="14.4" x14ac:dyDescent="0.3">
      <c r="A62" s="24"/>
      <c r="B62" s="21">
        <v>45932</v>
      </c>
      <c r="C62" s="21" t="s">
        <v>15</v>
      </c>
      <c r="D62" s="21" t="s">
        <v>19</v>
      </c>
      <c r="E62" s="20"/>
      <c r="F62" s="22" t="s">
        <v>120</v>
      </c>
      <c r="G62" s="252">
        <v>3079.39</v>
      </c>
      <c r="H62" s="1"/>
      <c r="I62" s="1">
        <f>COUNTIF(Tabela1[NF],Tabela1[[#This Row],[NF]])</f>
        <v>0</v>
      </c>
      <c r="K62" s="13">
        <f>Tabela1[[#This Row],[DT. VENCIMENTO]]</f>
        <v>45932</v>
      </c>
      <c r="N62" s="14" t="str" cm="1">
        <f t="array" ref="N62">_xlfn.XLOOKUP(TRIM(D62),TRIM(DFC!A:A),DFC!A:A,"NÃO ESTÁ NA DFC")</f>
        <v xml:space="preserve">      PEÇAS</v>
      </c>
      <c r="P62" s="232" t="s">
        <v>121</v>
      </c>
    </row>
    <row r="63" spans="1:16" customFormat="1" ht="14.4" x14ac:dyDescent="0.3">
      <c r="A63" s="24"/>
      <c r="B63" s="21">
        <v>45932</v>
      </c>
      <c r="C63" s="21" t="s">
        <v>15</v>
      </c>
      <c r="D63" s="21" t="s">
        <v>19</v>
      </c>
      <c r="E63" s="20"/>
      <c r="F63" s="22" t="s">
        <v>122</v>
      </c>
      <c r="G63" s="252">
        <v>429.77</v>
      </c>
      <c r="H63" s="1"/>
      <c r="I63" s="1">
        <f>COUNTIF(Tabela1[NF],Tabela1[[#This Row],[NF]])</f>
        <v>0</v>
      </c>
      <c r="K63" s="13">
        <f>Tabela1[[#This Row],[DT. VENCIMENTO]]</f>
        <v>45932</v>
      </c>
      <c r="N63" s="14" t="str" cm="1">
        <f t="array" ref="N63">_xlfn.XLOOKUP(TRIM(D63),TRIM(DFC!A:A),DFC!A:A,"NÃO ESTÁ NA DFC")</f>
        <v xml:space="preserve">      PEÇAS</v>
      </c>
      <c r="P63" s="232" t="s">
        <v>123</v>
      </c>
    </row>
    <row r="64" spans="1:16" customFormat="1" ht="14.4" x14ac:dyDescent="0.3">
      <c r="A64" s="24">
        <v>514438</v>
      </c>
      <c r="B64" s="21">
        <v>45932</v>
      </c>
      <c r="C64" s="21" t="s">
        <v>15</v>
      </c>
      <c r="D64" s="21" t="s">
        <v>72</v>
      </c>
      <c r="E64" s="20"/>
      <c r="F64" s="22" t="s">
        <v>124</v>
      </c>
      <c r="G64" s="252">
        <v>603.83000000000004</v>
      </c>
      <c r="H64" s="1"/>
      <c r="I64" s="1">
        <f>COUNTIF(Tabela1[NF],Tabela1[[#This Row],[NF]])</f>
        <v>1</v>
      </c>
      <c r="K64" s="13">
        <f>Tabela1[[#This Row],[DT. VENCIMENTO]]</f>
        <v>45932</v>
      </c>
      <c r="N64" s="14" t="str" cm="1">
        <f t="array" ref="N64">_xlfn.XLOOKUP(TRIM(D64),TRIM(DFC!A:A),DFC!A:A,"NÃO ESTÁ NA DFC")</f>
        <v xml:space="preserve">          COMBUSTÍVEL</v>
      </c>
      <c r="P64" s="232" t="s">
        <v>125</v>
      </c>
    </row>
    <row r="65" spans="1:16" customFormat="1" ht="14.4" x14ac:dyDescent="0.3">
      <c r="A65" s="24"/>
      <c r="B65" s="21">
        <v>45933</v>
      </c>
      <c r="C65" s="21" t="s">
        <v>15</v>
      </c>
      <c r="D65" s="21" t="s">
        <v>19</v>
      </c>
      <c r="E65" s="20"/>
      <c r="F65" s="22" t="s">
        <v>126</v>
      </c>
      <c r="G65" s="252">
        <v>1620</v>
      </c>
      <c r="H65" s="1"/>
      <c r="I65" s="1">
        <f>COUNTIF(Tabela1[NF],Tabela1[[#This Row],[NF]])</f>
        <v>0</v>
      </c>
      <c r="K65" s="13">
        <f>Tabela1[[#This Row],[DT. VENCIMENTO]]</f>
        <v>45933</v>
      </c>
      <c r="N65" s="14" t="str" cm="1">
        <f t="array" ref="N65">_xlfn.XLOOKUP(TRIM(D65),TRIM(DFC!A:A),DFC!A:A,"NÃO ESTÁ NA DFC")</f>
        <v xml:space="preserve">      PEÇAS</v>
      </c>
      <c r="P65" s="232" t="s">
        <v>127</v>
      </c>
    </row>
    <row r="66" spans="1:16" customFormat="1" ht="14.4" x14ac:dyDescent="0.3">
      <c r="A66" s="24"/>
      <c r="B66" s="21">
        <v>45933</v>
      </c>
      <c r="C66" s="21" t="s">
        <v>15</v>
      </c>
      <c r="D66" s="21"/>
      <c r="E66" s="20"/>
      <c r="F66" s="22" t="s">
        <v>128</v>
      </c>
      <c r="G66" s="252">
        <v>255.46</v>
      </c>
      <c r="H66" s="1"/>
      <c r="I66" s="1">
        <f>COUNTIF(Tabela1[NF],Tabela1[[#This Row],[NF]])</f>
        <v>0</v>
      </c>
      <c r="K66" s="13">
        <f>Tabela1[[#This Row],[DT. VENCIMENTO]]</f>
        <v>45933</v>
      </c>
      <c r="N66" s="14" cm="1">
        <f t="array" ref="N66">_xlfn.XLOOKUP(TRIM(D66),TRIM(DFC!A:A),DFC!A:A,"NÃO ESTÁ NA DFC")</f>
        <v>0</v>
      </c>
      <c r="P66" s="232" t="s">
        <v>129</v>
      </c>
    </row>
    <row r="67" spans="1:16" customFormat="1" ht="14.4" x14ac:dyDescent="0.3">
      <c r="A67" s="24"/>
      <c r="B67" s="21">
        <v>45933</v>
      </c>
      <c r="C67" s="21" t="s">
        <v>15</v>
      </c>
      <c r="D67" s="21" t="s">
        <v>19</v>
      </c>
      <c r="E67" s="20"/>
      <c r="F67" s="22" t="s">
        <v>130</v>
      </c>
      <c r="G67" s="252">
        <v>3613.83</v>
      </c>
      <c r="H67" s="1"/>
      <c r="I67" s="1">
        <f>COUNTIF(Tabela1[NF],Tabela1[[#This Row],[NF]])</f>
        <v>0</v>
      </c>
      <c r="K67" s="13">
        <f>Tabela1[[#This Row],[DT. VENCIMENTO]]</f>
        <v>45933</v>
      </c>
      <c r="N67" s="14" t="str" cm="1">
        <f t="array" ref="N67">_xlfn.XLOOKUP(TRIM(D67),TRIM(DFC!A:A),DFC!A:A,"NÃO ESTÁ NA DFC")</f>
        <v xml:space="preserve">      PEÇAS</v>
      </c>
      <c r="P67" s="232" t="s">
        <v>131</v>
      </c>
    </row>
    <row r="68" spans="1:16" customFormat="1" ht="14.4" x14ac:dyDescent="0.3">
      <c r="A68" s="24"/>
      <c r="B68" s="21">
        <v>45933</v>
      </c>
      <c r="C68" s="21" t="s">
        <v>15</v>
      </c>
      <c r="D68" s="21" t="s">
        <v>19</v>
      </c>
      <c r="E68" s="20"/>
      <c r="F68" s="22" t="s">
        <v>132</v>
      </c>
      <c r="G68" s="252">
        <v>3646.8</v>
      </c>
      <c r="H68" s="1"/>
      <c r="I68" s="1">
        <f>COUNTIF(Tabela1[NF],Tabela1[[#This Row],[NF]])</f>
        <v>0</v>
      </c>
      <c r="K68" s="13">
        <f>Tabela1[[#This Row],[DT. VENCIMENTO]]</f>
        <v>45933</v>
      </c>
      <c r="N68" s="14" t="str" cm="1">
        <f t="array" ref="N68">_xlfn.XLOOKUP(TRIM(D68),TRIM(DFC!A:A),DFC!A:A,"NÃO ESTÁ NA DFC")</f>
        <v xml:space="preserve">      PEÇAS</v>
      </c>
      <c r="P68" s="232" t="s">
        <v>41</v>
      </c>
    </row>
    <row r="69" spans="1:16" customFormat="1" ht="14.4" x14ac:dyDescent="0.3">
      <c r="A69" s="24"/>
      <c r="B69" s="21">
        <v>45933</v>
      </c>
      <c r="C69" s="21" t="s">
        <v>15</v>
      </c>
      <c r="D69" s="21" t="s">
        <v>19</v>
      </c>
      <c r="E69" s="20"/>
      <c r="F69" s="22" t="s">
        <v>133</v>
      </c>
      <c r="G69" s="252">
        <v>638.20000000000005</v>
      </c>
      <c r="H69" s="1"/>
      <c r="I69" s="1">
        <f>COUNTIF(Tabela1[NF],Tabela1[[#This Row],[NF]])</f>
        <v>0</v>
      </c>
      <c r="K69" s="13">
        <f>Tabela1[[#This Row],[DT. VENCIMENTO]]</f>
        <v>45933</v>
      </c>
      <c r="N69" s="14" t="str" cm="1">
        <f t="array" ref="N69">_xlfn.XLOOKUP(TRIM(D69),TRIM(DFC!A:A),DFC!A:A,"NÃO ESTÁ NA DFC")</f>
        <v xml:space="preserve">      PEÇAS</v>
      </c>
      <c r="P69" s="232" t="s">
        <v>134</v>
      </c>
    </row>
    <row r="70" spans="1:16" customFormat="1" ht="14.4" x14ac:dyDescent="0.3">
      <c r="A70" s="19">
        <v>29517</v>
      </c>
      <c r="B70" s="21">
        <v>45934</v>
      </c>
      <c r="C70" s="21" t="s">
        <v>15</v>
      </c>
      <c r="D70" s="21" t="s">
        <v>19</v>
      </c>
      <c r="E70" s="20"/>
      <c r="F70" s="22" t="s">
        <v>135</v>
      </c>
      <c r="G70" s="252">
        <v>5932.75</v>
      </c>
      <c r="H70" s="1" t="s">
        <v>17</v>
      </c>
      <c r="I70" s="1">
        <f>COUNTIF(Tabela1[NF],Tabela1[[#This Row],[NF]])</f>
        <v>1</v>
      </c>
      <c r="K70" s="13">
        <v>45936</v>
      </c>
      <c r="N70" s="14" t="str" cm="1">
        <f t="array" ref="N70">_xlfn.XLOOKUP(TRIM(D70),TRIM(DFC!A:A),DFC!A:A,"NÃO ESTÁ NA DFC")</f>
        <v xml:space="preserve">      PEÇAS</v>
      </c>
      <c r="P70" s="232" t="s">
        <v>136</v>
      </c>
    </row>
    <row r="71" spans="1:16" customFormat="1" ht="14.4" x14ac:dyDescent="0.3">
      <c r="A71" s="19">
        <v>150273</v>
      </c>
      <c r="B71" s="21">
        <v>45934</v>
      </c>
      <c r="C71" s="21" t="s">
        <v>15</v>
      </c>
      <c r="D71" s="21" t="s">
        <v>19</v>
      </c>
      <c r="E71" s="20"/>
      <c r="F71" s="22" t="s">
        <v>70</v>
      </c>
      <c r="G71" s="252">
        <v>2588.6799999999998</v>
      </c>
      <c r="H71" s="1" t="s">
        <v>93</v>
      </c>
      <c r="I71" s="1">
        <f>COUNTIF(Tabela1[NF],Tabela1[[#This Row],[NF]])</f>
        <v>1</v>
      </c>
      <c r="K71" s="13">
        <v>45936</v>
      </c>
      <c r="N71" s="14" t="str" cm="1">
        <f t="array" ref="N71">_xlfn.XLOOKUP(TRIM(D71),TRIM(DFC!A:A),DFC!A:A,"NÃO ESTÁ NA DFC")</f>
        <v xml:space="preserve">      PEÇAS</v>
      </c>
      <c r="P71" s="232" t="s">
        <v>137</v>
      </c>
    </row>
    <row r="72" spans="1:16" customFormat="1" ht="14.4" x14ac:dyDescent="0.3">
      <c r="A72" s="19">
        <v>150316</v>
      </c>
      <c r="B72" s="21">
        <v>45934</v>
      </c>
      <c r="C72" s="21" t="s">
        <v>15</v>
      </c>
      <c r="D72" s="21" t="s">
        <v>19</v>
      </c>
      <c r="E72" s="20"/>
      <c r="F72" s="22" t="s">
        <v>70</v>
      </c>
      <c r="G72" s="252">
        <v>1526.93</v>
      </c>
      <c r="H72" s="1" t="s">
        <v>93</v>
      </c>
      <c r="I72" s="1">
        <f>COUNTIF(Tabela1[NF],Tabela1[[#This Row],[NF]])</f>
        <v>1</v>
      </c>
      <c r="K72" s="13">
        <v>45936</v>
      </c>
      <c r="N72" s="14" t="str" cm="1">
        <f t="array" ref="N72">_xlfn.XLOOKUP(TRIM(D72),TRIM(DFC!A:A),DFC!A:A,"NÃO ESTÁ NA DFC")</f>
        <v xml:space="preserve">      PEÇAS</v>
      </c>
      <c r="P72" s="232" t="s">
        <v>138</v>
      </c>
    </row>
    <row r="73" spans="1:16" customFormat="1" ht="14.4" x14ac:dyDescent="0.3">
      <c r="A73" s="19">
        <v>425643</v>
      </c>
      <c r="B73" s="21">
        <v>45934</v>
      </c>
      <c r="C73" s="21" t="s">
        <v>15</v>
      </c>
      <c r="D73" s="21" t="s">
        <v>19</v>
      </c>
      <c r="E73" s="20"/>
      <c r="F73" s="22" t="s">
        <v>20</v>
      </c>
      <c r="G73" s="252">
        <v>847</v>
      </c>
      <c r="H73" s="1" t="s">
        <v>71</v>
      </c>
      <c r="I73" s="1">
        <f>COUNTIF(Tabela1[NF],Tabela1[[#This Row],[NF]])</f>
        <v>1</v>
      </c>
      <c r="K73" s="26">
        <v>45936</v>
      </c>
      <c r="N73" s="14" t="str" cm="1">
        <f t="array" ref="N73">_xlfn.XLOOKUP(TRIM(D73),TRIM(DFC!A:A),DFC!A:A,"NÃO ESTÁ NA DFC")</f>
        <v xml:space="preserve">      PEÇAS</v>
      </c>
      <c r="P73" s="232" t="s">
        <v>139</v>
      </c>
    </row>
    <row r="74" spans="1:16" customFormat="1" ht="14.4" x14ac:dyDescent="0.3">
      <c r="A74" s="19">
        <v>7605</v>
      </c>
      <c r="B74" s="21">
        <v>45935</v>
      </c>
      <c r="C74" s="21" t="s">
        <v>15</v>
      </c>
      <c r="D74" s="21" t="s">
        <v>19</v>
      </c>
      <c r="E74" s="20"/>
      <c r="F74" s="22" t="s">
        <v>58</v>
      </c>
      <c r="G74" s="252">
        <v>3438.86</v>
      </c>
      <c r="H74" s="1" t="s">
        <v>36</v>
      </c>
      <c r="I74" s="1">
        <f>COUNTIF(Tabela1[NF],Tabela1[[#This Row],[NF]])</f>
        <v>1</v>
      </c>
      <c r="K74" s="13">
        <v>45936</v>
      </c>
      <c r="N74" s="14" t="str" cm="1">
        <f t="array" ref="N74">_xlfn.XLOOKUP(TRIM(D74),TRIM(DFC!A:A),DFC!A:A,"NÃO ESTÁ NA DFC")</f>
        <v xml:space="preserve">      PEÇAS</v>
      </c>
      <c r="P74" s="232" t="s">
        <v>140</v>
      </c>
    </row>
    <row r="75" spans="1:16" customFormat="1" ht="14.4" x14ac:dyDescent="0.3">
      <c r="A75" s="19">
        <v>147298</v>
      </c>
      <c r="B75" s="21">
        <v>45935</v>
      </c>
      <c r="C75" s="21" t="s">
        <v>15</v>
      </c>
      <c r="D75" s="21" t="s">
        <v>19</v>
      </c>
      <c r="E75" s="20"/>
      <c r="F75" s="22" t="s">
        <v>70</v>
      </c>
      <c r="G75" s="252">
        <v>2241.54</v>
      </c>
      <c r="H75" s="1" t="s">
        <v>59</v>
      </c>
      <c r="I75" s="1">
        <f>COUNTIF(Tabela1[NF],Tabela1[[#This Row],[NF]])</f>
        <v>1</v>
      </c>
      <c r="K75" s="13">
        <v>45936</v>
      </c>
      <c r="N75" s="14" t="str" cm="1">
        <f t="array" ref="N75">_xlfn.XLOOKUP(TRIM(D75),TRIM(DFC!A:A),DFC!A:A,"NÃO ESTÁ NA DFC")</f>
        <v xml:space="preserve">      PEÇAS</v>
      </c>
      <c r="P75" s="232" t="s">
        <v>141</v>
      </c>
    </row>
    <row r="76" spans="1:16" customFormat="1" ht="14.4" x14ac:dyDescent="0.3">
      <c r="A76" s="19">
        <v>153476</v>
      </c>
      <c r="B76" s="21">
        <v>45935</v>
      </c>
      <c r="C76" s="21" t="s">
        <v>15</v>
      </c>
      <c r="D76" s="21" t="s">
        <v>19</v>
      </c>
      <c r="E76" s="20"/>
      <c r="F76" s="22" t="s">
        <v>70</v>
      </c>
      <c r="G76" s="252">
        <v>714.81</v>
      </c>
      <c r="H76" s="1" t="s">
        <v>55</v>
      </c>
      <c r="I76" s="1">
        <f>COUNTIF(Tabela1[NF],Tabela1[[#This Row],[NF]])</f>
        <v>1</v>
      </c>
      <c r="K76" s="13">
        <v>45936</v>
      </c>
      <c r="N76" s="14" t="str" cm="1">
        <f t="array" ref="N76">_xlfn.XLOOKUP(TRIM(D76),TRIM(DFC!A:A),DFC!A:A,"NÃO ESTÁ NA DFC")</f>
        <v xml:space="preserve">      PEÇAS</v>
      </c>
      <c r="P76" s="232" t="s">
        <v>142</v>
      </c>
    </row>
    <row r="77" spans="1:16" customFormat="1" ht="14.4" x14ac:dyDescent="0.3">
      <c r="A77" s="19">
        <v>430675</v>
      </c>
      <c r="B77" s="21">
        <v>45935</v>
      </c>
      <c r="C77" s="21" t="s">
        <v>15</v>
      </c>
      <c r="D77" s="21" t="s">
        <v>19</v>
      </c>
      <c r="E77" s="20"/>
      <c r="F77" s="22" t="s">
        <v>20</v>
      </c>
      <c r="G77" s="252">
        <v>744</v>
      </c>
      <c r="H77" s="1" t="s">
        <v>87</v>
      </c>
      <c r="I77" s="1">
        <f>COUNTIF(Tabela1[NF],Tabela1[[#This Row],[NF]])</f>
        <v>2</v>
      </c>
      <c r="K77" s="26">
        <v>45936</v>
      </c>
      <c r="N77" s="14" t="str" cm="1">
        <f t="array" ref="N77">_xlfn.XLOOKUP(TRIM(D77),TRIM(DFC!A:A),DFC!A:A,"NÃO ESTÁ NA DFC")</f>
        <v xml:space="preserve">      PEÇAS</v>
      </c>
      <c r="P77" s="232" t="s">
        <v>143</v>
      </c>
    </row>
    <row r="78" spans="1:16" customFormat="1" ht="14.4" x14ac:dyDescent="0.3">
      <c r="A78" s="19">
        <v>443343</v>
      </c>
      <c r="B78" s="21">
        <v>45935</v>
      </c>
      <c r="C78" s="21" t="s">
        <v>15</v>
      </c>
      <c r="D78" s="21" t="s">
        <v>19</v>
      </c>
      <c r="E78" s="20"/>
      <c r="F78" s="22" t="s">
        <v>20</v>
      </c>
      <c r="G78" s="252">
        <v>4825</v>
      </c>
      <c r="H78" s="1" t="s">
        <v>108</v>
      </c>
      <c r="I78" s="1">
        <f>COUNTIF(Tabela1[NF],Tabela1[[#This Row],[NF]])</f>
        <v>4</v>
      </c>
      <c r="K78" s="26">
        <v>45936</v>
      </c>
      <c r="N78" s="14" t="str" cm="1">
        <f t="array" ref="N78">_xlfn.XLOOKUP(TRIM(D78),TRIM(DFC!A:A),DFC!A:A,"NÃO ESTÁ NA DFC")</f>
        <v xml:space="preserve">      PEÇAS</v>
      </c>
    </row>
    <row r="79" spans="1:16" customFormat="1" ht="14.4" x14ac:dyDescent="0.3">
      <c r="A79" s="19">
        <v>436345</v>
      </c>
      <c r="B79" s="21">
        <v>45935</v>
      </c>
      <c r="C79" s="21" t="s">
        <v>15</v>
      </c>
      <c r="D79" s="21" t="s">
        <v>19</v>
      </c>
      <c r="E79" s="20"/>
      <c r="F79" s="22" t="s">
        <v>20</v>
      </c>
      <c r="G79" s="252">
        <v>51962</v>
      </c>
      <c r="H79" s="1" t="s">
        <v>25</v>
      </c>
      <c r="I79" s="1">
        <f>COUNTIF(Tabela1[NF],Tabela1[[#This Row],[NF]])</f>
        <v>6</v>
      </c>
      <c r="K79" s="26">
        <v>45936</v>
      </c>
      <c r="N79" s="14" t="str" cm="1">
        <f t="array" ref="N79">_xlfn.XLOOKUP(TRIM(D79),TRIM(DFC!A:A),DFC!A:A,"NÃO ESTÁ NA DFC")</f>
        <v xml:space="preserve">      PEÇAS</v>
      </c>
    </row>
    <row r="80" spans="1:16" customFormat="1" ht="14.4" x14ac:dyDescent="0.3">
      <c r="A80" s="19">
        <v>436358</v>
      </c>
      <c r="B80" s="21">
        <v>45935</v>
      </c>
      <c r="C80" s="21" t="s">
        <v>15</v>
      </c>
      <c r="D80" s="21" t="s">
        <v>19</v>
      </c>
      <c r="E80" s="20"/>
      <c r="F80" s="22" t="s">
        <v>20</v>
      </c>
      <c r="G80" s="252">
        <v>6115</v>
      </c>
      <c r="H80" s="1" t="s">
        <v>25</v>
      </c>
      <c r="I80" s="1">
        <f>COUNTIF(Tabela1[NF],Tabela1[[#This Row],[NF]])</f>
        <v>5</v>
      </c>
      <c r="K80" s="26">
        <v>45936</v>
      </c>
      <c r="N80" s="14" t="str" cm="1">
        <f t="array" ref="N80">_xlfn.XLOOKUP(TRIM(D80),TRIM(DFC!A:A),DFC!A:A,"NÃO ESTÁ NA DFC")</f>
        <v xml:space="preserve">      PEÇAS</v>
      </c>
    </row>
    <row r="81" spans="1:14" customFormat="1" ht="14.4" x14ac:dyDescent="0.3">
      <c r="A81" s="19">
        <v>436424</v>
      </c>
      <c r="B81" s="21">
        <v>45935</v>
      </c>
      <c r="C81" s="21" t="s">
        <v>15</v>
      </c>
      <c r="D81" s="21" t="s">
        <v>19</v>
      </c>
      <c r="E81" s="20"/>
      <c r="F81" s="22" t="s">
        <v>24</v>
      </c>
      <c r="G81" s="252">
        <v>2959</v>
      </c>
      <c r="H81" s="1" t="s">
        <v>93</v>
      </c>
      <c r="I81" s="1">
        <f>COUNTIF(Tabela1[NF],Tabela1[[#This Row],[NF]])</f>
        <v>4</v>
      </c>
      <c r="K81" s="26">
        <v>45936</v>
      </c>
      <c r="N81" s="14" t="str" cm="1">
        <f t="array" ref="N81">_xlfn.XLOOKUP(TRIM(D81),TRIM(DFC!A:A),DFC!A:A,"NÃO ESTÁ NA DFC")</f>
        <v xml:space="preserve">      PEÇAS</v>
      </c>
    </row>
    <row r="82" spans="1:14" customFormat="1" ht="14.4" x14ac:dyDescent="0.3">
      <c r="A82" s="19">
        <v>443185</v>
      </c>
      <c r="B82" s="21">
        <v>45935</v>
      </c>
      <c r="C82" s="21" t="s">
        <v>15</v>
      </c>
      <c r="D82" s="21" t="s">
        <v>19</v>
      </c>
      <c r="E82" s="20"/>
      <c r="F82" s="22" t="s">
        <v>20</v>
      </c>
      <c r="G82" s="252">
        <v>4825</v>
      </c>
      <c r="H82" s="1" t="s">
        <v>108</v>
      </c>
      <c r="I82" s="1">
        <f>COUNTIF(Tabela1[NF],Tabela1[[#This Row],[NF]])</f>
        <v>4</v>
      </c>
      <c r="K82" s="26">
        <v>45936</v>
      </c>
      <c r="N82" s="14" t="str" cm="1">
        <f t="array" ref="N82">_xlfn.XLOOKUP(TRIM(D82),TRIM(DFC!A:A),DFC!A:A,"NÃO ESTÁ NA DFC")</f>
        <v xml:space="preserve">      PEÇAS</v>
      </c>
    </row>
    <row r="83" spans="1:14" customFormat="1" ht="14.4" x14ac:dyDescent="0.3">
      <c r="A83" s="19">
        <v>443246</v>
      </c>
      <c r="B83" s="21">
        <v>45935</v>
      </c>
      <c r="C83" s="21" t="s">
        <v>15</v>
      </c>
      <c r="D83" s="21" t="s">
        <v>19</v>
      </c>
      <c r="E83" s="20"/>
      <c r="F83" s="22" t="s">
        <v>20</v>
      </c>
      <c r="G83" s="252">
        <v>776.06</v>
      </c>
      <c r="H83" s="1" t="s">
        <v>17</v>
      </c>
      <c r="I83" s="1">
        <f>COUNTIF(Tabela1[NF],Tabela1[[#This Row],[NF]])</f>
        <v>3</v>
      </c>
      <c r="K83" s="26">
        <v>45936</v>
      </c>
      <c r="N83" s="14" t="str" cm="1">
        <f t="array" ref="N83">_xlfn.XLOOKUP(TRIM(D83),TRIM(DFC!A:A),DFC!A:A,"NÃO ESTÁ NA DFC")</f>
        <v xml:space="preserve">      PEÇAS</v>
      </c>
    </row>
    <row r="84" spans="1:14" customFormat="1" ht="14.4" x14ac:dyDescent="0.3">
      <c r="A84" s="19">
        <v>436345</v>
      </c>
      <c r="B84" s="21">
        <v>45935</v>
      </c>
      <c r="C84" s="21" t="s">
        <v>15</v>
      </c>
      <c r="D84" s="21" t="s">
        <v>19</v>
      </c>
      <c r="E84" s="20"/>
      <c r="F84" s="22" t="s">
        <v>24</v>
      </c>
      <c r="G84" s="252">
        <v>51962</v>
      </c>
      <c r="H84" s="1"/>
      <c r="I84" s="1">
        <f>COUNTIF(Tabela1[NF],Tabela1[[#This Row],[NF]])</f>
        <v>6</v>
      </c>
      <c r="K84" s="26">
        <f>B84</f>
        <v>45935</v>
      </c>
      <c r="N84" s="14" t="str" cm="1">
        <f t="array" ref="N84">_xlfn.XLOOKUP(TRIM(D84),TRIM(DFC!A:A),DFC!A:A,"NÃO ESTÁ NA DFC")</f>
        <v xml:space="preserve">      PEÇAS</v>
      </c>
    </row>
    <row r="85" spans="1:14" customFormat="1" ht="14.4" x14ac:dyDescent="0.3">
      <c r="A85" s="19">
        <v>1278</v>
      </c>
      <c r="B85" s="21">
        <v>45936</v>
      </c>
      <c r="C85" s="21" t="s">
        <v>15</v>
      </c>
      <c r="D85" s="21" t="s">
        <v>19</v>
      </c>
      <c r="E85" s="20"/>
      <c r="F85" s="22" t="s">
        <v>51</v>
      </c>
      <c r="G85" s="252">
        <v>523.17999999999995</v>
      </c>
      <c r="H85" s="1" t="s">
        <v>62</v>
      </c>
      <c r="I85" s="1">
        <f>COUNTIF(Tabela1[NF],Tabela1[[#This Row],[NF]])</f>
        <v>2</v>
      </c>
      <c r="K85" s="13">
        <f>Tabela1[[#This Row],[DT. VENCIMENTO]]</f>
        <v>45936</v>
      </c>
      <c r="N85" s="14" t="str" cm="1">
        <f t="array" ref="N85">_xlfn.XLOOKUP(TRIM(D85),TRIM(DFC!A:A),DFC!A:A,"NÃO ESTÁ NA DFC")</f>
        <v xml:space="preserve">      PEÇAS</v>
      </c>
    </row>
    <row r="86" spans="1:14" customFormat="1" ht="14.4" x14ac:dyDescent="0.3">
      <c r="A86" s="23">
        <v>45901</v>
      </c>
      <c r="B86" s="21">
        <v>45936</v>
      </c>
      <c r="C86" s="21" t="s">
        <v>44</v>
      </c>
      <c r="D86" s="21" t="s">
        <v>117</v>
      </c>
      <c r="E86" s="20"/>
      <c r="F86" s="22" t="s">
        <v>45</v>
      </c>
      <c r="G86" s="252">
        <v>17710.82</v>
      </c>
      <c r="H86" s="1" t="s">
        <v>21</v>
      </c>
      <c r="I86" s="1">
        <f>COUNTIF(Tabela1[NF],Tabela1[[#This Row],[NF]])</f>
        <v>9</v>
      </c>
      <c r="K86" s="13">
        <f>Tabela1[[#This Row],[DT. VENCIMENTO]]</f>
        <v>45936</v>
      </c>
      <c r="N86" s="14" t="str" cm="1">
        <f t="array" ref="N86">_xlfn.XLOOKUP(TRIM(D86),TRIM(DFC!A:A),DFC!A:A,"NÃO ESTÁ NA DFC")</f>
        <v xml:space="preserve">          SALÁRIOS</v>
      </c>
    </row>
    <row r="87" spans="1:14" customFormat="1" ht="14.4" x14ac:dyDescent="0.3">
      <c r="A87" s="23">
        <v>45901</v>
      </c>
      <c r="B87" s="21">
        <v>45936</v>
      </c>
      <c r="C87" s="21" t="s">
        <v>44</v>
      </c>
      <c r="D87" s="21" t="s">
        <v>137</v>
      </c>
      <c r="E87" s="20"/>
      <c r="F87" s="22" t="s">
        <v>144</v>
      </c>
      <c r="G87" s="252">
        <f>280*6</f>
        <v>1680</v>
      </c>
      <c r="H87" s="1" t="s">
        <v>21</v>
      </c>
      <c r="I87" s="1">
        <f>COUNTIF(Tabela1[NF],Tabela1[[#This Row],[NF]])</f>
        <v>9</v>
      </c>
      <c r="J87" t="s">
        <v>145</v>
      </c>
      <c r="K87" s="13">
        <f>Tabela1[[#This Row],[DT. VENCIMENTO]]</f>
        <v>45936</v>
      </c>
      <c r="N87" s="14" t="str" cm="1">
        <f t="array" ref="N87">_xlfn.XLOOKUP(TRIM(D87),TRIM(DFC!A:A),DFC!A:A,"NÃO ESTÁ NA DFC")</f>
        <v xml:space="preserve">          TICKET ALIMENTAÇÃO</v>
      </c>
    </row>
    <row r="88" spans="1:14" customFormat="1" ht="14.4" x14ac:dyDescent="0.3">
      <c r="A88" s="19">
        <v>147373</v>
      </c>
      <c r="B88" s="21">
        <v>45936</v>
      </c>
      <c r="C88" s="21" t="s">
        <v>15</v>
      </c>
      <c r="D88" s="21" t="s">
        <v>19</v>
      </c>
      <c r="E88" s="20"/>
      <c r="F88" s="22" t="s">
        <v>70</v>
      </c>
      <c r="G88" s="252">
        <v>1396.92</v>
      </c>
      <c r="H88" s="1" t="s">
        <v>87</v>
      </c>
      <c r="I88" s="1">
        <f>COUNTIF(Tabela1[NF],Tabela1[[#This Row],[NF]])</f>
        <v>1</v>
      </c>
      <c r="K88" s="13">
        <f>Tabela1[[#This Row],[DT. VENCIMENTO]]</f>
        <v>45936</v>
      </c>
      <c r="N88" s="14" t="str" cm="1">
        <f t="array" ref="N88">_xlfn.XLOOKUP(TRIM(D88),TRIM(DFC!A:A),DFC!A:A,"NÃO ESTÁ NA DFC")</f>
        <v xml:space="preserve">      PEÇAS</v>
      </c>
    </row>
    <row r="89" spans="1:14" customFormat="1" ht="14.4" x14ac:dyDescent="0.3">
      <c r="A89" s="19">
        <v>150492</v>
      </c>
      <c r="B89" s="21">
        <v>45936</v>
      </c>
      <c r="C89" s="21" t="s">
        <v>15</v>
      </c>
      <c r="D89" s="21" t="s">
        <v>19</v>
      </c>
      <c r="E89" s="20"/>
      <c r="F89" s="22" t="s">
        <v>70</v>
      </c>
      <c r="G89" s="252">
        <v>4663.76</v>
      </c>
      <c r="H89" s="1" t="s">
        <v>93</v>
      </c>
      <c r="I89" s="1">
        <f>COUNTIF(Tabela1[NF],Tabela1[[#This Row],[NF]])</f>
        <v>1</v>
      </c>
      <c r="K89" s="13">
        <f>Tabela1[[#This Row],[DT. VENCIMENTO]]</f>
        <v>45936</v>
      </c>
      <c r="N89" s="14" t="str" cm="1">
        <f t="array" ref="N89">_xlfn.XLOOKUP(TRIM(D89),TRIM(DFC!A:A),DFC!A:A,"NÃO ESTÁ NA DFC")</f>
        <v xml:space="preserve">      PEÇAS</v>
      </c>
    </row>
    <row r="90" spans="1:14" customFormat="1" ht="14.4" x14ac:dyDescent="0.3">
      <c r="A90" s="24"/>
      <c r="B90" s="21">
        <v>45936</v>
      </c>
      <c r="C90" s="21" t="s">
        <v>15</v>
      </c>
      <c r="D90" s="21" t="s">
        <v>60</v>
      </c>
      <c r="E90" s="20" t="s">
        <v>146</v>
      </c>
      <c r="F90" s="22" t="s">
        <v>147</v>
      </c>
      <c r="G90" s="252">
        <v>380</v>
      </c>
      <c r="H90" s="1"/>
      <c r="I90" s="1">
        <f>COUNTIF(Tabela1[NF],Tabela1[[#This Row],[NF]])</f>
        <v>0</v>
      </c>
      <c r="K90" s="13">
        <f>Tabela1[[#This Row],[DT. VENCIMENTO]]</f>
        <v>45936</v>
      </c>
      <c r="N90" s="14" t="str" cm="1">
        <f t="array" ref="N90">_xlfn.XLOOKUP(TRIM(D90),TRIM(DFC!A:A),DFC!A:A,"NÃO ESTÁ NA DFC")</f>
        <v xml:space="preserve">          ALUGUEL</v>
      </c>
    </row>
    <row r="91" spans="1:14" customFormat="1" ht="14.4" x14ac:dyDescent="0.3">
      <c r="A91" s="24"/>
      <c r="B91" s="21">
        <v>45936</v>
      </c>
      <c r="C91" s="21" t="s">
        <v>15</v>
      </c>
      <c r="D91" s="21" t="s">
        <v>19</v>
      </c>
      <c r="E91" s="20"/>
      <c r="F91" s="22" t="s">
        <v>148</v>
      </c>
      <c r="G91" s="252">
        <v>1877.95</v>
      </c>
      <c r="H91" s="1"/>
      <c r="I91" s="1">
        <f>COUNTIF(Tabela1[NF],Tabela1[[#This Row],[NF]])</f>
        <v>0</v>
      </c>
      <c r="K91" s="13">
        <f>Tabela1[[#This Row],[DT. VENCIMENTO]]</f>
        <v>45936</v>
      </c>
      <c r="N91" s="14" t="str" cm="1">
        <f t="array" ref="N91">_xlfn.XLOOKUP(TRIM(D91),TRIM(DFC!A:A),DFC!A:A,"NÃO ESTÁ NA DFC")</f>
        <v xml:space="preserve">      PEÇAS</v>
      </c>
    </row>
    <row r="92" spans="1:14" customFormat="1" ht="14.4" x14ac:dyDescent="0.3">
      <c r="A92" s="24"/>
      <c r="B92" s="21">
        <v>45936</v>
      </c>
      <c r="C92" s="21" t="s">
        <v>15</v>
      </c>
      <c r="D92" s="21" t="s">
        <v>19</v>
      </c>
      <c r="E92" s="20"/>
      <c r="F92" s="22" t="s">
        <v>149</v>
      </c>
      <c r="G92" s="252">
        <v>1084.01</v>
      </c>
      <c r="H92" s="1"/>
      <c r="I92" s="1">
        <f>COUNTIF(Tabela1[NF],Tabela1[[#This Row],[NF]])</f>
        <v>0</v>
      </c>
      <c r="K92" s="13">
        <f>Tabela1[[#This Row],[DT. VENCIMENTO]]</f>
        <v>45936</v>
      </c>
      <c r="N92" s="14" t="str" cm="1">
        <f t="array" ref="N92">_xlfn.XLOOKUP(TRIM(D92),TRIM(DFC!A:A),DFC!A:A,"NÃO ESTÁ NA DFC")</f>
        <v xml:space="preserve">      PEÇAS</v>
      </c>
    </row>
    <row r="93" spans="1:14" customFormat="1" ht="14.4" x14ac:dyDescent="0.3">
      <c r="A93" s="24"/>
      <c r="B93" s="21">
        <v>45936</v>
      </c>
      <c r="C93" s="21" t="s">
        <v>15</v>
      </c>
      <c r="D93" s="21" t="s">
        <v>19</v>
      </c>
      <c r="E93" s="20"/>
      <c r="F93" s="22" t="s">
        <v>150</v>
      </c>
      <c r="G93" s="252">
        <v>16500</v>
      </c>
      <c r="H93" s="1"/>
      <c r="I93" s="1">
        <f>COUNTIF(Tabela1[NF],Tabela1[[#This Row],[NF]])</f>
        <v>0</v>
      </c>
      <c r="K93" s="13">
        <f>Tabela1[[#This Row],[DT. VENCIMENTO]]</f>
        <v>45936</v>
      </c>
      <c r="N93" s="14" t="str" cm="1">
        <f t="array" ref="N93">_xlfn.XLOOKUP(TRIM(D93),TRIM(DFC!A:A),DFC!A:A,"NÃO ESTÁ NA DFC")</f>
        <v xml:space="preserve">      PEÇAS</v>
      </c>
    </row>
    <row r="94" spans="1:14" customFormat="1" ht="14.4" x14ac:dyDescent="0.3">
      <c r="A94" s="24"/>
      <c r="B94" s="21">
        <v>45936</v>
      </c>
      <c r="C94" s="21" t="s">
        <v>15</v>
      </c>
      <c r="D94" s="21" t="s">
        <v>85</v>
      </c>
      <c r="E94" s="20" t="s">
        <v>151</v>
      </c>
      <c r="F94" s="22" t="s">
        <v>103</v>
      </c>
      <c r="G94" s="252">
        <v>1750</v>
      </c>
      <c r="H94" s="1"/>
      <c r="I94" s="1">
        <f>COUNTIF(Tabela1[NF],Tabela1[[#This Row],[NF]])</f>
        <v>0</v>
      </c>
      <c r="K94" s="13">
        <f>Tabela1[[#This Row],[DT. VENCIMENTO]]</f>
        <v>45936</v>
      </c>
      <c r="N94" s="14" t="str" cm="1">
        <f t="array" ref="N94">_xlfn.XLOOKUP(TRIM(D94),TRIM(DFC!A:A),DFC!A:A,"NÃO ESTÁ NA DFC")</f>
        <v xml:space="preserve">         EQUIPAMENTOS DE INFORMÁTICA</v>
      </c>
    </row>
    <row r="95" spans="1:14" customFormat="1" ht="14.4" x14ac:dyDescent="0.3">
      <c r="A95" s="24"/>
      <c r="B95" s="21">
        <v>45936</v>
      </c>
      <c r="C95" s="21" t="s">
        <v>44</v>
      </c>
      <c r="D95" s="21" t="s">
        <v>127</v>
      </c>
      <c r="E95" s="20" t="s">
        <v>152</v>
      </c>
      <c r="F95" s="22" t="s">
        <v>153</v>
      </c>
      <c r="G95" s="252">
        <v>152</v>
      </c>
      <c r="H95" s="1"/>
      <c r="I95" s="1">
        <f>COUNTIF(Tabela1[NF],Tabela1[[#This Row],[NF]])</f>
        <v>0</v>
      </c>
      <c r="K95" s="13">
        <f>Tabela1[[#This Row],[DT. VENCIMENTO]]</f>
        <v>45936</v>
      </c>
      <c r="N95" s="14" t="str" cm="1">
        <f t="array" ref="N95">_xlfn.XLOOKUP(TRIM(D95),TRIM(DFC!A:A),DFC!A:A,"NÃO ESTÁ NA DFC")</f>
        <v xml:space="preserve">          SERVIÇOS DE SEGURANÇA</v>
      </c>
    </row>
    <row r="96" spans="1:14" customFormat="1" ht="14.4" x14ac:dyDescent="0.3">
      <c r="A96" s="19">
        <v>431002</v>
      </c>
      <c r="B96" s="21">
        <v>45936</v>
      </c>
      <c r="C96" s="21" t="s">
        <v>15</v>
      </c>
      <c r="D96" s="21" t="s">
        <v>19</v>
      </c>
      <c r="E96" s="20"/>
      <c r="F96" s="22" t="s">
        <v>20</v>
      </c>
      <c r="G96" s="252">
        <v>2135</v>
      </c>
      <c r="H96" s="1" t="s">
        <v>87</v>
      </c>
      <c r="I96" s="1">
        <f>COUNTIF(Tabela1[NF],Tabela1[[#This Row],[NF]])</f>
        <v>2</v>
      </c>
      <c r="K96" s="26">
        <f>Tabela1[[#This Row],[DT. VENCIMENTO]]</f>
        <v>45936</v>
      </c>
      <c r="N96" s="14" t="str" cm="1">
        <f t="array" ref="N96">_xlfn.XLOOKUP(TRIM(D96),TRIM(DFC!A:A),DFC!A:A,"NÃO ESTÁ NA DFC")</f>
        <v xml:space="preserve">      PEÇAS</v>
      </c>
    </row>
    <row r="97" spans="1:14" customFormat="1" ht="14.4" x14ac:dyDescent="0.3">
      <c r="A97" s="19">
        <v>436655</v>
      </c>
      <c r="B97" s="21">
        <v>45936</v>
      </c>
      <c r="C97" s="21" t="s">
        <v>15</v>
      </c>
      <c r="D97" s="21" t="s">
        <v>19</v>
      </c>
      <c r="E97" s="20"/>
      <c r="F97" s="22" t="s">
        <v>20</v>
      </c>
      <c r="G97" s="252">
        <v>29409</v>
      </c>
      <c r="H97" s="1" t="s">
        <v>25</v>
      </c>
      <c r="I97" s="1">
        <f>COUNTIF(Tabela1[NF],Tabela1[[#This Row],[NF]])</f>
        <v>5</v>
      </c>
      <c r="K97" s="26">
        <f>Tabela1[[#This Row],[DT. VENCIMENTO]]</f>
        <v>45936</v>
      </c>
      <c r="N97" s="14" t="str" cm="1">
        <f t="array" ref="N97">_xlfn.XLOOKUP(TRIM(D97),TRIM(DFC!A:A),DFC!A:A,"NÃO ESTÁ NA DFC")</f>
        <v xml:space="preserve">      PEÇAS</v>
      </c>
    </row>
    <row r="98" spans="1:14" customFormat="1" ht="14.4" x14ac:dyDescent="0.3">
      <c r="A98" s="19">
        <v>436412</v>
      </c>
      <c r="B98" s="21">
        <v>45936</v>
      </c>
      <c r="C98" s="21" t="s">
        <v>15</v>
      </c>
      <c r="D98" s="21" t="s">
        <v>19</v>
      </c>
      <c r="E98" s="20"/>
      <c r="F98" s="22" t="s">
        <v>24</v>
      </c>
      <c r="G98" s="252">
        <v>5157</v>
      </c>
      <c r="H98" s="1"/>
      <c r="I98" s="1">
        <f>COUNTIF(Tabela1[NF],Tabela1[[#This Row],[NF]])</f>
        <v>5</v>
      </c>
      <c r="K98" s="26">
        <f>Tabela1[[#This Row],[DT. VENCIMENTO]]</f>
        <v>45936</v>
      </c>
      <c r="N98" s="14" t="str" cm="1">
        <f t="array" ref="N98">_xlfn.XLOOKUP(TRIM(D98),TRIM(DFC!A:A),DFC!A:A,"NÃO ESTÁ NA DFC")</f>
        <v xml:space="preserve">      PEÇAS</v>
      </c>
    </row>
    <row r="99" spans="1:14" customFormat="1" ht="14.4" x14ac:dyDescent="0.3">
      <c r="A99" s="19">
        <v>3573</v>
      </c>
      <c r="B99" s="21">
        <v>45937</v>
      </c>
      <c r="C99" s="21" t="s">
        <v>15</v>
      </c>
      <c r="D99" s="21" t="s">
        <v>19</v>
      </c>
      <c r="E99" s="20"/>
      <c r="F99" s="22" t="s">
        <v>54</v>
      </c>
      <c r="G99" s="252">
        <v>767</v>
      </c>
      <c r="H99" s="1" t="s">
        <v>52</v>
      </c>
      <c r="I99" s="1">
        <f>COUNTIF(Tabela1[NF],Tabela1[[#This Row],[NF]])</f>
        <v>2</v>
      </c>
      <c r="K99" s="13">
        <f>Tabela1[[#This Row],[DT. VENCIMENTO]]</f>
        <v>45937</v>
      </c>
      <c r="N99" s="14" t="str" cm="1">
        <f t="array" ref="N99">_xlfn.XLOOKUP(TRIM(D99),TRIM(DFC!A:A),DFC!A:A,"NÃO ESTÁ NA DFC")</f>
        <v xml:space="preserve">      PEÇAS</v>
      </c>
    </row>
    <row r="100" spans="1:14" customFormat="1" ht="14.4" x14ac:dyDescent="0.3">
      <c r="A100" s="19">
        <v>7429</v>
      </c>
      <c r="B100" s="21">
        <v>45937</v>
      </c>
      <c r="C100" s="21" t="s">
        <v>15</v>
      </c>
      <c r="D100" s="21" t="s">
        <v>19</v>
      </c>
      <c r="E100" s="20"/>
      <c r="F100" s="22" t="s">
        <v>58</v>
      </c>
      <c r="G100" s="252">
        <v>4093.88</v>
      </c>
      <c r="H100" s="1" t="s">
        <v>59</v>
      </c>
      <c r="I100" s="1">
        <f>COUNTIF(Tabela1[NF],Tabela1[[#This Row],[NF]])</f>
        <v>1</v>
      </c>
      <c r="K100" s="13">
        <f>Tabela1[[#This Row],[DT. VENCIMENTO]]</f>
        <v>45937</v>
      </c>
      <c r="N100" s="14" t="str" cm="1">
        <f t="array" ref="N100">_xlfn.XLOOKUP(TRIM(D100),TRIM(DFC!A:A),DFC!A:A,"NÃO ESTÁ NA DFC")</f>
        <v xml:space="preserve">      PEÇAS</v>
      </c>
    </row>
    <row r="101" spans="1:14" customFormat="1" ht="14.4" x14ac:dyDescent="0.3">
      <c r="A101" s="19">
        <v>7693</v>
      </c>
      <c r="B101" s="21">
        <v>45937</v>
      </c>
      <c r="C101" s="21" t="s">
        <v>15</v>
      </c>
      <c r="D101" s="21" t="s">
        <v>19</v>
      </c>
      <c r="E101" s="20"/>
      <c r="F101" s="22" t="s">
        <v>58</v>
      </c>
      <c r="G101" s="252">
        <v>5663.21</v>
      </c>
      <c r="H101" s="1" t="s">
        <v>36</v>
      </c>
      <c r="I101" s="1">
        <f>COUNTIF(Tabela1[NF],Tabela1[[#This Row],[NF]])</f>
        <v>1</v>
      </c>
      <c r="K101" s="13">
        <f>Tabela1[[#This Row],[DT. VENCIMENTO]]</f>
        <v>45937</v>
      </c>
      <c r="N101" s="14" t="str" cm="1">
        <f t="array" ref="N101">_xlfn.XLOOKUP(TRIM(D101),TRIM(DFC!A:A),DFC!A:A,"NÃO ESTÁ NA DFC")</f>
        <v xml:space="preserve">      PEÇAS</v>
      </c>
    </row>
    <row r="102" spans="1:14" customFormat="1" ht="14.4" x14ac:dyDescent="0.3">
      <c r="A102" s="19">
        <v>70565</v>
      </c>
      <c r="B102" s="21">
        <v>45937</v>
      </c>
      <c r="C102" s="21" t="s">
        <v>15</v>
      </c>
      <c r="D102" s="21" t="s">
        <v>154</v>
      </c>
      <c r="E102" s="20"/>
      <c r="F102" s="22" t="s">
        <v>39</v>
      </c>
      <c r="G102" s="252">
        <v>399.78</v>
      </c>
      <c r="H102" s="1" t="s">
        <v>52</v>
      </c>
      <c r="I102" s="1">
        <f>COUNTIF(Tabela1[NF],Tabela1[[#This Row],[NF]])</f>
        <v>2</v>
      </c>
      <c r="K102" s="13">
        <f>Tabela1[[#This Row],[DT. VENCIMENTO]]</f>
        <v>45937</v>
      </c>
      <c r="N102" s="14" t="str" cm="1">
        <f t="array" ref="N102">_xlfn.XLOOKUP(TRIM(D102),TRIM(DFC!A:A),DFC!A:A,"NÃO ESTÁ NA DFC")</f>
        <v xml:space="preserve">      EMBALAGENS</v>
      </c>
    </row>
    <row r="103" spans="1:14" customFormat="1" ht="14.4" x14ac:dyDescent="0.3">
      <c r="A103" s="19">
        <v>103653</v>
      </c>
      <c r="B103" s="21">
        <v>45937</v>
      </c>
      <c r="C103" s="21" t="s">
        <v>15</v>
      </c>
      <c r="D103" s="21" t="s">
        <v>28</v>
      </c>
      <c r="E103" s="20"/>
      <c r="F103" s="22" t="s">
        <v>155</v>
      </c>
      <c r="G103" s="252">
        <v>813.15</v>
      </c>
      <c r="H103" s="1" t="s">
        <v>21</v>
      </c>
      <c r="I103" s="1">
        <f>COUNTIF(Tabela1[NF],Tabela1[[#This Row],[NF]])</f>
        <v>1</v>
      </c>
      <c r="K103" s="13">
        <f>Tabela1[[#This Row],[DT. VENCIMENTO]]</f>
        <v>45937</v>
      </c>
      <c r="N103" s="14" t="str" cm="1">
        <f t="array" ref="N103">_xlfn.XLOOKUP(TRIM(D103),TRIM(DFC!A:A),DFC!A:A,"NÃO ESTÁ NA DFC")</f>
        <v xml:space="preserve">          FERRAMENTAS PARA MANUTENÇÃO</v>
      </c>
    </row>
    <row r="104" spans="1:14" customFormat="1" ht="14.4" x14ac:dyDescent="0.3">
      <c r="A104" s="19">
        <v>144035</v>
      </c>
      <c r="B104" s="21">
        <v>45937</v>
      </c>
      <c r="C104" s="21" t="s">
        <v>15</v>
      </c>
      <c r="D104" s="21" t="s">
        <v>19</v>
      </c>
      <c r="E104" s="20"/>
      <c r="F104" s="22" t="s">
        <v>70</v>
      </c>
      <c r="G104" s="252">
        <v>2639.12</v>
      </c>
      <c r="H104" s="1" t="s">
        <v>71</v>
      </c>
      <c r="I104" s="1">
        <f>COUNTIF(Tabela1[NF],Tabela1[[#This Row],[NF]])</f>
        <v>1</v>
      </c>
      <c r="K104" s="13">
        <f>Tabela1[[#This Row],[DT. VENCIMENTO]]</f>
        <v>45937</v>
      </c>
      <c r="N104" s="14" t="str" cm="1">
        <f t="array" ref="N104">_xlfn.XLOOKUP(TRIM(D104),TRIM(DFC!A:A),DFC!A:A,"NÃO ESTÁ NA DFC")</f>
        <v xml:space="preserve">      PEÇAS</v>
      </c>
    </row>
    <row r="105" spans="1:14" customFormat="1" ht="14.4" x14ac:dyDescent="0.3">
      <c r="A105" s="19">
        <v>162583</v>
      </c>
      <c r="B105" s="21">
        <v>45937</v>
      </c>
      <c r="C105" s="21" t="s">
        <v>15</v>
      </c>
      <c r="D105" s="21" t="s">
        <v>19</v>
      </c>
      <c r="E105" s="20"/>
      <c r="F105" s="22" t="s">
        <v>64</v>
      </c>
      <c r="G105" s="252">
        <v>2126.79</v>
      </c>
      <c r="H105" s="1" t="s">
        <v>59</v>
      </c>
      <c r="I105" s="1">
        <f>COUNTIF(Tabela1[NF],Tabela1[[#This Row],[NF]])</f>
        <v>2</v>
      </c>
      <c r="K105" s="13">
        <f>Tabela1[[#This Row],[DT. VENCIMENTO]]</f>
        <v>45937</v>
      </c>
      <c r="N105" s="14" t="str" cm="1">
        <f t="array" ref="N105">_xlfn.XLOOKUP(TRIM(D105),TRIM(DFC!A:A),DFC!A:A,"NÃO ESTÁ NA DFC")</f>
        <v xml:space="preserve">      PEÇAS</v>
      </c>
    </row>
    <row r="106" spans="1:14" customFormat="1" ht="14.4" x14ac:dyDescent="0.3">
      <c r="A106" s="23">
        <v>45931</v>
      </c>
      <c r="B106" s="21">
        <v>45937</v>
      </c>
      <c r="C106" s="21" t="s">
        <v>15</v>
      </c>
      <c r="D106" s="21" t="s">
        <v>156</v>
      </c>
      <c r="E106" s="20" t="s">
        <v>157</v>
      </c>
      <c r="F106" s="22" t="s">
        <v>158</v>
      </c>
      <c r="G106" s="252">
        <v>4590</v>
      </c>
      <c r="H106" s="1"/>
      <c r="I106" s="1">
        <f>COUNTIF(Tabela1[NF],Tabela1[[#This Row],[NF]])</f>
        <v>23</v>
      </c>
      <c r="K106" s="13">
        <f>Tabela1[[#This Row],[DT. VENCIMENTO]]</f>
        <v>45937</v>
      </c>
      <c r="N106" s="14" t="str" cm="1">
        <f t="array" ref="N106">_xlfn.XLOOKUP(TRIM(D106),TRIM(DFC!A:A),DFC!A:A,"NÃO ESTÁ NA DFC")</f>
        <v xml:space="preserve">      MONTAGEM DE RODAS</v>
      </c>
    </row>
    <row r="107" spans="1:14" customFormat="1" ht="14.4" x14ac:dyDescent="0.3">
      <c r="A107" s="23">
        <v>45931</v>
      </c>
      <c r="B107" s="21">
        <v>45937</v>
      </c>
      <c r="C107" s="21" t="s">
        <v>15</v>
      </c>
      <c r="D107" s="21" t="s">
        <v>111</v>
      </c>
      <c r="E107" s="20"/>
      <c r="F107" s="22" t="s">
        <v>112</v>
      </c>
      <c r="G107" s="252">
        <v>10</v>
      </c>
      <c r="H107" s="1"/>
      <c r="I107" s="1">
        <f>COUNTIF(Tabela1[NF],Tabela1[[#This Row],[NF]])</f>
        <v>23</v>
      </c>
      <c r="K107" s="13">
        <f>Tabela1[[#This Row],[DT. VENCIMENTO]]</f>
        <v>45937</v>
      </c>
      <c r="N107" s="14" t="str" cm="1">
        <f t="array" ref="N107">_xlfn.XLOOKUP(TRIM(D107),TRIM(DFC!A:A),DFC!A:A,"NÃO ESTÁ NA DFC")</f>
        <v xml:space="preserve">          TX. BANCÁRIA</v>
      </c>
    </row>
    <row r="108" spans="1:14" customFormat="1" ht="14.4" x14ac:dyDescent="0.3">
      <c r="A108" s="24"/>
      <c r="B108" s="21">
        <v>45937</v>
      </c>
      <c r="C108" s="21" t="s">
        <v>15</v>
      </c>
      <c r="D108" s="21" t="s">
        <v>117</v>
      </c>
      <c r="E108" s="20"/>
      <c r="F108" s="22" t="s">
        <v>159</v>
      </c>
      <c r="G108" s="252">
        <v>3000</v>
      </c>
      <c r="H108" s="1"/>
      <c r="I108" s="1">
        <f>COUNTIF(Tabela1[NF],Tabela1[[#This Row],[NF]])</f>
        <v>0</v>
      </c>
      <c r="K108" s="13">
        <f>Tabela1[[#This Row],[DT. VENCIMENTO]]</f>
        <v>45937</v>
      </c>
      <c r="N108" s="14" t="str" cm="1">
        <f t="array" ref="N108">_xlfn.XLOOKUP(TRIM(D108),TRIM(DFC!A:A),DFC!A:A,"NÃO ESTÁ NA DFC")</f>
        <v xml:space="preserve">          SALÁRIOS</v>
      </c>
    </row>
    <row r="109" spans="1:14" customFormat="1" ht="14.4" x14ac:dyDescent="0.3">
      <c r="A109" s="24"/>
      <c r="B109" s="21">
        <v>45937</v>
      </c>
      <c r="C109" s="21" t="s">
        <v>15</v>
      </c>
      <c r="D109" s="280" t="s">
        <v>79</v>
      </c>
      <c r="E109" s="28" t="s">
        <v>160</v>
      </c>
      <c r="F109" s="22" t="s">
        <v>161</v>
      </c>
      <c r="G109" s="252">
        <v>500</v>
      </c>
      <c r="H109" s="1"/>
      <c r="I109" s="1">
        <f>COUNTIF(Tabela1[NF],Tabela1[[#This Row],[NF]])</f>
        <v>0</v>
      </c>
      <c r="K109" s="13">
        <f>Tabela1[[#This Row],[DT. VENCIMENTO]]</f>
        <v>45937</v>
      </c>
      <c r="N109" s="14" t="str" cm="1">
        <f t="array" ref="N109">_xlfn.XLOOKUP(TRIM(D109),TRIM(DFC!A:A),DFC!A:A,"NÃO ESTÁ NA DFC")</f>
        <v xml:space="preserve">     DESP DE MARKETING E PROPAGANDA</v>
      </c>
    </row>
    <row r="110" spans="1:14" customFormat="1" ht="14.4" x14ac:dyDescent="0.3">
      <c r="A110" s="24"/>
      <c r="B110" s="21">
        <v>45937</v>
      </c>
      <c r="C110" s="21" t="s">
        <v>15</v>
      </c>
      <c r="D110" s="21" t="s">
        <v>19</v>
      </c>
      <c r="E110" s="20"/>
      <c r="F110" s="22" t="s">
        <v>103</v>
      </c>
      <c r="G110" s="252">
        <v>4400</v>
      </c>
      <c r="H110" s="1"/>
      <c r="I110" s="1">
        <f>COUNTIF(Tabela1[NF],Tabela1[[#This Row],[NF]])</f>
        <v>0</v>
      </c>
      <c r="K110" s="13">
        <f>Tabela1[[#This Row],[DT. VENCIMENTO]]</f>
        <v>45937</v>
      </c>
      <c r="N110" s="14" t="str" cm="1">
        <f t="array" ref="N110">_xlfn.XLOOKUP(TRIM(D110),TRIM(DFC!A:A),DFC!A:A,"NÃO ESTÁ NA DFC")</f>
        <v xml:space="preserve">      PEÇAS</v>
      </c>
    </row>
    <row r="111" spans="1:14" customFormat="1" ht="14.4" x14ac:dyDescent="0.3">
      <c r="A111" s="24"/>
      <c r="B111" s="21">
        <v>45937</v>
      </c>
      <c r="C111" s="21" t="s">
        <v>15</v>
      </c>
      <c r="D111" s="21" t="s">
        <v>40</v>
      </c>
      <c r="E111" s="20" t="s">
        <v>162</v>
      </c>
      <c r="F111" s="22" t="s">
        <v>163</v>
      </c>
      <c r="G111" s="252">
        <v>1255</v>
      </c>
      <c r="H111" s="1"/>
      <c r="I111" s="1">
        <f>COUNTIF(Tabela1[NF],Tabela1[[#This Row],[NF]])</f>
        <v>0</v>
      </c>
      <c r="K111" s="13">
        <f>Tabela1[[#This Row],[DT. VENCIMENTO]]</f>
        <v>45937</v>
      </c>
      <c r="N111" s="14" t="str" cm="1">
        <f t="array" ref="N111">_xlfn.XLOOKUP(TRIM(D111),TRIM(DFC!A:A),DFC!A:A,"NÃO ESTÁ NA DFC")</f>
        <v xml:space="preserve">         SERVIÇO TERCEIRIZADO</v>
      </c>
    </row>
    <row r="112" spans="1:14" customFormat="1" ht="14.4" x14ac:dyDescent="0.3">
      <c r="A112" s="19">
        <v>425981</v>
      </c>
      <c r="B112" s="21">
        <v>45937</v>
      </c>
      <c r="C112" s="21" t="s">
        <v>15</v>
      </c>
      <c r="D112" s="21" t="s">
        <v>19</v>
      </c>
      <c r="E112" s="20"/>
      <c r="F112" s="22" t="s">
        <v>20</v>
      </c>
      <c r="G112" s="252">
        <v>7401</v>
      </c>
      <c r="H112" s="1" t="s">
        <v>71</v>
      </c>
      <c r="I112" s="1">
        <f>COUNTIF(Tabela1[NF],Tabela1[[#This Row],[NF]])</f>
        <v>1</v>
      </c>
      <c r="K112" s="26">
        <f>Tabela1[[#This Row],[DT. VENCIMENTO]]</f>
        <v>45937</v>
      </c>
      <c r="N112" s="14" t="str" cm="1">
        <f t="array" ref="N112">_xlfn.XLOOKUP(TRIM(D112),TRIM(DFC!A:A),DFC!A:A,"NÃO ESTÁ NA DFC")</f>
        <v xml:space="preserve">      PEÇAS</v>
      </c>
    </row>
    <row r="113" spans="1:14" customFormat="1" ht="14.4" x14ac:dyDescent="0.3">
      <c r="A113" s="24"/>
      <c r="B113" s="21">
        <v>45938</v>
      </c>
      <c r="C113" s="21" t="s">
        <v>15</v>
      </c>
      <c r="D113" s="21" t="s">
        <v>82</v>
      </c>
      <c r="E113" s="20" t="s">
        <v>164</v>
      </c>
      <c r="F113" s="22" t="s">
        <v>165</v>
      </c>
      <c r="G113" s="252">
        <v>100</v>
      </c>
      <c r="H113" s="1"/>
      <c r="I113" s="1">
        <f>COUNTIF(Tabela1[NF],Tabela1[[#This Row],[NF]])</f>
        <v>0</v>
      </c>
      <c r="K113" s="13">
        <f>Tabela1[[#This Row],[DT. VENCIMENTO]]</f>
        <v>45938</v>
      </c>
      <c r="N113" s="14" t="str" cm="1">
        <f t="array" ref="N113">_xlfn.XLOOKUP(TRIM(D113),TRIM(DFC!A:A),DFC!A:A,"NÃO ESTÁ NA DFC")</f>
        <v xml:space="preserve">          DIÁRIAS</v>
      </c>
    </row>
    <row r="114" spans="1:14" customFormat="1" ht="14.4" x14ac:dyDescent="0.3">
      <c r="A114" s="19">
        <v>4074</v>
      </c>
      <c r="B114" s="21">
        <v>45938</v>
      </c>
      <c r="C114" s="21" t="s">
        <v>15</v>
      </c>
      <c r="D114" s="21" t="s">
        <v>19</v>
      </c>
      <c r="E114" s="20"/>
      <c r="F114" s="22" t="s">
        <v>58</v>
      </c>
      <c r="G114" s="252">
        <v>4892.1899999999996</v>
      </c>
      <c r="H114" s="1" t="s">
        <v>17</v>
      </c>
      <c r="I114" s="1">
        <f>COUNTIF(Tabela1[NF],Tabela1[[#This Row],[NF]])</f>
        <v>1</v>
      </c>
      <c r="K114" s="13">
        <f>Tabela1[[#This Row],[DT. VENCIMENTO]]</f>
        <v>45938</v>
      </c>
      <c r="N114" s="14" t="str" cm="1">
        <f t="array" ref="N114">_xlfn.XLOOKUP(TRIM(D114),TRIM(DFC!A:A),DFC!A:A,"NÃO ESTÁ NA DFC")</f>
        <v xml:space="preserve">      PEÇAS</v>
      </c>
    </row>
    <row r="115" spans="1:14" customFormat="1" ht="14.4" x14ac:dyDescent="0.3">
      <c r="A115" s="25">
        <v>45901</v>
      </c>
      <c r="B115" s="21">
        <v>45938</v>
      </c>
      <c r="C115" s="21" t="s">
        <v>44</v>
      </c>
      <c r="D115" s="21" t="s">
        <v>119</v>
      </c>
      <c r="E115" s="20"/>
      <c r="F115" s="22" t="s">
        <v>166</v>
      </c>
      <c r="G115" s="252">
        <v>101.45</v>
      </c>
      <c r="H115" s="1" t="s">
        <v>21</v>
      </c>
      <c r="I115" s="1">
        <f>COUNTIF(Tabela1[NF],Tabela1[[#This Row],[NF]])</f>
        <v>9</v>
      </c>
      <c r="J115" t="s">
        <v>167</v>
      </c>
      <c r="K115" s="13">
        <v>45945</v>
      </c>
      <c r="N115" s="14" t="str" cm="1">
        <f t="array" ref="N115">_xlfn.XLOOKUP(TRIM(D115),TRIM(DFC!A:A),DFC!A:A,"NÃO ESTÁ NA DFC")</f>
        <v xml:space="preserve">          SANEPAR</v>
      </c>
    </row>
    <row r="116" spans="1:14" customFormat="1" ht="14.4" x14ac:dyDescent="0.3">
      <c r="A116" s="19">
        <v>3568</v>
      </c>
      <c r="B116" s="21">
        <v>45938</v>
      </c>
      <c r="C116" s="21" t="s">
        <v>15</v>
      </c>
      <c r="D116" s="21" t="s">
        <v>19</v>
      </c>
      <c r="E116" s="20"/>
      <c r="F116" s="22" t="s">
        <v>54</v>
      </c>
      <c r="G116" s="252">
        <v>6996.9</v>
      </c>
      <c r="H116" s="1" t="s">
        <v>25</v>
      </c>
      <c r="I116" s="1">
        <f>COUNTIF(Tabela1[NF],Tabela1[[#This Row],[NF]])</f>
        <v>3</v>
      </c>
      <c r="J116" t="s">
        <v>56</v>
      </c>
      <c r="K116" s="13">
        <f>Tabela1[[#This Row],[DT. VENCIMENTO]]</f>
        <v>45938</v>
      </c>
      <c r="N116" s="14" t="str" cm="1">
        <f t="array" ref="N116">_xlfn.XLOOKUP(TRIM(D116),TRIM(DFC!A:A),DFC!A:A,"NÃO ESTÁ NA DFC")</f>
        <v xml:space="preserve">      PEÇAS</v>
      </c>
    </row>
    <row r="117" spans="1:14" customFormat="1" ht="14.4" x14ac:dyDescent="0.3">
      <c r="A117" s="19">
        <v>4066</v>
      </c>
      <c r="B117" s="21">
        <v>45938</v>
      </c>
      <c r="C117" s="21" t="s">
        <v>15</v>
      </c>
      <c r="D117" s="21" t="s">
        <v>19</v>
      </c>
      <c r="E117" s="20"/>
      <c r="F117" s="22" t="s">
        <v>58</v>
      </c>
      <c r="G117" s="252">
        <v>2242.2600000000002</v>
      </c>
      <c r="H117" s="1" t="s">
        <v>17</v>
      </c>
      <c r="I117" s="1">
        <f>COUNTIF(Tabela1[NF],Tabela1[[#This Row],[NF]])</f>
        <v>1</v>
      </c>
      <c r="K117" s="13">
        <f>Tabela1[[#This Row],[DT. VENCIMENTO]]</f>
        <v>45938</v>
      </c>
      <c r="N117" s="14" t="str" cm="1">
        <f t="array" ref="N117">_xlfn.XLOOKUP(TRIM(D117),TRIM(DFC!A:A),DFC!A:A,"NÃO ESTÁ NA DFC")</f>
        <v xml:space="preserve">      PEÇAS</v>
      </c>
    </row>
    <row r="118" spans="1:14" customFormat="1" ht="14.4" x14ac:dyDescent="0.3">
      <c r="A118" s="19">
        <v>4073</v>
      </c>
      <c r="B118" s="21">
        <v>45938</v>
      </c>
      <c r="C118" s="21" t="s">
        <v>15</v>
      </c>
      <c r="D118" s="21" t="s">
        <v>19</v>
      </c>
      <c r="E118" s="20"/>
      <c r="F118" s="22" t="s">
        <v>58</v>
      </c>
      <c r="G118" s="252">
        <v>999.36</v>
      </c>
      <c r="H118" s="1" t="s">
        <v>21</v>
      </c>
      <c r="I118" s="1">
        <f>COUNTIF(Tabela1[NF],Tabela1[[#This Row],[NF]])</f>
        <v>1</v>
      </c>
      <c r="K118" s="13">
        <f>Tabela1[[#This Row],[DT. VENCIMENTO]]</f>
        <v>45938</v>
      </c>
      <c r="N118" s="14" t="str" cm="1">
        <f t="array" ref="N118">_xlfn.XLOOKUP(TRIM(D118),TRIM(DFC!A:A),DFC!A:A,"NÃO ESTÁ NA DFC")</f>
        <v xml:space="preserve">      PEÇAS</v>
      </c>
    </row>
    <row r="119" spans="1:14" customFormat="1" ht="14.4" x14ac:dyDescent="0.3">
      <c r="A119" s="19">
        <v>162915</v>
      </c>
      <c r="B119" s="21">
        <v>45938</v>
      </c>
      <c r="C119" s="21" t="s">
        <v>15</v>
      </c>
      <c r="D119" s="21" t="s">
        <v>154</v>
      </c>
      <c r="E119" s="20"/>
      <c r="F119" s="22" t="s">
        <v>64</v>
      </c>
      <c r="G119" s="252">
        <v>2657.11</v>
      </c>
      <c r="H119" s="1" t="s">
        <v>17</v>
      </c>
      <c r="I119" s="1">
        <f>COUNTIF(Tabela1[NF],Tabela1[[#This Row],[NF]])</f>
        <v>3</v>
      </c>
      <c r="K119" s="13">
        <f>Tabela1[[#This Row],[DT. VENCIMENTO]]</f>
        <v>45938</v>
      </c>
      <c r="N119" s="14" t="str" cm="1">
        <f t="array" ref="N119">_xlfn.XLOOKUP(TRIM(D119),TRIM(DFC!A:A),DFC!A:A,"NÃO ESTÁ NA DFC")</f>
        <v xml:space="preserve">      EMBALAGENS</v>
      </c>
    </row>
    <row r="120" spans="1:14" customFormat="1" ht="14.4" x14ac:dyDescent="0.3">
      <c r="A120" s="23">
        <v>45931</v>
      </c>
      <c r="B120" s="21">
        <v>45938</v>
      </c>
      <c r="C120" s="21" t="s">
        <v>15</v>
      </c>
      <c r="D120" s="21" t="s">
        <v>111</v>
      </c>
      <c r="E120" s="20"/>
      <c r="F120" s="22" t="s">
        <v>112</v>
      </c>
      <c r="G120" s="252">
        <v>20.170000000000002</v>
      </c>
      <c r="H120" s="1"/>
      <c r="I120" s="1">
        <f>COUNTIF(Tabela1[NF],Tabela1[[#This Row],[NF]])</f>
        <v>23</v>
      </c>
      <c r="K120" s="13">
        <f>Tabela1[[#This Row],[DT. VENCIMENTO]]</f>
        <v>45938</v>
      </c>
      <c r="N120" s="14" t="str" cm="1">
        <f t="array" ref="N120">_xlfn.XLOOKUP(TRIM(D120),TRIM(DFC!A:A),DFC!A:A,"NÃO ESTÁ NA DFC")</f>
        <v xml:space="preserve">          TX. BANCÁRIA</v>
      </c>
    </row>
    <row r="121" spans="1:14" customFormat="1" ht="14.4" x14ac:dyDescent="0.3">
      <c r="A121" s="24"/>
      <c r="B121" s="21">
        <v>45938</v>
      </c>
      <c r="C121" s="21" t="s">
        <v>15</v>
      </c>
      <c r="D121" s="21" t="s">
        <v>138</v>
      </c>
      <c r="E121" s="20"/>
      <c r="F121" s="22" t="s">
        <v>168</v>
      </c>
      <c r="G121" s="252">
        <v>135</v>
      </c>
      <c r="H121" s="1"/>
      <c r="I121" s="1">
        <f>COUNTIF(Tabela1[NF],Tabela1[[#This Row],[NF]])</f>
        <v>0</v>
      </c>
      <c r="K121" s="13">
        <f>Tabela1[[#This Row],[DT. VENCIMENTO]]</f>
        <v>45938</v>
      </c>
      <c r="N121" s="14" t="str" cm="1">
        <f t="array" ref="N121">_xlfn.XLOOKUP(TRIM(D121),TRIM(DFC!A:A),DFC!A:A,"NÃO ESTÁ NA DFC")</f>
        <v xml:space="preserve">      TRANSPORTE - PAGAMENTO ENTREGA</v>
      </c>
    </row>
    <row r="122" spans="1:14" customFormat="1" ht="14.4" x14ac:dyDescent="0.3">
      <c r="A122" s="24"/>
      <c r="B122" s="21">
        <v>45938</v>
      </c>
      <c r="C122" s="21" t="s">
        <v>15</v>
      </c>
      <c r="D122" s="21" t="s">
        <v>19</v>
      </c>
      <c r="E122" s="20" t="s">
        <v>169</v>
      </c>
      <c r="F122" s="22" t="s">
        <v>103</v>
      </c>
      <c r="G122" s="252">
        <v>20167.37</v>
      </c>
      <c r="H122" s="1"/>
      <c r="I122" s="1">
        <f>COUNTIF(Tabela1[NF],Tabela1[[#This Row],[NF]])</f>
        <v>0</v>
      </c>
      <c r="K122" s="13">
        <f>Tabela1[[#This Row],[DT. VENCIMENTO]]</f>
        <v>45938</v>
      </c>
      <c r="N122" s="14" t="str" cm="1">
        <f t="array" ref="N122">_xlfn.XLOOKUP(TRIM(D122),TRIM(DFC!A:A),DFC!A:A,"NÃO ESTÁ NA DFC")</f>
        <v xml:space="preserve">      PEÇAS</v>
      </c>
    </row>
    <row r="123" spans="1:14" customFormat="1" ht="14.4" x14ac:dyDescent="0.3">
      <c r="A123" s="19">
        <v>446085</v>
      </c>
      <c r="B123" s="21">
        <v>45938</v>
      </c>
      <c r="C123" s="21" t="s">
        <v>15</v>
      </c>
      <c r="D123" s="21" t="s">
        <v>19</v>
      </c>
      <c r="E123" s="20"/>
      <c r="F123" s="22" t="s">
        <v>20</v>
      </c>
      <c r="G123" s="252">
        <v>13436.35</v>
      </c>
      <c r="H123" s="1" t="s">
        <v>21</v>
      </c>
      <c r="I123" s="1">
        <f>COUNTIF(Tabela1[NF],Tabela1[[#This Row],[NF]])</f>
        <v>1</v>
      </c>
      <c r="K123" s="26">
        <f>Tabela1[[#This Row],[DT. VENCIMENTO]]</f>
        <v>45938</v>
      </c>
      <c r="N123" s="14" t="str" cm="1">
        <f t="array" ref="N123">_xlfn.XLOOKUP(TRIM(D123),TRIM(DFC!A:A),DFC!A:A,"NÃO ESTÁ NA DFC")</f>
        <v xml:space="preserve">      PEÇAS</v>
      </c>
    </row>
    <row r="124" spans="1:14" customFormat="1" ht="14.4" x14ac:dyDescent="0.3">
      <c r="A124" s="19">
        <v>459967</v>
      </c>
      <c r="B124" s="21">
        <v>45938</v>
      </c>
      <c r="C124" s="21" t="s">
        <v>15</v>
      </c>
      <c r="D124" s="21" t="s">
        <v>19</v>
      </c>
      <c r="E124" s="20"/>
      <c r="F124" s="22" t="s">
        <v>20</v>
      </c>
      <c r="G124" s="252">
        <v>592</v>
      </c>
      <c r="H124" s="1" t="s">
        <v>59</v>
      </c>
      <c r="I124" s="1">
        <f>COUNTIF(Tabela1[NF],Tabela1[[#This Row],[NF]])</f>
        <v>1</v>
      </c>
      <c r="K124" s="26">
        <f>Tabela1[[#This Row],[DT. VENCIMENTO]]</f>
        <v>45938</v>
      </c>
      <c r="N124" s="14" t="str" cm="1">
        <f t="array" ref="N124">_xlfn.XLOOKUP(TRIM(D124),TRIM(DFC!A:A),DFC!A:A,"NÃO ESTÁ NA DFC")</f>
        <v xml:space="preserve">      PEÇAS</v>
      </c>
    </row>
    <row r="125" spans="1:14" customFormat="1" ht="14.4" x14ac:dyDescent="0.3">
      <c r="A125" s="19">
        <v>953</v>
      </c>
      <c r="B125" s="21">
        <v>45939</v>
      </c>
      <c r="C125" s="21" t="s">
        <v>15</v>
      </c>
      <c r="D125" s="21" t="s">
        <v>19</v>
      </c>
      <c r="E125" s="20"/>
      <c r="F125" s="22" t="s">
        <v>170</v>
      </c>
      <c r="G125" s="252">
        <v>8134.96</v>
      </c>
      <c r="H125" s="1" t="s">
        <v>17</v>
      </c>
      <c r="I125" s="1">
        <f>COUNTIF(Tabela1[NF],Tabela1[[#This Row],[NF]])</f>
        <v>1</v>
      </c>
      <c r="K125" s="13">
        <f>Tabela1[[#This Row],[DT. VENCIMENTO]]</f>
        <v>45939</v>
      </c>
      <c r="N125" s="14" t="str" cm="1">
        <f t="array" ref="N125">_xlfn.XLOOKUP(TRIM(D125),TRIM(DFC!A:A),DFC!A:A,"NÃO ESTÁ NA DFC")</f>
        <v xml:space="preserve">      PEÇAS</v>
      </c>
    </row>
    <row r="126" spans="1:14" customFormat="1" ht="14.4" x14ac:dyDescent="0.3">
      <c r="A126" s="19">
        <v>975</v>
      </c>
      <c r="B126" s="21">
        <v>45939</v>
      </c>
      <c r="C126" s="21" t="s">
        <v>15</v>
      </c>
      <c r="D126" s="21" t="s">
        <v>19</v>
      </c>
      <c r="E126" s="20"/>
      <c r="F126" s="22" t="s">
        <v>74</v>
      </c>
      <c r="G126" s="252">
        <v>2361.27</v>
      </c>
      <c r="H126" s="1" t="s">
        <v>52</v>
      </c>
      <c r="I126" s="1">
        <f>COUNTIF(Tabela1[NF],Tabela1[[#This Row],[NF]])</f>
        <v>2</v>
      </c>
      <c r="K126" s="13">
        <f>Tabela1[[#This Row],[DT. VENCIMENTO]]</f>
        <v>45939</v>
      </c>
      <c r="N126" s="14" t="str" cm="1">
        <f t="array" ref="N126">_xlfn.XLOOKUP(TRIM(D126),TRIM(DFC!A:A),DFC!A:A,"NÃO ESTÁ NA DFC")</f>
        <v xml:space="preserve">      PEÇAS</v>
      </c>
    </row>
    <row r="127" spans="1:14" customFormat="1" ht="14.4" x14ac:dyDescent="0.3">
      <c r="A127" s="19">
        <v>2942</v>
      </c>
      <c r="B127" s="21">
        <v>45939</v>
      </c>
      <c r="C127" s="21" t="s">
        <v>15</v>
      </c>
      <c r="D127" s="21" t="s">
        <v>19</v>
      </c>
      <c r="E127" s="20"/>
      <c r="F127" s="22" t="s">
        <v>171</v>
      </c>
      <c r="G127" s="252">
        <v>4166.66</v>
      </c>
      <c r="H127" s="1" t="s">
        <v>17</v>
      </c>
      <c r="I127" s="1">
        <f>COUNTIF(Tabela1[NF],Tabela1[[#This Row],[NF]])</f>
        <v>2</v>
      </c>
      <c r="K127" s="13">
        <f>Tabela1[[#This Row],[DT. VENCIMENTO]]</f>
        <v>45939</v>
      </c>
      <c r="N127" s="14" t="str" cm="1">
        <f t="array" ref="N127">_xlfn.XLOOKUP(TRIM(D127),TRIM(DFC!A:A),DFC!A:A,"NÃO ESTÁ NA DFC")</f>
        <v xml:space="preserve">      PEÇAS</v>
      </c>
    </row>
    <row r="128" spans="1:14" customFormat="1" ht="14.4" x14ac:dyDescent="0.3">
      <c r="A128" s="19">
        <v>2942</v>
      </c>
      <c r="B128" s="21">
        <v>45939</v>
      </c>
      <c r="C128" s="21" t="s">
        <v>15</v>
      </c>
      <c r="D128" s="21" t="s">
        <v>19</v>
      </c>
      <c r="E128" s="20"/>
      <c r="F128" s="22" t="s">
        <v>42</v>
      </c>
      <c r="G128" s="252">
        <v>12499.99</v>
      </c>
      <c r="H128" s="1">
        <v>1</v>
      </c>
      <c r="I128" s="1">
        <f>COUNTIF(Tabela1[NF],Tabela1[[#This Row],[NF]])</f>
        <v>2</v>
      </c>
      <c r="J128" t="s">
        <v>84</v>
      </c>
      <c r="K128" s="13">
        <f>Tabela1[[#This Row],[DT. VENCIMENTO]]</f>
        <v>45939</v>
      </c>
      <c r="N128" s="14" t="str" cm="1">
        <f t="array" ref="N128">_xlfn.XLOOKUP(TRIM(D128),TRIM(DFC!A:A),DFC!A:A,"NÃO ESTÁ NA DFC")</f>
        <v xml:space="preserve">      PEÇAS</v>
      </c>
    </row>
    <row r="129" spans="1:14" customFormat="1" ht="14.4" x14ac:dyDescent="0.3">
      <c r="A129" s="19">
        <v>7385</v>
      </c>
      <c r="B129" s="21">
        <v>45939</v>
      </c>
      <c r="C129" s="21" t="s">
        <v>15</v>
      </c>
      <c r="D129" s="21" t="s">
        <v>19</v>
      </c>
      <c r="E129" s="20"/>
      <c r="F129" s="22" t="s">
        <v>74</v>
      </c>
      <c r="G129" s="252">
        <v>1011.97</v>
      </c>
      <c r="H129" s="1" t="s">
        <v>52</v>
      </c>
      <c r="I129" s="1">
        <f>COUNTIF(Tabela1[NF],Tabela1[[#This Row],[NF]])</f>
        <v>2</v>
      </c>
      <c r="K129" s="13">
        <f>Tabela1[[#This Row],[DT. VENCIMENTO]]</f>
        <v>45939</v>
      </c>
      <c r="N129" s="14" t="str" cm="1">
        <f t="array" ref="N129">_xlfn.XLOOKUP(TRIM(D129),TRIM(DFC!A:A),DFC!A:A,"NÃO ESTÁ NA DFC")</f>
        <v xml:space="preserve">      PEÇAS</v>
      </c>
    </row>
    <row r="130" spans="1:14" customFormat="1" ht="14.4" x14ac:dyDescent="0.3">
      <c r="A130" s="24"/>
      <c r="B130" s="21">
        <v>45939</v>
      </c>
      <c r="C130" s="21" t="s">
        <v>15</v>
      </c>
      <c r="D130" s="21" t="s">
        <v>19</v>
      </c>
      <c r="E130" s="20"/>
      <c r="F130" s="22" t="s">
        <v>172</v>
      </c>
      <c r="G130" s="252">
        <v>24404.880000000001</v>
      </c>
      <c r="H130" s="1"/>
      <c r="I130" s="1">
        <f>COUNTIF(Tabela1[NF],Tabela1[[#This Row],[NF]])</f>
        <v>0</v>
      </c>
      <c r="K130" s="13">
        <f>Tabela1[[#This Row],[DT. VENCIMENTO]]</f>
        <v>45939</v>
      </c>
      <c r="N130" s="14" t="str" cm="1">
        <f t="array" ref="N130">_xlfn.XLOOKUP(TRIM(D130),TRIM(DFC!A:A),DFC!A:A,"NÃO ESTÁ NA DFC")</f>
        <v xml:space="preserve">      PEÇAS</v>
      </c>
    </row>
    <row r="131" spans="1:14" customFormat="1" ht="14.4" x14ac:dyDescent="0.3">
      <c r="A131" s="24"/>
      <c r="B131" s="21">
        <v>45939</v>
      </c>
      <c r="C131" s="21" t="s">
        <v>15</v>
      </c>
      <c r="D131" s="21" t="s">
        <v>19</v>
      </c>
      <c r="E131" s="20"/>
      <c r="F131" s="22" t="s">
        <v>173</v>
      </c>
      <c r="G131" s="252">
        <v>387</v>
      </c>
      <c r="H131" s="1"/>
      <c r="I131" s="1">
        <f>COUNTIF(Tabela1[NF],Tabela1[[#This Row],[NF]])</f>
        <v>0</v>
      </c>
      <c r="K131" s="13">
        <f>Tabela1[[#This Row],[DT. VENCIMENTO]]</f>
        <v>45939</v>
      </c>
      <c r="N131" s="14" t="str" cm="1">
        <f t="array" ref="N131">_xlfn.XLOOKUP(TRIM(D131),TRIM(DFC!A:A),DFC!A:A,"NÃO ESTÁ NA DFC")</f>
        <v xml:space="preserve">      PEÇAS</v>
      </c>
    </row>
    <row r="132" spans="1:14" customFormat="1" ht="14.4" x14ac:dyDescent="0.3">
      <c r="A132" s="24"/>
      <c r="B132" s="21">
        <v>45939</v>
      </c>
      <c r="C132" s="21" t="s">
        <v>15</v>
      </c>
      <c r="D132" s="21" t="s">
        <v>19</v>
      </c>
      <c r="E132" s="20"/>
      <c r="F132" s="22" t="s">
        <v>173</v>
      </c>
      <c r="G132" s="252">
        <v>114.68</v>
      </c>
      <c r="H132" s="1"/>
      <c r="I132" s="1">
        <f>COUNTIF(Tabela1[NF],Tabela1[[#This Row],[NF]])</f>
        <v>0</v>
      </c>
      <c r="K132" s="13">
        <f>Tabela1[[#This Row],[DT. VENCIMENTO]]</f>
        <v>45939</v>
      </c>
      <c r="N132" s="14" t="str" cm="1">
        <f t="array" ref="N132">_xlfn.XLOOKUP(TRIM(D132),TRIM(DFC!A:A),DFC!A:A,"NÃO ESTÁ NA DFC")</f>
        <v xml:space="preserve">      PEÇAS</v>
      </c>
    </row>
    <row r="133" spans="1:14" customFormat="1" ht="14.4" x14ac:dyDescent="0.3">
      <c r="A133" s="24"/>
      <c r="B133" s="21">
        <v>45939</v>
      </c>
      <c r="C133" s="21" t="s">
        <v>15</v>
      </c>
      <c r="D133" s="21" t="s">
        <v>19</v>
      </c>
      <c r="E133" s="20"/>
      <c r="F133" s="22" t="s">
        <v>122</v>
      </c>
      <c r="G133" s="252">
        <v>181.34</v>
      </c>
      <c r="H133" s="1"/>
      <c r="I133" s="1">
        <f>COUNTIF(Tabela1[NF],Tabela1[[#This Row],[NF]])</f>
        <v>0</v>
      </c>
      <c r="K133" s="13">
        <f>Tabela1[[#This Row],[DT. VENCIMENTO]]</f>
        <v>45939</v>
      </c>
      <c r="N133" s="14" t="str" cm="1">
        <f t="array" ref="N133">_xlfn.XLOOKUP(TRIM(D133),TRIM(DFC!A:A),DFC!A:A,"NÃO ESTÁ NA DFC")</f>
        <v xml:space="preserve">      PEÇAS</v>
      </c>
    </row>
    <row r="134" spans="1:14" customFormat="1" ht="14.4" x14ac:dyDescent="0.3">
      <c r="A134" s="24"/>
      <c r="B134" s="21">
        <v>45939</v>
      </c>
      <c r="C134" s="21" t="s">
        <v>15</v>
      </c>
      <c r="D134" s="21" t="s">
        <v>19</v>
      </c>
      <c r="E134" s="20" t="s">
        <v>174</v>
      </c>
      <c r="F134" s="22" t="s">
        <v>103</v>
      </c>
      <c r="G134" s="252">
        <v>7333.32</v>
      </c>
      <c r="H134" s="1"/>
      <c r="I134" s="1">
        <f>COUNTIF(Tabela1[NF],Tabela1[[#This Row],[NF]])</f>
        <v>0</v>
      </c>
      <c r="K134" s="13">
        <f>Tabela1[[#This Row],[DT. VENCIMENTO]]</f>
        <v>45939</v>
      </c>
      <c r="N134" s="14" t="str" cm="1">
        <f t="array" ref="N134">_xlfn.XLOOKUP(TRIM(D134),TRIM(DFC!A:A),DFC!A:A,"NÃO ESTÁ NA DFC")</f>
        <v xml:space="preserve">      PEÇAS</v>
      </c>
    </row>
    <row r="135" spans="1:14" customFormat="1" ht="14.4" x14ac:dyDescent="0.3">
      <c r="A135" s="24"/>
      <c r="B135" s="21">
        <v>45940</v>
      </c>
      <c r="C135" s="21" t="s">
        <v>15</v>
      </c>
      <c r="D135" s="21" t="s">
        <v>123</v>
      </c>
      <c r="E135" s="20" t="s">
        <v>175</v>
      </c>
      <c r="F135" s="22" t="s">
        <v>176</v>
      </c>
      <c r="G135" s="252">
        <v>165.2</v>
      </c>
      <c r="H135" s="1"/>
      <c r="I135" s="1">
        <f>COUNTIF(Tabela1[NF],Tabela1[[#This Row],[NF]])</f>
        <v>0</v>
      </c>
      <c r="K135" s="13">
        <f>Tabela1[[#This Row],[DT. VENCIMENTO]]</f>
        <v>45940</v>
      </c>
      <c r="N135" s="14" t="str" cm="1">
        <f t="array" ref="N135">_xlfn.XLOOKUP(TRIM(D135),TRIM(DFC!A:A),DFC!A:A,"NÃO ESTÁ NA DFC")</f>
        <v xml:space="preserve">          SEGURO DE VIDA</v>
      </c>
    </row>
    <row r="136" spans="1:14" customFormat="1" ht="14.4" x14ac:dyDescent="0.3">
      <c r="A136" s="25">
        <v>45901</v>
      </c>
      <c r="B136" s="21">
        <v>45940</v>
      </c>
      <c r="C136" s="21" t="s">
        <v>44</v>
      </c>
      <c r="D136" s="21" t="s">
        <v>78</v>
      </c>
      <c r="E136" s="20"/>
      <c r="F136" s="22" t="s">
        <v>177</v>
      </c>
      <c r="G136" s="252">
        <v>616.69000000000005</v>
      </c>
      <c r="H136" s="1" t="s">
        <v>21</v>
      </c>
      <c r="I136" s="1">
        <f>COUNTIF(Tabela1[NF],Tabela1[[#This Row],[NF]])</f>
        <v>9</v>
      </c>
      <c r="J136" t="s">
        <v>178</v>
      </c>
      <c r="K136" s="13">
        <v>45945</v>
      </c>
      <c r="N136" s="14" t="str" cm="1">
        <f t="array" ref="N136">_xlfn.XLOOKUP(TRIM(D136),TRIM(DFC!A:A),DFC!A:A,"NÃO ESTÁ NA DFC")</f>
        <v xml:space="preserve">          COPEL</v>
      </c>
    </row>
    <row r="137" spans="1:14" customFormat="1" ht="14.4" x14ac:dyDescent="0.3">
      <c r="A137" s="19">
        <v>7476</v>
      </c>
      <c r="B137" s="21">
        <v>45940</v>
      </c>
      <c r="C137" s="21" t="s">
        <v>15</v>
      </c>
      <c r="D137" s="21" t="s">
        <v>19</v>
      </c>
      <c r="E137" s="20"/>
      <c r="F137" s="22" t="s">
        <v>58</v>
      </c>
      <c r="G137" s="252">
        <v>422.28</v>
      </c>
      <c r="H137" s="1" t="s">
        <v>59</v>
      </c>
      <c r="I137" s="1">
        <f>COUNTIF(Tabela1[NF],Tabela1[[#This Row],[NF]])</f>
        <v>1</v>
      </c>
      <c r="K137" s="13">
        <f>Tabela1[[#This Row],[DT. VENCIMENTO]]</f>
        <v>45940</v>
      </c>
      <c r="N137" s="14" t="str" cm="1">
        <f t="array" ref="N137">_xlfn.XLOOKUP(TRIM(D137),TRIM(DFC!A:A),DFC!A:A,"NÃO ESTÁ NA DFC")</f>
        <v xml:space="preserve">      PEÇAS</v>
      </c>
    </row>
    <row r="138" spans="1:14" customFormat="1" ht="14.4" x14ac:dyDescent="0.3">
      <c r="A138" s="19">
        <v>9613</v>
      </c>
      <c r="B138" s="21">
        <v>45940</v>
      </c>
      <c r="C138" s="21" t="s">
        <v>15</v>
      </c>
      <c r="D138" s="21" t="s">
        <v>37</v>
      </c>
      <c r="E138" s="20"/>
      <c r="F138" s="22" t="s">
        <v>179</v>
      </c>
      <c r="G138" s="252">
        <v>394.99</v>
      </c>
      <c r="H138" s="1" t="s">
        <v>21</v>
      </c>
      <c r="I138" s="1">
        <f>COUNTIF(Tabela1[NF],Tabela1[[#This Row],[NF]])</f>
        <v>1</v>
      </c>
      <c r="K138" s="13">
        <f>Tabela1[[#This Row],[DT. VENCIMENTO]]</f>
        <v>45940</v>
      </c>
      <c r="N138" s="14" t="str" cm="1">
        <f t="array" ref="N138">_xlfn.XLOOKUP(TRIM(D138),TRIM(DFC!A:A),DFC!A:A,"NÃO ESTÁ NA DFC")</f>
        <v xml:space="preserve">          MATERIAL DE ESCRITÓRIO</v>
      </c>
    </row>
    <row r="139" spans="1:14" customFormat="1" ht="14.4" x14ac:dyDescent="0.3">
      <c r="A139" s="19">
        <v>147480</v>
      </c>
      <c r="B139" s="21">
        <v>45940</v>
      </c>
      <c r="C139" s="21" t="s">
        <v>15</v>
      </c>
      <c r="D139" s="21" t="s">
        <v>154</v>
      </c>
      <c r="E139" s="20"/>
      <c r="F139" s="22" t="s">
        <v>180</v>
      </c>
      <c r="G139" s="252">
        <v>1107.5999999999999</v>
      </c>
      <c r="H139" s="1" t="s">
        <v>17</v>
      </c>
      <c r="I139" s="1">
        <f>COUNTIF(Tabela1[NF],Tabela1[[#This Row],[NF]])</f>
        <v>3</v>
      </c>
      <c r="K139" s="13">
        <f>Tabela1[[#This Row],[DT. VENCIMENTO]]</f>
        <v>45940</v>
      </c>
      <c r="N139" s="14" t="str" cm="1">
        <f t="array" ref="N139">_xlfn.XLOOKUP(TRIM(D139),TRIM(DFC!A:A),DFC!A:A,"NÃO ESTÁ NA DFC")</f>
        <v xml:space="preserve">      EMBALAGENS</v>
      </c>
    </row>
    <row r="140" spans="1:14" customFormat="1" ht="14.4" x14ac:dyDescent="0.3">
      <c r="A140" s="19">
        <v>153949</v>
      </c>
      <c r="B140" s="21">
        <v>45940</v>
      </c>
      <c r="C140" s="21" t="s">
        <v>15</v>
      </c>
      <c r="D140" s="21" t="s">
        <v>19</v>
      </c>
      <c r="E140" s="20"/>
      <c r="F140" s="22" t="s">
        <v>70</v>
      </c>
      <c r="G140" s="252">
        <v>3464.21</v>
      </c>
      <c r="H140" s="1" t="s">
        <v>55</v>
      </c>
      <c r="I140" s="1">
        <f>COUNTIF(Tabela1[NF],Tabela1[[#This Row],[NF]])</f>
        <v>1</v>
      </c>
      <c r="K140" s="13">
        <f>Tabela1[[#This Row],[DT. VENCIMENTO]]</f>
        <v>45940</v>
      </c>
      <c r="N140" s="14" t="str" cm="1">
        <f t="array" ref="N140">_xlfn.XLOOKUP(TRIM(D140),TRIM(DFC!A:A),DFC!A:A,"NÃO ESTÁ NA DFC")</f>
        <v xml:space="preserve">      PEÇAS</v>
      </c>
    </row>
    <row r="141" spans="1:14" customFormat="1" ht="14.4" x14ac:dyDescent="0.3">
      <c r="A141" s="19"/>
      <c r="B141" s="21">
        <v>45940</v>
      </c>
      <c r="C141" s="21" t="s">
        <v>15</v>
      </c>
      <c r="D141" s="21" t="s">
        <v>40</v>
      </c>
      <c r="E141" s="20" t="s">
        <v>181</v>
      </c>
      <c r="F141" s="22" t="s">
        <v>182</v>
      </c>
      <c r="G141" s="252">
        <v>120</v>
      </c>
      <c r="H141" s="1" t="s">
        <v>21</v>
      </c>
      <c r="I141" s="1">
        <f>COUNTIF(Tabela1[NF],Tabela1[[#This Row],[NF]])</f>
        <v>0</v>
      </c>
      <c r="J141" t="s">
        <v>84</v>
      </c>
      <c r="K141" s="13">
        <f>Tabela1[[#This Row],[DT. VENCIMENTO]]</f>
        <v>45940</v>
      </c>
      <c r="N141" s="14" t="str" cm="1">
        <f t="array" ref="N141">_xlfn.XLOOKUP(TRIM(D141),TRIM(DFC!A:A),DFC!A:A,"NÃO ESTÁ NA DFC")</f>
        <v xml:space="preserve">         SERVIÇO TERCEIRIZADO</v>
      </c>
    </row>
    <row r="142" spans="1:14" customFormat="1" ht="14.4" x14ac:dyDescent="0.3">
      <c r="A142" s="23">
        <v>45931</v>
      </c>
      <c r="B142" s="21">
        <v>45940</v>
      </c>
      <c r="C142" s="21" t="s">
        <v>15</v>
      </c>
      <c r="D142" s="21" t="s">
        <v>111</v>
      </c>
      <c r="E142" s="20"/>
      <c r="F142" s="22" t="s">
        <v>112</v>
      </c>
      <c r="G142" s="252">
        <v>7.33</v>
      </c>
      <c r="H142" s="1"/>
      <c r="I142" s="1">
        <f>COUNTIF(Tabela1[NF],Tabela1[[#This Row],[NF]])</f>
        <v>23</v>
      </c>
      <c r="K142" s="13">
        <f>Tabela1[[#This Row],[DT. VENCIMENTO]]</f>
        <v>45940</v>
      </c>
      <c r="N142" s="14" t="str" cm="1">
        <f t="array" ref="N142">_xlfn.XLOOKUP(TRIM(D142),TRIM(DFC!A:A),DFC!A:A,"NÃO ESTÁ NA DFC")</f>
        <v xml:space="preserve">          TX. BANCÁRIA</v>
      </c>
    </row>
    <row r="143" spans="1:14" customFormat="1" ht="14.4" x14ac:dyDescent="0.3">
      <c r="A143" s="23">
        <v>45931</v>
      </c>
      <c r="B143" s="21">
        <v>45940</v>
      </c>
      <c r="C143" s="21" t="s">
        <v>15</v>
      </c>
      <c r="D143" s="21" t="s">
        <v>27</v>
      </c>
      <c r="E143" s="20"/>
      <c r="F143" s="22" t="s">
        <v>183</v>
      </c>
      <c r="G143" s="252">
        <v>2093.3200000000002</v>
      </c>
      <c r="H143" s="1"/>
      <c r="I143" s="1">
        <f>COUNTIF(Tabela1[NF],Tabela1[[#This Row],[NF]])</f>
        <v>23</v>
      </c>
      <c r="K143" s="13">
        <f>Tabela1[[#This Row],[DT. VENCIMENTO]]</f>
        <v>45940</v>
      </c>
      <c r="N143" s="14" t="str" cm="1">
        <f t="array" ref="N143">_xlfn.XLOOKUP(TRIM(D143),TRIM(DFC!A:A),DFC!A:A,"NÃO ESTÁ NA DFC")</f>
        <v xml:space="preserve">         ERP</v>
      </c>
    </row>
    <row r="144" spans="1:14" customFormat="1" ht="14.4" x14ac:dyDescent="0.3">
      <c r="A144" s="23">
        <v>45931</v>
      </c>
      <c r="B144" s="21">
        <v>45940</v>
      </c>
      <c r="C144" s="21" t="s">
        <v>15</v>
      </c>
      <c r="D144" s="21" t="s">
        <v>41</v>
      </c>
      <c r="E144" s="20"/>
      <c r="F144" s="22" t="s">
        <v>184</v>
      </c>
      <c r="G144" s="252">
        <v>229.5</v>
      </c>
      <c r="H144" s="1"/>
      <c r="I144" s="1">
        <f>COUNTIF(Tabela1[NF],Tabela1[[#This Row],[NF]])</f>
        <v>23</v>
      </c>
      <c r="K144" s="13">
        <f>Tabela1[[#This Row],[DT. VENCIMENTO]]</f>
        <v>45940</v>
      </c>
      <c r="N144" s="14" t="str" cm="1">
        <f t="array" ref="N144">_xlfn.XLOOKUP(TRIM(D144),TRIM(DFC!A:A),DFC!A:A,"NÃO ESTÁ NA DFC")</f>
        <v xml:space="preserve">         T.I</v>
      </c>
    </row>
    <row r="145" spans="1:14" customFormat="1" ht="14.4" x14ac:dyDescent="0.3">
      <c r="A145" s="23">
        <v>45931</v>
      </c>
      <c r="B145" s="21">
        <v>45940</v>
      </c>
      <c r="C145" s="21" t="s">
        <v>15</v>
      </c>
      <c r="D145" s="21" t="s">
        <v>111</v>
      </c>
      <c r="E145" s="20"/>
      <c r="F145" s="22" t="s">
        <v>185</v>
      </c>
      <c r="G145" s="252">
        <v>53.76</v>
      </c>
      <c r="H145" s="1"/>
      <c r="I145" s="1">
        <f>COUNTIF(Tabela1[NF],Tabela1[[#This Row],[NF]])</f>
        <v>23</v>
      </c>
      <c r="K145" s="13">
        <v>45940</v>
      </c>
      <c r="N145" s="14" t="str" cm="1">
        <f t="array" ref="N145">_xlfn.XLOOKUP(TRIM(D145),TRIM(DFC!A:A),DFC!A:A,"NÃO ESTÁ NA DFC")</f>
        <v xml:space="preserve">          TX. BANCÁRIA</v>
      </c>
    </row>
    <row r="146" spans="1:14" customFormat="1" ht="14.4" x14ac:dyDescent="0.3">
      <c r="A146" s="24"/>
      <c r="B146" s="21">
        <v>45940</v>
      </c>
      <c r="C146" s="21" t="s">
        <v>15</v>
      </c>
      <c r="D146" s="21" t="s">
        <v>19</v>
      </c>
      <c r="E146" s="20"/>
      <c r="F146" s="22" t="s">
        <v>186</v>
      </c>
      <c r="G146" s="252">
        <v>519.09</v>
      </c>
      <c r="H146" s="1"/>
      <c r="I146" s="1">
        <f>COUNTIF(Tabela1[NF],Tabela1[[#This Row],[NF]])</f>
        <v>0</v>
      </c>
      <c r="K146" s="13">
        <f>Tabela1[[#This Row],[DT. VENCIMENTO]]</f>
        <v>45940</v>
      </c>
      <c r="N146" s="14" t="str" cm="1">
        <f t="array" ref="N146">_xlfn.XLOOKUP(TRIM(D146),TRIM(DFC!A:A),DFC!A:A,"NÃO ESTÁ NA DFC")</f>
        <v xml:space="preserve">      PEÇAS</v>
      </c>
    </row>
    <row r="147" spans="1:14" customFormat="1" ht="14.4" x14ac:dyDescent="0.3">
      <c r="A147" s="24"/>
      <c r="B147" s="21">
        <v>45940</v>
      </c>
      <c r="C147" s="21" t="s">
        <v>15</v>
      </c>
      <c r="D147" s="21" t="s">
        <v>19</v>
      </c>
      <c r="E147" s="20"/>
      <c r="F147" s="22" t="s">
        <v>187</v>
      </c>
      <c r="G147" s="252">
        <v>210</v>
      </c>
      <c r="H147" s="1"/>
      <c r="I147" s="1">
        <f>COUNTIF(Tabela1[NF],Tabela1[[#This Row],[NF]])</f>
        <v>0</v>
      </c>
      <c r="K147" s="13">
        <f>Tabela1[[#This Row],[DT. VENCIMENTO]]</f>
        <v>45940</v>
      </c>
      <c r="N147" s="14" t="str" cm="1">
        <f t="array" ref="N147">_xlfn.XLOOKUP(TRIM(D147),TRIM(DFC!A:A),DFC!A:A,"NÃO ESTÁ NA DFC")</f>
        <v xml:space="preserve">      PEÇAS</v>
      </c>
    </row>
    <row r="148" spans="1:14" customFormat="1" ht="14.4" x14ac:dyDescent="0.3">
      <c r="A148" s="24"/>
      <c r="B148" s="21">
        <v>45940</v>
      </c>
      <c r="C148" s="21" t="s">
        <v>15</v>
      </c>
      <c r="D148" s="21" t="s">
        <v>98</v>
      </c>
      <c r="E148" s="20"/>
      <c r="F148" s="22" t="s">
        <v>188</v>
      </c>
      <c r="G148" s="252">
        <v>15</v>
      </c>
      <c r="H148" s="1"/>
      <c r="I148" s="1">
        <f>COUNTIF(Tabela1[NF],Tabela1[[#This Row],[NF]])</f>
        <v>0</v>
      </c>
      <c r="K148" s="13">
        <f>Tabela1[[#This Row],[DT. VENCIMENTO]]</f>
        <v>45940</v>
      </c>
      <c r="N148" s="14" t="str" cm="1">
        <f t="array" ref="N148">_xlfn.XLOOKUP(TRIM(D148),TRIM(DFC!A:A),DFC!A:A,"NÃO ESTÁ NA DFC")</f>
        <v xml:space="preserve">     REEMBOLSO SAC</v>
      </c>
    </row>
    <row r="149" spans="1:14" customFormat="1" ht="14.4" x14ac:dyDescent="0.3">
      <c r="A149" s="24">
        <v>6249</v>
      </c>
      <c r="B149" s="21">
        <v>45941</v>
      </c>
      <c r="C149" s="21" t="s">
        <v>15</v>
      </c>
      <c r="D149" s="21" t="s">
        <v>19</v>
      </c>
      <c r="E149" s="20"/>
      <c r="F149" s="22" t="s">
        <v>189</v>
      </c>
      <c r="G149" s="252">
        <v>2272.1999999999998</v>
      </c>
      <c r="H149" s="1" t="s">
        <v>21</v>
      </c>
      <c r="I149" s="1">
        <f>COUNTIF(Tabela1[NF],Tabela1[[#This Row],[NF]])</f>
        <v>2</v>
      </c>
      <c r="J149" t="s">
        <v>84</v>
      </c>
      <c r="K149" s="13">
        <v>45943</v>
      </c>
      <c r="N149" s="14" t="str" cm="1">
        <f t="array" ref="N149">_xlfn.XLOOKUP(TRIM(D149),TRIM(DFC!A:A),DFC!A:A,"NÃO ESTÁ NA DFC")</f>
        <v xml:space="preserve">      PEÇAS</v>
      </c>
    </row>
    <row r="150" spans="1:14" customFormat="1" ht="14.4" x14ac:dyDescent="0.3">
      <c r="A150" s="24">
        <v>222391</v>
      </c>
      <c r="B150" s="21">
        <v>45941</v>
      </c>
      <c r="C150" s="21" t="s">
        <v>15</v>
      </c>
      <c r="D150" s="21" t="s">
        <v>19</v>
      </c>
      <c r="E150" s="20"/>
      <c r="F150" s="22" t="s">
        <v>48</v>
      </c>
      <c r="G150" s="252">
        <v>1105.83</v>
      </c>
      <c r="H150" s="1" t="s">
        <v>49</v>
      </c>
      <c r="I150" s="1">
        <f>COUNTIF(Tabela1[NF],Tabela1[[#This Row],[NF]])</f>
        <v>1</v>
      </c>
      <c r="K150" s="13">
        <v>45943</v>
      </c>
      <c r="N150" s="14" t="str" cm="1">
        <f t="array" ref="N150">_xlfn.XLOOKUP(TRIM(D150),TRIM(DFC!A:A),DFC!A:A,"NÃO ESTÁ NA DFC")</f>
        <v xml:space="preserve">      PEÇAS</v>
      </c>
    </row>
    <row r="151" spans="1:14" customFormat="1" ht="14.4" x14ac:dyDescent="0.3">
      <c r="A151" s="19">
        <v>144683</v>
      </c>
      <c r="B151" s="21">
        <v>45941</v>
      </c>
      <c r="C151" s="21" t="s">
        <v>15</v>
      </c>
      <c r="D151" s="21" t="s">
        <v>19</v>
      </c>
      <c r="E151" s="20"/>
      <c r="F151" s="22" t="s">
        <v>70</v>
      </c>
      <c r="G151" s="252">
        <v>1849.2</v>
      </c>
      <c r="H151" s="1" t="s">
        <v>71</v>
      </c>
      <c r="I151" s="1">
        <f>COUNTIF(Tabela1[NF],Tabela1[[#This Row],[NF]])</f>
        <v>1</v>
      </c>
      <c r="K151" s="13">
        <v>45943</v>
      </c>
      <c r="N151" s="14" t="str" cm="1">
        <f t="array" ref="N151">_xlfn.XLOOKUP(TRIM(D151),TRIM(DFC!A:A),DFC!A:A,"NÃO ESTÁ NA DFC")</f>
        <v xml:space="preserve">      PEÇAS</v>
      </c>
    </row>
    <row r="152" spans="1:14" customFormat="1" ht="14.4" x14ac:dyDescent="0.3">
      <c r="A152" s="19">
        <v>426940</v>
      </c>
      <c r="B152" s="21">
        <v>45941</v>
      </c>
      <c r="C152" s="21" t="s">
        <v>15</v>
      </c>
      <c r="D152" s="21" t="s">
        <v>19</v>
      </c>
      <c r="E152" s="20"/>
      <c r="F152" s="22" t="s">
        <v>20</v>
      </c>
      <c r="G152" s="252">
        <v>7760</v>
      </c>
      <c r="H152" s="1" t="s">
        <v>71</v>
      </c>
      <c r="I152" s="1">
        <f>COUNTIF(Tabela1[NF],Tabela1[[#This Row],[NF]])</f>
        <v>1</v>
      </c>
      <c r="K152" s="26">
        <v>45943</v>
      </c>
      <c r="N152" s="14" t="str" cm="1">
        <f t="array" ref="N152">_xlfn.XLOOKUP(TRIM(D152),TRIM(DFC!A:A),DFC!A:A,"NÃO ESTÁ NA DFC")</f>
        <v xml:space="preserve">      PEÇAS</v>
      </c>
    </row>
    <row r="153" spans="1:14" customFormat="1" ht="14.4" x14ac:dyDescent="0.3">
      <c r="A153" s="19">
        <v>9641</v>
      </c>
      <c r="B153" s="21">
        <v>45942</v>
      </c>
      <c r="C153" s="21" t="s">
        <v>15</v>
      </c>
      <c r="D153" s="21" t="s">
        <v>37</v>
      </c>
      <c r="E153" s="20"/>
      <c r="F153" s="22" t="s">
        <v>179</v>
      </c>
      <c r="G153" s="252">
        <v>370</v>
      </c>
      <c r="H153" s="1" t="s">
        <v>21</v>
      </c>
      <c r="I153" s="1">
        <f>COUNTIF(Tabela1[NF],Tabela1[[#This Row],[NF]])</f>
        <v>1</v>
      </c>
      <c r="K153" s="13">
        <v>45943</v>
      </c>
      <c r="N153" s="14" t="str" cm="1">
        <f t="array" ref="N153">_xlfn.XLOOKUP(TRIM(D153),TRIM(DFC!A:A),DFC!A:A,"NÃO ESTÁ NA DFC")</f>
        <v xml:space="preserve">          MATERIAL DE ESCRITÓRIO</v>
      </c>
    </row>
    <row r="154" spans="1:14" customFormat="1" ht="14.4" x14ac:dyDescent="0.3">
      <c r="A154" s="19">
        <v>432061</v>
      </c>
      <c r="B154" s="21">
        <v>45942</v>
      </c>
      <c r="C154" s="21" t="s">
        <v>15</v>
      </c>
      <c r="D154" s="21" t="s">
        <v>19</v>
      </c>
      <c r="E154" s="20"/>
      <c r="F154" s="22" t="s">
        <v>20</v>
      </c>
      <c r="G154" s="252">
        <v>10029</v>
      </c>
      <c r="H154" s="1" t="s">
        <v>87</v>
      </c>
      <c r="I154" s="1">
        <f>COUNTIF(Tabela1[NF],Tabela1[[#This Row],[NF]])</f>
        <v>2</v>
      </c>
      <c r="K154" s="26">
        <v>45943</v>
      </c>
      <c r="N154" s="14" t="str" cm="1">
        <f t="array" ref="N154">_xlfn.XLOOKUP(TRIM(D154),TRIM(DFC!A:A),DFC!A:A,"NÃO ESTÁ NA DFC")</f>
        <v xml:space="preserve">      PEÇAS</v>
      </c>
    </row>
    <row r="155" spans="1:14" customFormat="1" ht="14.4" x14ac:dyDescent="0.3">
      <c r="A155" s="19">
        <v>438008</v>
      </c>
      <c r="B155" s="21">
        <v>45942</v>
      </c>
      <c r="C155" s="21" t="s">
        <v>15</v>
      </c>
      <c r="D155" s="21" t="s">
        <v>19</v>
      </c>
      <c r="E155" s="20"/>
      <c r="F155" s="22" t="s">
        <v>20</v>
      </c>
      <c r="G155" s="252">
        <v>2850</v>
      </c>
      <c r="H155" s="1" t="s">
        <v>93</v>
      </c>
      <c r="I155" s="1">
        <f>COUNTIF(Tabela1[NF],Tabela1[[#This Row],[NF]])</f>
        <v>4</v>
      </c>
      <c r="K155" s="26">
        <v>45943</v>
      </c>
      <c r="N155" s="14" t="str" cm="1">
        <f t="array" ref="N155">_xlfn.XLOOKUP(TRIM(D155),TRIM(DFC!A:A),DFC!A:A,"NÃO ESTÁ NA DFC")</f>
        <v xml:space="preserve">      PEÇAS</v>
      </c>
    </row>
    <row r="156" spans="1:14" customFormat="1" ht="14.4" x14ac:dyDescent="0.3">
      <c r="A156" s="19">
        <v>444777</v>
      </c>
      <c r="B156" s="21">
        <v>45942</v>
      </c>
      <c r="C156" s="21" t="s">
        <v>15</v>
      </c>
      <c r="D156" s="21" t="s">
        <v>19</v>
      </c>
      <c r="E156" s="20"/>
      <c r="F156" s="22" t="s">
        <v>20</v>
      </c>
      <c r="G156" s="252">
        <v>2945.58</v>
      </c>
      <c r="H156" s="1" t="s">
        <v>108</v>
      </c>
      <c r="I156" s="1">
        <f>COUNTIF(Tabela1[NF],Tabela1[[#This Row],[NF]])</f>
        <v>4</v>
      </c>
      <c r="K156" s="26">
        <v>45943</v>
      </c>
      <c r="N156" s="14" t="str" cm="1">
        <f t="array" ref="N156">_xlfn.XLOOKUP(TRIM(D156),TRIM(DFC!A:A),DFC!A:A,"NÃO ESTÁ NA DFC")</f>
        <v xml:space="preserve">      PEÇAS</v>
      </c>
    </row>
    <row r="157" spans="1:14" customFormat="1" ht="14.4" x14ac:dyDescent="0.3">
      <c r="A157" s="24">
        <v>7486</v>
      </c>
      <c r="B157" s="21">
        <v>45943</v>
      </c>
      <c r="C157" s="21" t="s">
        <v>15</v>
      </c>
      <c r="D157" s="21" t="s">
        <v>19</v>
      </c>
      <c r="E157" s="20"/>
      <c r="F157" s="22" t="s">
        <v>58</v>
      </c>
      <c r="G157" s="252">
        <v>4093.88</v>
      </c>
      <c r="H157" s="1" t="s">
        <v>59</v>
      </c>
      <c r="I157" s="1">
        <f>COUNTIF(Tabela1[NF],Tabela1[[#This Row],[NF]])</f>
        <v>1</v>
      </c>
      <c r="K157" s="13">
        <f>Tabela1[[#This Row],[DT. VENCIMENTO]]</f>
        <v>45943</v>
      </c>
      <c r="N157" s="14" t="str" cm="1">
        <f t="array" ref="N157">_xlfn.XLOOKUP(TRIM(D157),TRIM(DFC!A:A),DFC!A:A,"NÃO ESTÁ NA DFC")</f>
        <v xml:space="preserve">      PEÇAS</v>
      </c>
    </row>
    <row r="158" spans="1:14" customFormat="1" ht="14.4" x14ac:dyDescent="0.3">
      <c r="A158" s="23">
        <v>45931</v>
      </c>
      <c r="B158" s="21">
        <v>45943</v>
      </c>
      <c r="C158" s="21" t="s">
        <v>15</v>
      </c>
      <c r="D158" s="21" t="s">
        <v>82</v>
      </c>
      <c r="E158" s="20"/>
      <c r="F158" s="22" t="s">
        <v>190</v>
      </c>
      <c r="G158" s="252">
        <f>3181.5+800</f>
        <v>3981.5</v>
      </c>
      <c r="H158" s="1"/>
      <c r="I158" s="1">
        <f>COUNTIF(Tabela1[NF],Tabela1[[#This Row],[NF]])</f>
        <v>23</v>
      </c>
      <c r="K158" s="13">
        <v>45943</v>
      </c>
      <c r="N158" s="14" t="str" cm="1">
        <f t="array" ref="N158">_xlfn.XLOOKUP(TRIM(D158),TRIM(DFC!A:A),DFC!A:A,"NÃO ESTÁ NA DFC")</f>
        <v xml:space="preserve">          DIÁRIAS</v>
      </c>
    </row>
    <row r="159" spans="1:14" customFormat="1" ht="14.4" x14ac:dyDescent="0.3">
      <c r="A159" s="19">
        <v>3542</v>
      </c>
      <c r="B159" s="21">
        <v>45943</v>
      </c>
      <c r="C159" s="21" t="s">
        <v>15</v>
      </c>
      <c r="D159" s="21" t="s">
        <v>19</v>
      </c>
      <c r="E159" s="20"/>
      <c r="F159" s="22" t="s">
        <v>54</v>
      </c>
      <c r="G159" s="252">
        <v>3773.18</v>
      </c>
      <c r="H159" s="1" t="s">
        <v>191</v>
      </c>
      <c r="I159" s="1">
        <f>COUNTIF(Tabela1[NF],Tabela1[[#This Row],[NF]])</f>
        <v>1</v>
      </c>
      <c r="J159" t="s">
        <v>84</v>
      </c>
      <c r="K159" s="13">
        <f>Tabela1[[#This Row],[DT. VENCIMENTO]]</f>
        <v>45943</v>
      </c>
      <c r="N159" s="14" t="str" cm="1">
        <f t="array" ref="N159">_xlfn.XLOOKUP(TRIM(D159),TRIM(DFC!A:A),DFC!A:A,"NÃO ESTÁ NA DFC")</f>
        <v xml:space="preserve">      PEÇAS</v>
      </c>
    </row>
    <row r="160" spans="1:14" customFormat="1" ht="14.4" x14ac:dyDescent="0.3">
      <c r="A160" s="19">
        <v>121102</v>
      </c>
      <c r="B160" s="21">
        <v>45943</v>
      </c>
      <c r="C160" s="21" t="s">
        <v>15</v>
      </c>
      <c r="D160" s="21" t="s">
        <v>19</v>
      </c>
      <c r="E160" s="20"/>
      <c r="F160" s="22" t="s">
        <v>61</v>
      </c>
      <c r="G160" s="252">
        <v>2403.44</v>
      </c>
      <c r="H160" s="1" t="s">
        <v>62</v>
      </c>
      <c r="I160" s="1">
        <f>COUNTIF(Tabela1[NF],Tabela1[[#This Row],[NF]])</f>
        <v>2</v>
      </c>
      <c r="K160" s="13">
        <f>Tabela1[[#This Row],[DT. VENCIMENTO]]</f>
        <v>45943</v>
      </c>
      <c r="N160" s="14" t="str" cm="1">
        <f t="array" ref="N160">_xlfn.XLOOKUP(TRIM(D160),TRIM(DFC!A:A),DFC!A:A,"NÃO ESTÁ NA DFC")</f>
        <v xml:space="preserve">      PEÇAS</v>
      </c>
    </row>
    <row r="161" spans="1:14" customFormat="1" ht="14.4" x14ac:dyDescent="0.3">
      <c r="A161" s="19">
        <v>147967</v>
      </c>
      <c r="B161" s="21">
        <v>45943</v>
      </c>
      <c r="C161" s="21" t="s">
        <v>15</v>
      </c>
      <c r="D161" s="21" t="s">
        <v>19</v>
      </c>
      <c r="E161" s="20"/>
      <c r="F161" s="22" t="s">
        <v>70</v>
      </c>
      <c r="G161" s="252">
        <v>2496</v>
      </c>
      <c r="H161" s="1" t="s">
        <v>87</v>
      </c>
      <c r="I161" s="1">
        <f>COUNTIF(Tabela1[NF],Tabela1[[#This Row],[NF]])</f>
        <v>1</v>
      </c>
      <c r="K161" s="13">
        <f>Tabela1[[#This Row],[DT. VENCIMENTO]]</f>
        <v>45943</v>
      </c>
      <c r="N161" s="14" t="str" cm="1">
        <f t="array" ref="N161">_xlfn.XLOOKUP(TRIM(D161),TRIM(DFC!A:A),DFC!A:A,"NÃO ESTÁ NA DFC")</f>
        <v xml:space="preserve">      PEÇAS</v>
      </c>
    </row>
    <row r="162" spans="1:14" customFormat="1" ht="14.4" x14ac:dyDescent="0.3">
      <c r="A162" s="19">
        <v>148115</v>
      </c>
      <c r="B162" s="21">
        <v>45943</v>
      </c>
      <c r="C162" s="21" t="s">
        <v>15</v>
      </c>
      <c r="D162" s="21" t="s">
        <v>19</v>
      </c>
      <c r="E162" s="20"/>
      <c r="F162" s="22" t="s">
        <v>70</v>
      </c>
      <c r="G162" s="252">
        <v>1278</v>
      </c>
      <c r="H162" s="1" t="s">
        <v>87</v>
      </c>
      <c r="I162" s="1">
        <f>COUNTIF(Tabela1[NF],Tabela1[[#This Row],[NF]])</f>
        <v>1</v>
      </c>
      <c r="K162" s="13">
        <f>Tabela1[[#This Row],[DT. VENCIMENTO]]</f>
        <v>45943</v>
      </c>
      <c r="N162" s="14" t="str" cm="1">
        <f t="array" ref="N162">_xlfn.XLOOKUP(TRIM(D162),TRIM(DFC!A:A),DFC!A:A,"NÃO ESTÁ NA DFC")</f>
        <v xml:space="preserve">      PEÇAS</v>
      </c>
    </row>
    <row r="163" spans="1:14" customFormat="1" ht="14.4" x14ac:dyDescent="0.3">
      <c r="A163" s="19">
        <v>1048249</v>
      </c>
      <c r="B163" s="21">
        <v>45943</v>
      </c>
      <c r="C163" s="21" t="s">
        <v>15</v>
      </c>
      <c r="D163" s="21" t="s">
        <v>19</v>
      </c>
      <c r="E163" s="20"/>
      <c r="F163" s="22" t="s">
        <v>192</v>
      </c>
      <c r="G163" s="252">
        <v>4276.42</v>
      </c>
      <c r="H163" s="1" t="s">
        <v>21</v>
      </c>
      <c r="I163" s="1">
        <f>COUNTIF(Tabela1[NF],Tabela1[[#This Row],[NF]])</f>
        <v>1</v>
      </c>
      <c r="J163" t="s">
        <v>84</v>
      </c>
      <c r="K163" s="13">
        <f>Tabela1[[#This Row],[DT. VENCIMENTO]]</f>
        <v>45943</v>
      </c>
      <c r="N163" s="14" t="str" cm="1">
        <f t="array" ref="N163">_xlfn.XLOOKUP(TRIM(D163),TRIM(DFC!A:A),DFC!A:A,"NÃO ESTÁ NA DFC")</f>
        <v xml:space="preserve">      PEÇAS</v>
      </c>
    </row>
    <row r="164" spans="1:14" customFormat="1" ht="14.4" x14ac:dyDescent="0.3">
      <c r="A164" s="19">
        <v>2222391</v>
      </c>
      <c r="B164" s="21">
        <v>45943</v>
      </c>
      <c r="C164" s="21" t="s">
        <v>15</v>
      </c>
      <c r="D164" s="21" t="s">
        <v>19</v>
      </c>
      <c r="E164" s="20"/>
      <c r="F164" s="22" t="s">
        <v>48</v>
      </c>
      <c r="G164" s="252">
        <v>1105.83</v>
      </c>
      <c r="H164" s="1" t="s">
        <v>21</v>
      </c>
      <c r="I164" s="1">
        <f>COUNTIF(Tabela1[NF],Tabela1[[#This Row],[NF]])</f>
        <v>1</v>
      </c>
      <c r="J164" t="s">
        <v>84</v>
      </c>
      <c r="K164" s="26">
        <f>Tabela1[[#This Row],[DT. VENCIMENTO]]</f>
        <v>45943</v>
      </c>
      <c r="N164" s="14" t="str" cm="1">
        <f t="array" ref="N164">_xlfn.XLOOKUP(TRIM(D164),TRIM(DFC!A:A),DFC!A:A,"NÃO ESTÁ NA DFC")</f>
        <v xml:space="preserve">      PEÇAS</v>
      </c>
    </row>
    <row r="165" spans="1:14" customFormat="1" ht="14.4" x14ac:dyDescent="0.3">
      <c r="A165" s="24"/>
      <c r="B165" s="21">
        <v>45943</v>
      </c>
      <c r="C165" s="21" t="s">
        <v>15</v>
      </c>
      <c r="D165" s="21" t="s">
        <v>57</v>
      </c>
      <c r="E165" s="20" t="s">
        <v>193</v>
      </c>
      <c r="F165" s="22" t="s">
        <v>194</v>
      </c>
      <c r="G165" s="252">
        <v>140</v>
      </c>
      <c r="H165" s="1"/>
      <c r="I165" s="1">
        <f>COUNTIF(Tabela1[NF],Tabela1[[#This Row],[NF]])</f>
        <v>0</v>
      </c>
      <c r="K165" s="13">
        <f>Tabela1[[#This Row],[DT. VENCIMENTO]]</f>
        <v>45943</v>
      </c>
      <c r="N165" s="14" t="str" cm="1">
        <f t="array" ref="N165">_xlfn.XLOOKUP(TRIM(D165),TRIM(DFC!A:A),DFC!A:A,"NÃO ESTÁ NA DFC")</f>
        <v xml:space="preserve">          ALIMENTAÇÃO</v>
      </c>
    </row>
    <row r="166" spans="1:14" customFormat="1" ht="14.4" x14ac:dyDescent="0.3">
      <c r="A166" s="24"/>
      <c r="B166" s="21">
        <v>45943</v>
      </c>
      <c r="C166" s="21" t="s">
        <v>15</v>
      </c>
      <c r="D166" s="21" t="s">
        <v>19</v>
      </c>
      <c r="E166" s="20"/>
      <c r="F166" s="22" t="s">
        <v>195</v>
      </c>
      <c r="G166" s="252">
        <v>691.11</v>
      </c>
      <c r="H166" s="1"/>
      <c r="I166" s="1">
        <f>COUNTIF(Tabela1[NF],Tabela1[[#This Row],[NF]])</f>
        <v>0</v>
      </c>
      <c r="K166" s="13">
        <f>Tabela1[[#This Row],[DT. VENCIMENTO]]</f>
        <v>45943</v>
      </c>
      <c r="N166" s="14" t="str" cm="1">
        <f t="array" ref="N166">_xlfn.XLOOKUP(TRIM(D166),TRIM(DFC!A:A),DFC!A:A,"NÃO ESTÁ NA DFC")</f>
        <v xml:space="preserve">      PEÇAS</v>
      </c>
    </row>
    <row r="167" spans="1:14" customFormat="1" ht="14.4" x14ac:dyDescent="0.3">
      <c r="A167" s="24"/>
      <c r="B167" s="21">
        <v>45943</v>
      </c>
      <c r="C167" s="21" t="s">
        <v>15</v>
      </c>
      <c r="D167" s="21" t="s">
        <v>19</v>
      </c>
      <c r="E167" s="20"/>
      <c r="F167" s="22" t="s">
        <v>126</v>
      </c>
      <c r="G167" s="252">
        <v>2100</v>
      </c>
      <c r="H167" s="1"/>
      <c r="I167" s="1">
        <f>COUNTIF(Tabela1[NF],Tabela1[[#This Row],[NF]])</f>
        <v>0</v>
      </c>
      <c r="K167" s="13">
        <f>Tabela1[[#This Row],[DT. VENCIMENTO]]</f>
        <v>45943</v>
      </c>
      <c r="N167" s="14" t="str" cm="1">
        <f t="array" ref="N167">_xlfn.XLOOKUP(TRIM(D167),TRIM(DFC!A:A),DFC!A:A,"NÃO ESTÁ NA DFC")</f>
        <v xml:space="preserve">      PEÇAS</v>
      </c>
    </row>
    <row r="168" spans="1:14" customFormat="1" ht="14.4" x14ac:dyDescent="0.3">
      <c r="A168" s="24"/>
      <c r="B168" s="21">
        <v>45943</v>
      </c>
      <c r="C168" s="21" t="s">
        <v>15</v>
      </c>
      <c r="D168" s="21" t="s">
        <v>196</v>
      </c>
      <c r="E168" s="20" t="s">
        <v>197</v>
      </c>
      <c r="F168" s="22" t="s">
        <v>198</v>
      </c>
      <c r="G168" s="252">
        <v>840</v>
      </c>
      <c r="H168" s="1"/>
      <c r="I168" s="1">
        <f>COUNTIF(Tabela1[NF],Tabela1[[#This Row],[NF]])</f>
        <v>0</v>
      </c>
      <c r="K168" s="13">
        <f>Tabela1[[#This Row],[DT. VENCIMENTO]]</f>
        <v>45943</v>
      </c>
      <c r="N168" s="14" t="str" cm="1">
        <f t="array" ref="N168">_xlfn.XLOOKUP(TRIM(D168),TRIM(DFC!A:A),DFC!A:A,"NÃO ESTÁ NA DFC")</f>
        <v xml:space="preserve">          EMPILHADEIRA</v>
      </c>
    </row>
    <row r="169" spans="1:14" customFormat="1" ht="14.4" x14ac:dyDescent="0.3">
      <c r="A169" s="24"/>
      <c r="B169" s="21">
        <v>45943</v>
      </c>
      <c r="C169" s="21" t="s">
        <v>15</v>
      </c>
      <c r="D169" s="21" t="s">
        <v>79</v>
      </c>
      <c r="E169" s="20" t="s">
        <v>199</v>
      </c>
      <c r="F169" s="22" t="s">
        <v>161</v>
      </c>
      <c r="G169" s="252">
        <v>130</v>
      </c>
      <c r="H169" s="1"/>
      <c r="I169" s="1">
        <f>COUNTIF(Tabela1[NF],Tabela1[[#This Row],[NF]])</f>
        <v>0</v>
      </c>
      <c r="K169" s="13">
        <f>Tabela1[[#This Row],[DT. VENCIMENTO]]</f>
        <v>45943</v>
      </c>
      <c r="N169" s="14" t="str" cm="1">
        <f t="array" ref="N169">_xlfn.XLOOKUP(TRIM(D169),TRIM(DFC!A:A),DFC!A:A,"NÃO ESTÁ NA DFC")</f>
        <v xml:space="preserve">     DESP DE MARKETING E PROPAGANDA</v>
      </c>
    </row>
    <row r="170" spans="1:14" customFormat="1" ht="14.4" x14ac:dyDescent="0.3">
      <c r="A170" s="24"/>
      <c r="B170" s="21">
        <v>45943</v>
      </c>
      <c r="C170" s="21" t="s">
        <v>15</v>
      </c>
      <c r="D170" s="21" t="s">
        <v>60</v>
      </c>
      <c r="E170" s="20"/>
      <c r="F170" s="22" t="s">
        <v>200</v>
      </c>
      <c r="G170" s="252">
        <v>5805.25</v>
      </c>
      <c r="H170" s="1"/>
      <c r="I170" s="1">
        <f>COUNTIF(Tabela1[NF],Tabela1[[#This Row],[NF]])</f>
        <v>0</v>
      </c>
      <c r="K170" s="13">
        <f>Tabela1[[#This Row],[DT. VENCIMENTO]]</f>
        <v>45943</v>
      </c>
      <c r="N170" s="14" t="str" cm="1">
        <f t="array" ref="N170">_xlfn.XLOOKUP(TRIM(D170),TRIM(DFC!A:A),DFC!A:A,"NÃO ESTÁ NA DFC")</f>
        <v xml:space="preserve">          ALUGUEL</v>
      </c>
    </row>
    <row r="171" spans="1:14" customFormat="1" ht="14.4" x14ac:dyDescent="0.3">
      <c r="A171" s="24"/>
      <c r="B171" s="21">
        <v>45943</v>
      </c>
      <c r="C171" s="21" t="s">
        <v>15</v>
      </c>
      <c r="D171" s="21" t="s">
        <v>104</v>
      </c>
      <c r="E171" s="20"/>
      <c r="F171" s="28" t="s">
        <v>201</v>
      </c>
      <c r="G171" s="252">
        <v>0</v>
      </c>
      <c r="H171" s="1"/>
      <c r="I171" s="1">
        <f>COUNTIF(Tabela1[NF],Tabela1[[#This Row],[NF]])</f>
        <v>0</v>
      </c>
      <c r="K171" s="13">
        <f>Tabela1[[#This Row],[DT. VENCIMENTO]]</f>
        <v>45943</v>
      </c>
      <c r="N171" s="14" t="str" cm="1">
        <f t="array" ref="N171">_xlfn.XLOOKUP(TRIM(D171),TRIM(DFC!A:A),DFC!A:A,"NÃO ESTÁ NA DFC")</f>
        <v xml:space="preserve">          OUTRAS DESPESAS ADMINISTRATIVAS</v>
      </c>
    </row>
    <row r="172" spans="1:14" customFormat="1" ht="28.8" x14ac:dyDescent="0.3">
      <c r="A172" s="19"/>
      <c r="B172" s="21">
        <v>45943</v>
      </c>
      <c r="C172" s="280" t="s">
        <v>202</v>
      </c>
      <c r="D172" s="21" t="s">
        <v>203</v>
      </c>
      <c r="E172" s="20"/>
      <c r="F172" s="22" t="s">
        <v>204</v>
      </c>
      <c r="G172" s="252">
        <v>228.8</v>
      </c>
      <c r="H172" s="1"/>
      <c r="I172" s="1">
        <f>COUNTIF(Tabela1[NF],Tabela1[[#This Row],[NF]])</f>
        <v>0</v>
      </c>
      <c r="K172" s="21">
        <v>45943</v>
      </c>
      <c r="N172" s="14" t="str" cm="1">
        <f t="array" ref="N172">_xlfn.XLOOKUP(TRIM(D172),TRIM(DFC!A:A),DFC!A:A,"NÃO ESTÁ NA DFC")</f>
        <v xml:space="preserve">         ASSINATURAS</v>
      </c>
    </row>
    <row r="173" spans="1:14" customFormat="1" ht="28.8" x14ac:dyDescent="0.3">
      <c r="A173" s="19"/>
      <c r="B173" s="21">
        <v>45943</v>
      </c>
      <c r="C173" s="280" t="s">
        <v>202</v>
      </c>
      <c r="D173" s="21" t="s">
        <v>72</v>
      </c>
      <c r="E173" s="20"/>
      <c r="F173" s="22" t="s">
        <v>204</v>
      </c>
      <c r="G173" s="252">
        <v>526.86</v>
      </c>
      <c r="H173" s="1"/>
      <c r="I173" s="1">
        <f>COUNTIF(Tabela1[NF],Tabela1[[#This Row],[NF]])</f>
        <v>0</v>
      </c>
      <c r="K173" s="21">
        <v>45943</v>
      </c>
      <c r="N173" s="14" t="str" cm="1">
        <f t="array" ref="N173">_xlfn.XLOOKUP(TRIM(D173),TRIM(DFC!A:A),DFC!A:A,"NÃO ESTÁ NA DFC")</f>
        <v xml:space="preserve">          COMBUSTÍVEL</v>
      </c>
    </row>
    <row r="174" spans="1:14" customFormat="1" ht="28.8" x14ac:dyDescent="0.3">
      <c r="A174" s="19"/>
      <c r="B174" s="21">
        <v>45943</v>
      </c>
      <c r="C174" s="280" t="s">
        <v>202</v>
      </c>
      <c r="D174" s="21" t="s">
        <v>18</v>
      </c>
      <c r="E174" s="20"/>
      <c r="F174" s="22" t="s">
        <v>204</v>
      </c>
      <c r="G174" s="252">
        <v>4496.71</v>
      </c>
      <c r="H174" s="1"/>
      <c r="I174" s="1">
        <f>COUNTIF(Tabela1[NF],Tabela1[[#This Row],[NF]])</f>
        <v>0</v>
      </c>
      <c r="K174" s="21">
        <v>45943</v>
      </c>
      <c r="N174" s="14" t="str" cm="1">
        <f t="array" ref="N174">_xlfn.XLOOKUP(TRIM(D174),TRIM(DFC!A:A),DFC!A:A,"NÃO ESTÁ NA DFC")</f>
        <v xml:space="preserve">     COMISSÕES E TAXAS DOS MARKETPLACES</v>
      </c>
    </row>
    <row r="175" spans="1:14" customFormat="1" ht="28.8" x14ac:dyDescent="0.3">
      <c r="A175" s="19"/>
      <c r="B175" s="21">
        <v>45943</v>
      </c>
      <c r="C175" s="280" t="s">
        <v>202</v>
      </c>
      <c r="D175" s="21" t="s">
        <v>205</v>
      </c>
      <c r="E175" s="20"/>
      <c r="F175" s="22" t="s">
        <v>204</v>
      </c>
      <c r="G175" s="252">
        <v>7180.24</v>
      </c>
      <c r="H175" s="1"/>
      <c r="I175" s="1">
        <f>COUNTIF(Tabela1[NF],Tabela1[[#This Row],[NF]])</f>
        <v>0</v>
      </c>
      <c r="K175" s="21">
        <v>45943</v>
      </c>
      <c r="N175" s="14" t="str" cm="1">
        <f t="array" ref="N175">_xlfn.XLOOKUP(TRIM(D175),TRIM(DFC!A:A),DFC!A:A,"NÃO ESTÁ NA DFC")</f>
        <v xml:space="preserve">          DESPESAS DE VIAGEM</v>
      </c>
    </row>
    <row r="176" spans="1:14" customFormat="1" ht="28.8" x14ac:dyDescent="0.3">
      <c r="A176" s="19"/>
      <c r="B176" s="21">
        <v>45943</v>
      </c>
      <c r="C176" s="280" t="s">
        <v>202</v>
      </c>
      <c r="D176" s="21" t="s">
        <v>206</v>
      </c>
      <c r="E176" s="20"/>
      <c r="F176" s="22" t="s">
        <v>204</v>
      </c>
      <c r="G176" s="252">
        <v>290</v>
      </c>
      <c r="H176" s="1"/>
      <c r="I176" s="1">
        <f>COUNTIF(Tabela1[NF],Tabela1[[#This Row],[NF]])</f>
        <v>0</v>
      </c>
      <c r="K176" s="21">
        <v>45943</v>
      </c>
      <c r="N176" s="14" t="str" cm="1">
        <f t="array" ref="N176">_xlfn.XLOOKUP(TRIM(D176),TRIM(DFC!A:A),DFC!A:A,"NÃO ESTÁ NA DFC")</f>
        <v xml:space="preserve">          ESTACIONAMENTO</v>
      </c>
    </row>
    <row r="177" spans="1:14" customFormat="1" ht="28.8" x14ac:dyDescent="0.3">
      <c r="A177" s="19"/>
      <c r="B177" s="21">
        <v>45943</v>
      </c>
      <c r="C177" s="280" t="s">
        <v>202</v>
      </c>
      <c r="D177" s="21" t="s">
        <v>104</v>
      </c>
      <c r="E177" s="20"/>
      <c r="F177" s="22" t="s">
        <v>204</v>
      </c>
      <c r="G177" s="252">
        <v>1109.1300000000001</v>
      </c>
      <c r="H177" s="1"/>
      <c r="I177" s="1">
        <f>COUNTIF(Tabela1[NF],Tabela1[[#This Row],[NF]])</f>
        <v>0</v>
      </c>
      <c r="K177" s="21">
        <v>45943</v>
      </c>
      <c r="N177" s="14" t="str" cm="1">
        <f t="array" ref="N177">_xlfn.XLOOKUP(TRIM(D177),TRIM(DFC!A:A),DFC!A:A,"NÃO ESTÁ NA DFC")</f>
        <v xml:space="preserve">          OUTRAS DESPESAS ADMINISTRATIVAS</v>
      </c>
    </row>
    <row r="178" spans="1:14" customFormat="1" ht="28.8" x14ac:dyDescent="0.3">
      <c r="A178" s="19"/>
      <c r="B178" s="21">
        <v>45943</v>
      </c>
      <c r="C178" s="280" t="s">
        <v>202</v>
      </c>
      <c r="D178" s="21" t="s">
        <v>19</v>
      </c>
      <c r="E178" s="20"/>
      <c r="F178" s="22" t="s">
        <v>204</v>
      </c>
      <c r="G178" s="252">
        <v>10947.04</v>
      </c>
      <c r="H178" s="1"/>
      <c r="I178" s="1">
        <f>COUNTIF(Tabela1[NF],Tabela1[[#This Row],[NF]])</f>
        <v>0</v>
      </c>
      <c r="K178" s="21">
        <v>45943</v>
      </c>
      <c r="N178" s="14" t="str" cm="1">
        <f t="array" ref="N178">_xlfn.XLOOKUP(TRIM(D178),TRIM(DFC!A:A),DFC!A:A,"NÃO ESTÁ NA DFC")</f>
        <v xml:space="preserve">      PEÇAS</v>
      </c>
    </row>
    <row r="179" spans="1:14" customFormat="1" ht="28.8" x14ac:dyDescent="0.3">
      <c r="A179" s="19"/>
      <c r="B179" s="21">
        <v>45943</v>
      </c>
      <c r="C179" s="280" t="s">
        <v>202</v>
      </c>
      <c r="D179" s="21" t="s">
        <v>111</v>
      </c>
      <c r="E179" s="20"/>
      <c r="F179" s="22" t="s">
        <v>204</v>
      </c>
      <c r="G179" s="252">
        <v>28.33</v>
      </c>
      <c r="H179" s="1"/>
      <c r="I179" s="1">
        <f>COUNTIF(Tabela1[NF],Tabela1[[#This Row],[NF]])</f>
        <v>0</v>
      </c>
      <c r="K179" s="21">
        <v>45943</v>
      </c>
      <c r="N179" s="14" t="str" cm="1">
        <f t="array" ref="N179">_xlfn.XLOOKUP(TRIM(D179),TRIM(DFC!A:A),DFC!A:A,"NÃO ESTÁ NA DFC")</f>
        <v xml:space="preserve">          TX. BANCÁRIA</v>
      </c>
    </row>
    <row r="180" spans="1:14" customFormat="1" ht="14.4" x14ac:dyDescent="0.3">
      <c r="A180" s="24">
        <v>8157</v>
      </c>
      <c r="B180" s="21">
        <v>45944</v>
      </c>
      <c r="C180" s="21" t="s">
        <v>15</v>
      </c>
      <c r="D180" s="21" t="s">
        <v>19</v>
      </c>
      <c r="E180" s="20"/>
      <c r="F180" s="22" t="s">
        <v>58</v>
      </c>
      <c r="G180" s="252">
        <v>7134.45</v>
      </c>
      <c r="H180" s="1" t="s">
        <v>17</v>
      </c>
      <c r="I180" s="1">
        <f>COUNTIF(Tabela1[NF],Tabela1[[#This Row],[NF]])</f>
        <v>1</v>
      </c>
      <c r="K180" s="13">
        <f>Tabela1[[#This Row],[DT. VENCIMENTO]]</f>
        <v>45944</v>
      </c>
      <c r="N180" s="14" t="str" cm="1">
        <f t="array" ref="N180">_xlfn.XLOOKUP(TRIM(D180),TRIM(DFC!A:A),DFC!A:A,"NÃO ESTÁ NA DFC")</f>
        <v xml:space="preserve">      PEÇAS</v>
      </c>
    </row>
    <row r="181" spans="1:14" customFormat="1" ht="14.4" x14ac:dyDescent="0.3">
      <c r="A181" s="24">
        <v>10698</v>
      </c>
      <c r="B181" s="21">
        <v>45944</v>
      </c>
      <c r="C181" s="21" t="s">
        <v>15</v>
      </c>
      <c r="D181" s="21" t="s">
        <v>19</v>
      </c>
      <c r="E181" s="20"/>
      <c r="F181" s="22" t="s">
        <v>207</v>
      </c>
      <c r="G181" s="252">
        <v>1506.5</v>
      </c>
      <c r="H181" s="1" t="s">
        <v>21</v>
      </c>
      <c r="I181" s="1">
        <f>COUNTIF(Tabela1[NF],Tabela1[[#This Row],[NF]])</f>
        <v>1</v>
      </c>
      <c r="K181" s="13">
        <f>Tabela1[[#This Row],[DT. VENCIMENTO]]</f>
        <v>45944</v>
      </c>
      <c r="N181" s="14" t="str" cm="1">
        <f t="array" ref="N181">_xlfn.XLOOKUP(TRIM(D181),TRIM(DFC!A:A),DFC!A:A,"NÃO ESTÁ NA DFC")</f>
        <v xml:space="preserve">      PEÇAS</v>
      </c>
    </row>
    <row r="182" spans="1:14" customFormat="1" ht="14.4" x14ac:dyDescent="0.3">
      <c r="A182" s="24">
        <v>70565</v>
      </c>
      <c r="B182" s="21">
        <v>45944</v>
      </c>
      <c r="C182" s="21" t="s">
        <v>15</v>
      </c>
      <c r="D182" s="21" t="s">
        <v>154</v>
      </c>
      <c r="E182" s="20"/>
      <c r="F182" s="22" t="s">
        <v>39</v>
      </c>
      <c r="G182" s="252">
        <v>399.78</v>
      </c>
      <c r="H182" s="1" t="s">
        <v>62</v>
      </c>
      <c r="I182" s="1">
        <f>COUNTIF(Tabela1[NF],Tabela1[[#This Row],[NF]])</f>
        <v>2</v>
      </c>
      <c r="K182" s="13">
        <f>Tabela1[[#This Row],[DT. VENCIMENTO]]</f>
        <v>45944</v>
      </c>
      <c r="N182" s="14" t="str" cm="1">
        <f t="array" ref="N182">_xlfn.XLOOKUP(TRIM(D182),TRIM(DFC!A:A),DFC!A:A,"NÃO ESTÁ NA DFC")</f>
        <v xml:space="preserve">      EMBALAGENS</v>
      </c>
    </row>
    <row r="183" spans="1:14" customFormat="1" ht="14.4" x14ac:dyDescent="0.3">
      <c r="A183" s="19">
        <v>2014</v>
      </c>
      <c r="B183" s="21">
        <v>45944</v>
      </c>
      <c r="C183" s="21" t="s">
        <v>15</v>
      </c>
      <c r="D183" s="21" t="s">
        <v>19</v>
      </c>
      <c r="E183" s="20"/>
      <c r="F183" s="22" t="s">
        <v>74</v>
      </c>
      <c r="G183" s="252">
        <v>1180.6300000000001</v>
      </c>
      <c r="H183" s="1" t="s">
        <v>17</v>
      </c>
      <c r="I183" s="1">
        <f>COUNTIF(Tabela1[NF],Tabela1[[#This Row],[NF]])</f>
        <v>2</v>
      </c>
      <c r="K183" s="13">
        <f>Tabela1[[#This Row],[DT. VENCIMENTO]]</f>
        <v>45944</v>
      </c>
      <c r="N183" s="14" t="str" cm="1">
        <f t="array" ref="N183">_xlfn.XLOOKUP(TRIM(D183),TRIM(DFC!A:A),DFC!A:A,"NÃO ESTÁ NA DFC")</f>
        <v xml:space="preserve">      PEÇAS</v>
      </c>
    </row>
    <row r="184" spans="1:14" customFormat="1" ht="14.4" x14ac:dyDescent="0.3">
      <c r="A184" s="19">
        <v>2913</v>
      </c>
      <c r="B184" s="21">
        <v>45944</v>
      </c>
      <c r="C184" s="21" t="s">
        <v>15</v>
      </c>
      <c r="D184" s="21" t="s">
        <v>154</v>
      </c>
      <c r="E184" s="20"/>
      <c r="F184" s="22" t="s">
        <v>208</v>
      </c>
      <c r="G184" s="252">
        <v>3669.75</v>
      </c>
      <c r="H184" s="1" t="s">
        <v>62</v>
      </c>
      <c r="I184" s="1">
        <f>COUNTIF(Tabela1[NF],Tabela1[[#This Row],[NF]])</f>
        <v>1</v>
      </c>
      <c r="K184" s="13">
        <f>Tabela1[[#This Row],[DT. VENCIMENTO]]</f>
        <v>45944</v>
      </c>
      <c r="N184" s="14" t="str" cm="1">
        <f t="array" ref="N184">_xlfn.XLOOKUP(TRIM(D184),TRIM(DFC!A:A),DFC!A:A,"NÃO ESTÁ NA DFC")</f>
        <v xml:space="preserve">      EMBALAGENS</v>
      </c>
    </row>
    <row r="185" spans="1:14" customFormat="1" ht="14.4" x14ac:dyDescent="0.3">
      <c r="A185" s="19">
        <v>7503</v>
      </c>
      <c r="B185" s="21">
        <v>45944</v>
      </c>
      <c r="C185" s="21" t="s">
        <v>15</v>
      </c>
      <c r="D185" s="21" t="s">
        <v>19</v>
      </c>
      <c r="E185" s="20"/>
      <c r="F185" s="22" t="s">
        <v>74</v>
      </c>
      <c r="G185" s="252">
        <v>505.98</v>
      </c>
      <c r="H185" s="1" t="s">
        <v>17</v>
      </c>
      <c r="I185" s="1">
        <f>COUNTIF(Tabela1[NF],Tabela1[[#This Row],[NF]])</f>
        <v>2</v>
      </c>
      <c r="K185" s="13">
        <f>Tabela1[[#This Row],[DT. VENCIMENTO]]</f>
        <v>45944</v>
      </c>
      <c r="N185" s="14" t="str" cm="1">
        <f t="array" ref="N185">_xlfn.XLOOKUP(TRIM(D185),TRIM(DFC!A:A),DFC!A:A,"NÃO ESTÁ NA DFC")</f>
        <v xml:space="preserve">      PEÇAS</v>
      </c>
    </row>
    <row r="186" spans="1:14" customFormat="1" ht="14.4" x14ac:dyDescent="0.3">
      <c r="A186" s="19">
        <v>7766</v>
      </c>
      <c r="B186" s="21">
        <v>45944</v>
      </c>
      <c r="C186" s="21" t="s">
        <v>15</v>
      </c>
      <c r="D186" s="21" t="s">
        <v>19</v>
      </c>
      <c r="E186" s="20"/>
      <c r="F186" s="22" t="s">
        <v>58</v>
      </c>
      <c r="G186" s="252">
        <v>3438.86</v>
      </c>
      <c r="H186" s="1" t="s">
        <v>36</v>
      </c>
      <c r="I186" s="1">
        <f>COUNTIF(Tabela1[NF],Tabela1[[#This Row],[NF]])</f>
        <v>1</v>
      </c>
      <c r="K186" s="13">
        <f>Tabela1[[#This Row],[DT. VENCIMENTO]]</f>
        <v>45944</v>
      </c>
      <c r="N186" s="14" t="str" cm="1">
        <f t="array" ref="N186">_xlfn.XLOOKUP(TRIM(D186),TRIM(DFC!A:A),DFC!A:A,"NÃO ESTÁ NA DFC")</f>
        <v xml:space="preserve">      PEÇAS</v>
      </c>
    </row>
    <row r="187" spans="1:14" customFormat="1" ht="14.4" x14ac:dyDescent="0.3">
      <c r="A187" s="19">
        <v>146904</v>
      </c>
      <c r="B187" s="21">
        <v>45944</v>
      </c>
      <c r="C187" s="21" t="s">
        <v>15</v>
      </c>
      <c r="D187" s="21" t="s">
        <v>28</v>
      </c>
      <c r="E187" s="20"/>
      <c r="F187" s="22" t="s">
        <v>209</v>
      </c>
      <c r="G187" s="252">
        <v>739</v>
      </c>
      <c r="H187" s="1" t="s">
        <v>62</v>
      </c>
      <c r="I187" s="1">
        <f>COUNTIF(Tabela1[NF],Tabela1[[#This Row],[NF]])</f>
        <v>1</v>
      </c>
      <c r="K187" s="13">
        <f>Tabela1[[#This Row],[DT. VENCIMENTO]]</f>
        <v>45944</v>
      </c>
      <c r="N187" s="14" t="str" cm="1">
        <f t="array" ref="N187">_xlfn.XLOOKUP(TRIM(D187),TRIM(DFC!A:A),DFC!A:A,"NÃO ESTÁ NA DFC")</f>
        <v xml:space="preserve">          FERRAMENTAS PARA MANUTENÇÃO</v>
      </c>
    </row>
    <row r="188" spans="1:14" customFormat="1" ht="14.4" x14ac:dyDescent="0.3">
      <c r="A188" s="24"/>
      <c r="B188" s="21">
        <v>45944</v>
      </c>
      <c r="C188" s="21" t="s">
        <v>15</v>
      </c>
      <c r="D188" s="21" t="s">
        <v>19</v>
      </c>
      <c r="E188" s="20"/>
      <c r="F188" s="22" t="s">
        <v>210</v>
      </c>
      <c r="G188" s="252">
        <v>1765.5</v>
      </c>
      <c r="H188" s="1"/>
      <c r="I188" s="1">
        <f>COUNTIF(Tabela1[NF],Tabela1[[#This Row],[NF]])</f>
        <v>0</v>
      </c>
      <c r="K188" s="13">
        <f>Tabela1[[#This Row],[DT. VENCIMENTO]]</f>
        <v>45944</v>
      </c>
      <c r="N188" s="14" t="str" cm="1">
        <f t="array" ref="N188">_xlfn.XLOOKUP(TRIM(D188),TRIM(DFC!A:A),DFC!A:A,"NÃO ESTÁ NA DFC")</f>
        <v xml:space="preserve">      PEÇAS</v>
      </c>
    </row>
    <row r="189" spans="1:14" customFormat="1" ht="14.4" x14ac:dyDescent="0.3">
      <c r="A189" s="24"/>
      <c r="B189" s="21">
        <v>45944</v>
      </c>
      <c r="C189" s="21" t="s">
        <v>15</v>
      </c>
      <c r="D189" s="21" t="s">
        <v>211</v>
      </c>
      <c r="E189" s="20"/>
      <c r="F189" s="28" t="s">
        <v>212</v>
      </c>
      <c r="G189" s="252">
        <v>120</v>
      </c>
      <c r="H189" s="1"/>
      <c r="I189" s="1">
        <f>COUNTIF(Tabela1[NF],Tabela1[[#This Row],[NF]])</f>
        <v>0</v>
      </c>
      <c r="K189" s="13">
        <f>Tabela1[[#This Row],[DT. VENCIMENTO]]</f>
        <v>45944</v>
      </c>
      <c r="N189" s="14" t="str" cm="1">
        <f t="array" ref="N189">_xlfn.XLOOKUP(TRIM(D189),TRIM(DFC!A:A),DFC!A:A,"NÃO ESTÁ NA DFC")</f>
        <v>NÃO ESTÁ NA DFC</v>
      </c>
    </row>
    <row r="190" spans="1:14" customFormat="1" ht="14.4" x14ac:dyDescent="0.3">
      <c r="A190" s="24">
        <v>517337</v>
      </c>
      <c r="B190" s="21">
        <v>45945</v>
      </c>
      <c r="C190" s="21" t="s">
        <v>15</v>
      </c>
      <c r="D190" s="21" t="s">
        <v>72</v>
      </c>
      <c r="E190" s="20"/>
      <c r="F190" s="22" t="s">
        <v>124</v>
      </c>
      <c r="G190" s="252">
        <v>586.08000000000004</v>
      </c>
      <c r="H190" s="1"/>
      <c r="I190" s="1">
        <f>COUNTIF(Tabela1[NF],Tabela1[[#This Row],[NF]])</f>
        <v>1</v>
      </c>
      <c r="K190" s="13">
        <f>Tabela1[[#This Row],[DT. VENCIMENTO]]</f>
        <v>45945</v>
      </c>
      <c r="N190" s="14" t="str" cm="1">
        <f t="array" ref="N190">_xlfn.XLOOKUP(TRIM(D190),TRIM(DFC!A:A),DFC!A:A,"NÃO ESTÁ NA DFC")</f>
        <v xml:space="preserve">          COMBUSTÍVEL</v>
      </c>
    </row>
    <row r="191" spans="1:14" customFormat="1" ht="14.4" x14ac:dyDescent="0.3">
      <c r="A191" s="19">
        <v>593</v>
      </c>
      <c r="B191" s="21">
        <v>45945</v>
      </c>
      <c r="C191" s="21" t="s">
        <v>15</v>
      </c>
      <c r="D191" s="21" t="s">
        <v>154</v>
      </c>
      <c r="E191" s="20"/>
      <c r="F191" s="22" t="s">
        <v>208</v>
      </c>
      <c r="G191" s="252">
        <v>4655.34</v>
      </c>
      <c r="H191" s="1" t="s">
        <v>213</v>
      </c>
      <c r="I191" s="1">
        <f>COUNTIF(Tabela1[NF],Tabela1[[#This Row],[NF]])</f>
        <v>1</v>
      </c>
      <c r="J191" t="s">
        <v>84</v>
      </c>
      <c r="K191" s="13">
        <f>Tabela1[[#This Row],[DT. VENCIMENTO]]</f>
        <v>45945</v>
      </c>
      <c r="N191" s="14" t="str" cm="1">
        <f t="array" ref="N191">_xlfn.XLOOKUP(TRIM(D191),TRIM(DFC!A:A),DFC!A:A,"NÃO ESTÁ NA DFC")</f>
        <v xml:space="preserve">      EMBALAGENS</v>
      </c>
    </row>
    <row r="192" spans="1:14" customFormat="1" ht="14.4" x14ac:dyDescent="0.3">
      <c r="A192" s="19">
        <v>14872</v>
      </c>
      <c r="B192" s="21">
        <v>45945</v>
      </c>
      <c r="C192" s="21" t="s">
        <v>15</v>
      </c>
      <c r="D192" s="21" t="s">
        <v>19</v>
      </c>
      <c r="E192" s="20"/>
      <c r="F192" s="22" t="s">
        <v>16</v>
      </c>
      <c r="G192" s="252">
        <v>1439.8</v>
      </c>
      <c r="H192" s="1" t="s">
        <v>59</v>
      </c>
      <c r="I192" s="1">
        <f>COUNTIF(Tabela1[NF],Tabela1[[#This Row],[NF]])</f>
        <v>3</v>
      </c>
      <c r="K192" s="26">
        <f>Tabela1[[#This Row],[DT. VENCIMENTO]]</f>
        <v>45945</v>
      </c>
      <c r="N192" s="14" t="str" cm="1">
        <f t="array" ref="N192">_xlfn.XLOOKUP(TRIM(D192),TRIM(DFC!A:A),DFC!A:A,"NÃO ESTÁ NA DFC")</f>
        <v xml:space="preserve">      PEÇAS</v>
      </c>
    </row>
    <row r="193" spans="1:14" customFormat="1" ht="14.4" x14ac:dyDescent="0.3">
      <c r="A193" s="23">
        <v>45901</v>
      </c>
      <c r="B193" s="21">
        <v>45945</v>
      </c>
      <c r="C193" s="21" t="s">
        <v>44</v>
      </c>
      <c r="D193" s="21" t="s">
        <v>34</v>
      </c>
      <c r="E193" s="20"/>
      <c r="F193" s="22" t="s">
        <v>214</v>
      </c>
      <c r="G193" s="252">
        <v>149.9</v>
      </c>
      <c r="H193" s="1" t="s">
        <v>21</v>
      </c>
      <c r="I193" s="1">
        <f>COUNTIF(Tabela1[NF],Tabela1[[#This Row],[NF]])</f>
        <v>9</v>
      </c>
      <c r="K193" s="13">
        <f>Tabela1[[#This Row],[DT. VENCIMENTO]]</f>
        <v>45945</v>
      </c>
      <c r="N193" s="14" t="str" cm="1">
        <f t="array" ref="N193">_xlfn.XLOOKUP(TRIM(D193),TRIM(DFC!A:A),DFC!A:A,"NÃO ESTÁ NA DFC")</f>
        <v xml:space="preserve">          INTERNET</v>
      </c>
    </row>
    <row r="194" spans="1:14" customFormat="1" ht="14.4" x14ac:dyDescent="0.3">
      <c r="A194" s="23">
        <v>45901</v>
      </c>
      <c r="B194" s="21">
        <v>45945</v>
      </c>
      <c r="C194" s="21" t="s">
        <v>44</v>
      </c>
      <c r="D194" s="21" t="s">
        <v>119</v>
      </c>
      <c r="E194" s="20"/>
      <c r="F194" s="22" t="s">
        <v>166</v>
      </c>
      <c r="G194" s="252">
        <v>123.26</v>
      </c>
      <c r="H194" s="1"/>
      <c r="I194" s="1">
        <f>COUNTIF(Tabela1[NF],Tabela1[[#This Row],[NF]])</f>
        <v>9</v>
      </c>
      <c r="K194" s="13">
        <v>45945</v>
      </c>
      <c r="N194" s="14" t="str" cm="1">
        <f t="array" ref="N194">_xlfn.XLOOKUP(TRIM(D194),TRIM(DFC!A:A),DFC!A:A,"NÃO ESTÁ NA DFC")</f>
        <v xml:space="preserve">          SANEPAR</v>
      </c>
    </row>
    <row r="195" spans="1:14" customFormat="1" ht="14.4" x14ac:dyDescent="0.3">
      <c r="A195" s="19">
        <v>145165</v>
      </c>
      <c r="B195" s="21">
        <v>45945</v>
      </c>
      <c r="C195" s="21" t="s">
        <v>15</v>
      </c>
      <c r="D195" s="21" t="s">
        <v>19</v>
      </c>
      <c r="E195" s="20"/>
      <c r="F195" s="22" t="s">
        <v>70</v>
      </c>
      <c r="G195" s="252">
        <v>882.71</v>
      </c>
      <c r="H195" s="1" t="s">
        <v>71</v>
      </c>
      <c r="I195" s="1">
        <f>COUNTIF(Tabela1[NF],Tabela1[[#This Row],[NF]])</f>
        <v>1</v>
      </c>
      <c r="K195" s="13">
        <f>Tabela1[[#This Row],[DT. VENCIMENTO]]</f>
        <v>45945</v>
      </c>
      <c r="N195" s="14" t="str" cm="1">
        <f t="array" ref="N195">_xlfn.XLOOKUP(TRIM(D195),TRIM(DFC!A:A),DFC!A:A,"NÃO ESTÁ NA DFC")</f>
        <v xml:space="preserve">      PEÇAS</v>
      </c>
    </row>
    <row r="196" spans="1:14" customFormat="1" ht="14.4" x14ac:dyDescent="0.3">
      <c r="A196" s="19">
        <v>162915</v>
      </c>
      <c r="B196" s="21">
        <v>45945</v>
      </c>
      <c r="C196" s="21" t="s">
        <v>15</v>
      </c>
      <c r="D196" s="21" t="s">
        <v>154</v>
      </c>
      <c r="E196" s="20"/>
      <c r="F196" s="22" t="s">
        <v>64</v>
      </c>
      <c r="G196" s="252">
        <v>2657.11</v>
      </c>
      <c r="H196" s="1" t="s">
        <v>36</v>
      </c>
      <c r="I196" s="1">
        <f>COUNTIF(Tabela1[NF],Tabela1[[#This Row],[NF]])</f>
        <v>3</v>
      </c>
      <c r="K196" s="13">
        <f>Tabela1[[#This Row],[DT. VENCIMENTO]]</f>
        <v>45945</v>
      </c>
      <c r="N196" s="14" t="str" cm="1">
        <f t="array" ref="N196">_xlfn.XLOOKUP(TRIM(D196),TRIM(DFC!A:A),DFC!A:A,"NÃO ESTÁ NA DFC")</f>
        <v xml:space="preserve">      EMBALAGENS</v>
      </c>
    </row>
    <row r="197" spans="1:14" customFormat="1" ht="14.4" x14ac:dyDescent="0.3">
      <c r="A197" s="19"/>
      <c r="B197" s="21">
        <v>45945</v>
      </c>
      <c r="C197" s="21" t="s">
        <v>15</v>
      </c>
      <c r="D197" s="21" t="s">
        <v>215</v>
      </c>
      <c r="E197" s="20"/>
      <c r="F197" s="22" t="s">
        <v>216</v>
      </c>
      <c r="G197" s="252">
        <v>603.33000000000004</v>
      </c>
      <c r="H197" s="1" t="s">
        <v>21</v>
      </c>
      <c r="I197" s="1">
        <f>COUNTIF(Tabela1[NF],Tabela1[[#This Row],[NF]])</f>
        <v>0</v>
      </c>
      <c r="J197" t="s">
        <v>84</v>
      </c>
      <c r="K197" s="13">
        <f>Tabela1[[#This Row],[DT. VENCIMENTO]]</f>
        <v>45945</v>
      </c>
      <c r="N197" s="14" t="str" cm="1">
        <f t="array" ref="N197">_xlfn.XLOOKUP(TRIM(D197),TRIM(DFC!A:A),DFC!A:A,"NÃO ESTÁ NA DFC")</f>
        <v xml:space="preserve">         DESIGNER GRAFICO</v>
      </c>
    </row>
    <row r="198" spans="1:14" customFormat="1" ht="14.4" x14ac:dyDescent="0.3">
      <c r="A198" s="23">
        <v>45931</v>
      </c>
      <c r="B198" s="21">
        <v>45945</v>
      </c>
      <c r="C198" s="21" t="s">
        <v>15</v>
      </c>
      <c r="D198" s="280" t="s">
        <v>53</v>
      </c>
      <c r="E198" s="20"/>
      <c r="F198" s="22" t="s">
        <v>217</v>
      </c>
      <c r="G198" s="252">
        <v>200</v>
      </c>
      <c r="H198" s="1" t="s">
        <v>21</v>
      </c>
      <c r="I198" s="1">
        <f>COUNTIF(Tabela1[NF],Tabela1[[#This Row],[NF]])</f>
        <v>23</v>
      </c>
      <c r="K198" s="13">
        <f>Tabela1[[#This Row],[DT. VENCIMENTO]]</f>
        <v>45945</v>
      </c>
      <c r="N198" s="14" t="str" cm="1">
        <f t="array" ref="N198">_xlfn.XLOOKUP(TRIM(D198),TRIM(DFC!A:A),DFC!A:A,"NÃO ESTÁ NA DFC")</f>
        <v xml:space="preserve">          ADIANTAMENTO SALARIAL</v>
      </c>
    </row>
    <row r="199" spans="1:14" customFormat="1" ht="14.4" x14ac:dyDescent="0.3">
      <c r="A199" s="23">
        <v>45931</v>
      </c>
      <c r="B199" s="21">
        <v>45945</v>
      </c>
      <c r="C199" s="21" t="s">
        <v>15</v>
      </c>
      <c r="D199" s="21" t="s">
        <v>82</v>
      </c>
      <c r="E199" s="20"/>
      <c r="F199" s="22" t="s">
        <v>218</v>
      </c>
      <c r="G199" s="252">
        <v>200</v>
      </c>
      <c r="H199" s="1" t="s">
        <v>21</v>
      </c>
      <c r="I199" s="1">
        <f>COUNTIF(Tabela1[NF],Tabela1[[#This Row],[NF]])</f>
        <v>23</v>
      </c>
      <c r="K199" s="13">
        <f>Tabela1[[#This Row],[DT. VENCIMENTO]]</f>
        <v>45945</v>
      </c>
      <c r="N199" s="14" t="str" cm="1">
        <f t="array" ref="N199">_xlfn.XLOOKUP(TRIM(D199),TRIM(DFC!A:A),DFC!A:A,"NÃO ESTÁ NA DFC")</f>
        <v xml:space="preserve">          DIÁRIAS</v>
      </c>
    </row>
    <row r="200" spans="1:14" customFormat="1" ht="14.4" x14ac:dyDescent="0.3">
      <c r="A200" s="23">
        <v>45931</v>
      </c>
      <c r="B200" s="21">
        <v>45945</v>
      </c>
      <c r="C200" s="21" t="s">
        <v>15</v>
      </c>
      <c r="D200" s="21" t="s">
        <v>110</v>
      </c>
      <c r="E200" s="20"/>
      <c r="F200" s="22" t="s">
        <v>219</v>
      </c>
      <c r="G200" s="252">
        <v>199.49</v>
      </c>
      <c r="H200" s="1" t="s">
        <v>21</v>
      </c>
      <c r="I200" s="1">
        <f>COUNTIF(Tabela1[NF],Tabela1[[#This Row],[NF]])</f>
        <v>23</v>
      </c>
      <c r="J200" t="s">
        <v>220</v>
      </c>
      <c r="K200" s="13">
        <f>Tabela1[[#This Row],[DT. VENCIMENTO]]</f>
        <v>45945</v>
      </c>
      <c r="N200" s="14" t="str" cm="1">
        <f t="array" ref="N200">_xlfn.XLOOKUP(TRIM(D200),TRIM(DFC!A:A),DFC!A:A,"NÃO ESTÁ NA DFC")</f>
        <v xml:space="preserve">          REEMBOLSO</v>
      </c>
    </row>
    <row r="201" spans="1:14" customFormat="1" ht="14.4" x14ac:dyDescent="0.3">
      <c r="A201" s="24"/>
      <c r="B201" s="21">
        <v>45945</v>
      </c>
      <c r="C201" s="21" t="s">
        <v>15</v>
      </c>
      <c r="D201" s="21" t="s">
        <v>98</v>
      </c>
      <c r="E201" s="20"/>
      <c r="F201" s="22" t="s">
        <v>221</v>
      </c>
      <c r="G201" s="252">
        <v>50</v>
      </c>
      <c r="H201" s="1"/>
      <c r="I201" s="1">
        <f>COUNTIF(Tabela1[NF],Tabela1[[#This Row],[NF]])</f>
        <v>0</v>
      </c>
      <c r="K201" s="13">
        <f>Tabela1[[#This Row],[DT. VENCIMENTO]]</f>
        <v>45945</v>
      </c>
      <c r="N201" s="14" t="str" cm="1">
        <f t="array" ref="N201">_xlfn.XLOOKUP(TRIM(D201),TRIM(DFC!A:A),DFC!A:A,"NÃO ESTÁ NA DFC")</f>
        <v xml:space="preserve">     REEMBOLSO SAC</v>
      </c>
    </row>
    <row r="202" spans="1:14" customFormat="1" ht="14.4" x14ac:dyDescent="0.3">
      <c r="A202" s="24"/>
      <c r="B202" s="21">
        <v>45945</v>
      </c>
      <c r="C202" s="21" t="s">
        <v>15</v>
      </c>
      <c r="D202" s="21" t="s">
        <v>98</v>
      </c>
      <c r="E202" s="20"/>
      <c r="F202" s="22" t="s">
        <v>222</v>
      </c>
      <c r="G202" s="252">
        <v>15</v>
      </c>
      <c r="H202" s="1"/>
      <c r="I202" s="1">
        <f>COUNTIF(Tabela1[NF],Tabela1[[#This Row],[NF]])</f>
        <v>0</v>
      </c>
      <c r="K202" s="13">
        <f>Tabela1[[#This Row],[DT. VENCIMENTO]]</f>
        <v>45945</v>
      </c>
      <c r="N202" s="14" t="str" cm="1">
        <f t="array" ref="N202">_xlfn.XLOOKUP(TRIM(D202),TRIM(DFC!A:A),DFC!A:A,"NÃO ESTÁ NA DFC")</f>
        <v xml:space="preserve">     REEMBOLSO SAC</v>
      </c>
    </row>
    <row r="203" spans="1:14" customFormat="1" ht="14.4" x14ac:dyDescent="0.3">
      <c r="A203" s="24"/>
      <c r="B203" s="21">
        <v>45945</v>
      </c>
      <c r="C203" s="21" t="s">
        <v>15</v>
      </c>
      <c r="D203" s="21" t="s">
        <v>19</v>
      </c>
      <c r="E203" s="20"/>
      <c r="F203" s="22" t="s">
        <v>223</v>
      </c>
      <c r="G203" s="252">
        <v>123</v>
      </c>
      <c r="H203" s="1"/>
      <c r="I203" s="1">
        <f>COUNTIF(Tabela1[NF],Tabela1[[#This Row],[NF]])</f>
        <v>0</v>
      </c>
      <c r="K203" s="13">
        <f>Tabela1[[#This Row],[DT. VENCIMENTO]]</f>
        <v>45945</v>
      </c>
      <c r="N203" s="14" t="str" cm="1">
        <f t="array" ref="N203">_xlfn.XLOOKUP(TRIM(D203),TRIM(DFC!A:A),DFC!A:A,"NÃO ESTÁ NA DFC")</f>
        <v xml:space="preserve">      PEÇAS</v>
      </c>
    </row>
    <row r="204" spans="1:14" customFormat="1" ht="14.4" x14ac:dyDescent="0.3">
      <c r="A204" s="24"/>
      <c r="B204" s="21">
        <v>45945</v>
      </c>
      <c r="C204" s="21" t="s">
        <v>15</v>
      </c>
      <c r="D204" s="21" t="s">
        <v>19</v>
      </c>
      <c r="E204" s="20"/>
      <c r="F204" s="22" t="s">
        <v>224</v>
      </c>
      <c r="G204" s="252">
        <v>240</v>
      </c>
      <c r="H204" s="1"/>
      <c r="I204" s="1">
        <f>COUNTIF(Tabela1[NF],Tabela1[[#This Row],[NF]])</f>
        <v>0</v>
      </c>
      <c r="K204" s="13">
        <f>Tabela1[[#This Row],[DT. VENCIMENTO]]</f>
        <v>45945</v>
      </c>
      <c r="N204" s="14" t="str" cm="1">
        <f t="array" ref="N204">_xlfn.XLOOKUP(TRIM(D204),TRIM(DFC!A:A),DFC!A:A,"NÃO ESTÁ NA DFC")</f>
        <v xml:space="preserve">      PEÇAS</v>
      </c>
    </row>
    <row r="205" spans="1:14" customFormat="1" ht="14.4" x14ac:dyDescent="0.3">
      <c r="A205" s="24"/>
      <c r="B205" s="21">
        <v>45945</v>
      </c>
      <c r="C205" s="21" t="s">
        <v>15</v>
      </c>
      <c r="D205" s="21" t="s">
        <v>225</v>
      </c>
      <c r="E205" s="20"/>
      <c r="F205" s="28" t="s">
        <v>226</v>
      </c>
      <c r="G205" s="252">
        <v>1950.61</v>
      </c>
      <c r="H205" s="1"/>
      <c r="I205" s="1">
        <f>COUNTIF(Tabela1[NF],Tabela1[[#This Row],[NF]])</f>
        <v>0</v>
      </c>
      <c r="K205" s="13">
        <f>Tabela1[[#This Row],[DT. VENCIMENTO]]</f>
        <v>45945</v>
      </c>
      <c r="N205" s="14" t="str" cm="1">
        <f t="array" ref="N205">_xlfn.XLOOKUP(TRIM(D205),TRIM(DFC!A:A),DFC!A:A,"NÃO ESTÁ NA DFC")</f>
        <v xml:space="preserve">     ANYMARKET TAXAS</v>
      </c>
    </row>
    <row r="206" spans="1:14" customFormat="1" ht="14.4" x14ac:dyDescent="0.3">
      <c r="A206" s="24"/>
      <c r="B206" s="21">
        <v>45945</v>
      </c>
      <c r="C206" s="21" t="s">
        <v>15</v>
      </c>
      <c r="D206" s="21" t="s">
        <v>225</v>
      </c>
      <c r="E206" s="20"/>
      <c r="F206" s="28" t="s">
        <v>226</v>
      </c>
      <c r="G206" s="252">
        <v>1999</v>
      </c>
      <c r="H206" s="1"/>
      <c r="I206" s="1">
        <f>COUNTIF(Tabela1[NF],Tabela1[[#This Row],[NF]])</f>
        <v>0</v>
      </c>
      <c r="K206" s="13">
        <f>Tabela1[[#This Row],[DT. VENCIMENTO]]</f>
        <v>45945</v>
      </c>
      <c r="N206" s="14" t="str" cm="1">
        <f t="array" ref="N206">_xlfn.XLOOKUP(TRIM(D206),TRIM(DFC!A:A),DFC!A:A,"NÃO ESTÁ NA DFC")</f>
        <v xml:space="preserve">     ANYMARKET TAXAS</v>
      </c>
    </row>
    <row r="207" spans="1:14" customFormat="1" ht="14.4" x14ac:dyDescent="0.3">
      <c r="A207" s="24"/>
      <c r="B207" s="21">
        <v>45945</v>
      </c>
      <c r="C207" s="21" t="s">
        <v>15</v>
      </c>
      <c r="D207" s="21" t="s">
        <v>19</v>
      </c>
      <c r="E207" s="20"/>
      <c r="F207" s="28" t="s">
        <v>103</v>
      </c>
      <c r="G207" s="252">
        <v>11905.5</v>
      </c>
      <c r="H207" s="1"/>
      <c r="I207" s="1">
        <f>COUNTIF(Tabela1[NF],Tabela1[[#This Row],[NF]])</f>
        <v>0</v>
      </c>
      <c r="K207" s="13">
        <f>Tabela1[[#This Row],[DT. VENCIMENTO]]</f>
        <v>45945</v>
      </c>
      <c r="N207" s="14" t="str" cm="1">
        <f t="array" ref="N207">_xlfn.XLOOKUP(TRIM(D207),TRIM(DFC!A:A),DFC!A:A,"NÃO ESTÁ NA DFC")</f>
        <v xml:space="preserve">      PEÇAS</v>
      </c>
    </row>
    <row r="208" spans="1:14" customFormat="1" ht="14.4" x14ac:dyDescent="0.3">
      <c r="A208" s="19">
        <v>427597</v>
      </c>
      <c r="B208" s="21">
        <v>45945</v>
      </c>
      <c r="C208" s="21" t="s">
        <v>15</v>
      </c>
      <c r="D208" s="21" t="s">
        <v>19</v>
      </c>
      <c r="E208" s="20"/>
      <c r="F208" s="22" t="s">
        <v>20</v>
      </c>
      <c r="G208" s="252">
        <v>2665</v>
      </c>
      <c r="H208" s="1" t="s">
        <v>71</v>
      </c>
      <c r="I208" s="1">
        <f>COUNTIF(Tabela1[NF],Tabela1[[#This Row],[NF]])</f>
        <v>1</v>
      </c>
      <c r="K208" s="26">
        <f>Tabela1[[#This Row],[DT. VENCIMENTO]]</f>
        <v>45945</v>
      </c>
      <c r="N208" s="14" t="str" cm="1">
        <f t="array" ref="N208">_xlfn.XLOOKUP(TRIM(D208),TRIM(DFC!A:A),DFC!A:A,"NÃO ESTÁ NA DFC")</f>
        <v xml:space="preserve">      PEÇAS</v>
      </c>
    </row>
    <row r="209" spans="1:14" customFormat="1" ht="14.4" x14ac:dyDescent="0.3">
      <c r="A209" s="19">
        <v>432952</v>
      </c>
      <c r="B209" s="21">
        <v>45945</v>
      </c>
      <c r="C209" s="21" t="s">
        <v>15</v>
      </c>
      <c r="D209" s="21" t="s">
        <v>19</v>
      </c>
      <c r="E209" s="20"/>
      <c r="F209" s="22" t="s">
        <v>20</v>
      </c>
      <c r="G209" s="252">
        <v>20729</v>
      </c>
      <c r="H209" s="1" t="s">
        <v>87</v>
      </c>
      <c r="I209" s="1">
        <f>COUNTIF(Tabela1[NF],Tabela1[[#This Row],[NF]])</f>
        <v>2</v>
      </c>
      <c r="K209" s="26">
        <f>Tabela1[[#This Row],[DT. VENCIMENTO]]</f>
        <v>45945</v>
      </c>
      <c r="N209" s="14" t="str" cm="1">
        <f t="array" ref="N209">_xlfn.XLOOKUP(TRIM(D209),TRIM(DFC!A:A),DFC!A:A,"NÃO ESTÁ NA DFC")</f>
        <v xml:space="preserve">      PEÇAS</v>
      </c>
    </row>
    <row r="210" spans="1:14" customFormat="1" ht="14.4" x14ac:dyDescent="0.3">
      <c r="A210" s="19">
        <v>445170</v>
      </c>
      <c r="B210" s="21">
        <v>45945</v>
      </c>
      <c r="C210" s="21" t="s">
        <v>15</v>
      </c>
      <c r="D210" s="21" t="s">
        <v>19</v>
      </c>
      <c r="E210" s="20"/>
      <c r="F210" s="22" t="s">
        <v>20</v>
      </c>
      <c r="G210" s="252">
        <v>652.32000000000005</v>
      </c>
      <c r="H210" s="1" t="s">
        <v>108</v>
      </c>
      <c r="I210" s="1">
        <f>COUNTIF(Tabela1[NF],Tabela1[[#This Row],[NF]])</f>
        <v>4</v>
      </c>
      <c r="K210" s="26">
        <f>Tabela1[[#This Row],[DT. VENCIMENTO]]</f>
        <v>45945</v>
      </c>
      <c r="N210" s="14" t="str" cm="1">
        <f t="array" ref="N210">_xlfn.XLOOKUP(TRIM(D210),TRIM(DFC!A:A),DFC!A:A,"NÃO ESTÁ NA DFC")</f>
        <v xml:space="preserve">      PEÇAS</v>
      </c>
    </row>
    <row r="211" spans="1:14" customFormat="1" ht="14.4" x14ac:dyDescent="0.3">
      <c r="A211" s="24"/>
      <c r="B211" s="21">
        <v>45946</v>
      </c>
      <c r="C211" s="21" t="s">
        <v>15</v>
      </c>
      <c r="D211" s="21" t="s">
        <v>19</v>
      </c>
      <c r="E211" s="20"/>
      <c r="F211" s="22" t="s">
        <v>227</v>
      </c>
      <c r="G211" s="252">
        <v>1516.9</v>
      </c>
      <c r="H211" s="1"/>
      <c r="I211" s="1">
        <f>COUNTIF(Tabela1[NF],Tabela1[[#This Row],[NF]])</f>
        <v>0</v>
      </c>
      <c r="K211" s="13">
        <f>Tabela1[[#This Row],[DT. VENCIMENTO]]</f>
        <v>45946</v>
      </c>
      <c r="N211" s="14" t="str" cm="1">
        <f t="array" ref="N211">_xlfn.XLOOKUP(TRIM(D211),TRIM(DFC!A:A),DFC!A:A,"NÃO ESTÁ NA DFC")</f>
        <v xml:space="preserve">      PEÇAS</v>
      </c>
    </row>
    <row r="212" spans="1:14" customFormat="1" ht="14.4" x14ac:dyDescent="0.3">
      <c r="A212" s="24"/>
      <c r="B212" s="21">
        <v>45946</v>
      </c>
      <c r="C212" s="21" t="s">
        <v>15</v>
      </c>
      <c r="D212" s="21" t="s">
        <v>19</v>
      </c>
      <c r="E212" s="20"/>
      <c r="F212" s="22" t="s">
        <v>228</v>
      </c>
      <c r="G212" s="252">
        <v>6001.37</v>
      </c>
      <c r="H212" s="1"/>
      <c r="I212" s="1">
        <f>COUNTIF(Tabela1[NF],Tabela1[[#This Row],[NF]])</f>
        <v>0</v>
      </c>
      <c r="K212" s="13">
        <f>Tabela1[[#This Row],[DT. VENCIMENTO]]</f>
        <v>45946</v>
      </c>
      <c r="N212" s="14" t="str" cm="1">
        <f t="array" ref="N212">_xlfn.XLOOKUP(TRIM(D212),TRIM(DFC!A:A),DFC!A:A,"NÃO ESTÁ NA DFC")</f>
        <v xml:space="preserve">      PEÇAS</v>
      </c>
    </row>
    <row r="213" spans="1:14" customFormat="1" ht="14.4" x14ac:dyDescent="0.3">
      <c r="A213" s="24"/>
      <c r="B213" s="21">
        <v>45946</v>
      </c>
      <c r="C213" s="21" t="s">
        <v>15</v>
      </c>
      <c r="D213" s="21" t="s">
        <v>19</v>
      </c>
      <c r="E213" s="20"/>
      <c r="F213" s="22" t="s">
        <v>228</v>
      </c>
      <c r="G213" s="252">
        <v>6762.7</v>
      </c>
      <c r="H213" s="1"/>
      <c r="I213" s="1">
        <f>COUNTIF(Tabela1[NF],Tabela1[[#This Row],[NF]])</f>
        <v>0</v>
      </c>
      <c r="K213" s="13">
        <f>Tabela1[[#This Row],[DT. VENCIMENTO]]</f>
        <v>45946</v>
      </c>
      <c r="N213" s="14" t="str" cm="1">
        <f t="array" ref="N213">_xlfn.XLOOKUP(TRIM(D213),TRIM(DFC!A:A),DFC!A:A,"NÃO ESTÁ NA DFC")</f>
        <v xml:space="preserve">      PEÇAS</v>
      </c>
    </row>
    <row r="214" spans="1:14" customFormat="1" ht="14.4" x14ac:dyDescent="0.3">
      <c r="A214" s="24"/>
      <c r="B214" s="21">
        <v>45946</v>
      </c>
      <c r="C214" s="21" t="s">
        <v>15</v>
      </c>
      <c r="D214" s="21" t="s">
        <v>19</v>
      </c>
      <c r="E214" s="20"/>
      <c r="F214" s="28" t="s">
        <v>150</v>
      </c>
      <c r="G214" s="252">
        <v>12833.33</v>
      </c>
      <c r="H214" s="1"/>
      <c r="I214" s="1">
        <f>COUNTIF(Tabela1[NF],Tabela1[[#This Row],[NF]])</f>
        <v>0</v>
      </c>
      <c r="K214" s="13">
        <f>Tabela1[[#This Row],[DT. VENCIMENTO]]</f>
        <v>45946</v>
      </c>
      <c r="N214" s="14" t="str" cm="1">
        <f t="array" ref="N214">_xlfn.XLOOKUP(TRIM(D214),TRIM(DFC!A:A),DFC!A:A,"NÃO ESTÁ NA DFC")</f>
        <v xml:space="preserve">      PEÇAS</v>
      </c>
    </row>
    <row r="215" spans="1:14" customFormat="1" ht="14.4" x14ac:dyDescent="0.3">
      <c r="A215" s="19">
        <v>427914</v>
      </c>
      <c r="B215" s="21">
        <v>45946</v>
      </c>
      <c r="C215" s="21" t="s">
        <v>15</v>
      </c>
      <c r="D215" s="21" t="s">
        <v>19</v>
      </c>
      <c r="E215" s="20"/>
      <c r="F215" s="22" t="s">
        <v>20</v>
      </c>
      <c r="G215" s="252">
        <v>3852</v>
      </c>
      <c r="H215" s="1" t="s">
        <v>71</v>
      </c>
      <c r="I215" s="1">
        <f>COUNTIF(Tabela1[NF],Tabela1[[#This Row],[NF]])</f>
        <v>1</v>
      </c>
      <c r="K215" s="26">
        <f>Tabela1[[#This Row],[DT. VENCIMENTO]]</f>
        <v>45946</v>
      </c>
      <c r="N215" s="14" t="str" cm="1">
        <f t="array" ref="N215">_xlfn.XLOOKUP(TRIM(D215),TRIM(DFC!A:A),DFC!A:A,"NÃO ESTÁ NA DFC")</f>
        <v xml:space="preserve">      PEÇAS</v>
      </c>
    </row>
    <row r="216" spans="1:14" customFormat="1" ht="14.4" x14ac:dyDescent="0.3">
      <c r="A216" s="24"/>
      <c r="B216" s="21">
        <v>45947</v>
      </c>
      <c r="C216" s="21" t="s">
        <v>44</v>
      </c>
      <c r="D216" s="21" t="s">
        <v>107</v>
      </c>
      <c r="E216" s="20" t="s">
        <v>229</v>
      </c>
      <c r="F216" s="22" t="s">
        <v>230</v>
      </c>
      <c r="G216" s="252">
        <v>4586.54</v>
      </c>
      <c r="H216" s="1"/>
      <c r="I216" s="1">
        <f>COUNTIF(Tabela1[NF],Tabela1[[#This Row],[NF]])</f>
        <v>0</v>
      </c>
      <c r="K216" s="13">
        <f>Tabela1[[#This Row],[DT. VENCIMENTO]]</f>
        <v>45947</v>
      </c>
      <c r="N216" s="14" t="str" cm="1">
        <f t="array" ref="N216">_xlfn.XLOOKUP(TRIM(D216),TRIM(DFC!A:A),DFC!A:A,"NÃO ESTÁ NA DFC")</f>
        <v xml:space="preserve">          PRÓ LABORE </v>
      </c>
    </row>
    <row r="217" spans="1:14" customFormat="1" ht="14.4" x14ac:dyDescent="0.3">
      <c r="A217" s="19">
        <v>2023</v>
      </c>
      <c r="B217" s="21">
        <v>45947</v>
      </c>
      <c r="C217" s="21" t="s">
        <v>15</v>
      </c>
      <c r="D217" s="21" t="s">
        <v>19</v>
      </c>
      <c r="E217" s="20"/>
      <c r="F217" s="22" t="s">
        <v>74</v>
      </c>
      <c r="G217" s="252">
        <v>1416.76</v>
      </c>
      <c r="H217" s="1" t="s">
        <v>17</v>
      </c>
      <c r="I217" s="1">
        <f>COUNTIF(Tabela1[NF],Tabela1[[#This Row],[NF]])</f>
        <v>1</v>
      </c>
      <c r="K217" s="13">
        <f>Tabela1[[#This Row],[DT. VENCIMENTO]]</f>
        <v>45947</v>
      </c>
      <c r="N217" s="14" t="str" cm="1">
        <f t="array" ref="N217">_xlfn.XLOOKUP(TRIM(D217),TRIM(DFC!A:A),DFC!A:A,"NÃO ESTÁ NA DFC")</f>
        <v xml:space="preserve">      PEÇAS</v>
      </c>
    </row>
    <row r="218" spans="1:14" customFormat="1" ht="14.4" x14ac:dyDescent="0.3">
      <c r="A218" s="19">
        <v>7515</v>
      </c>
      <c r="B218" s="21">
        <v>45947</v>
      </c>
      <c r="C218" s="21" t="s">
        <v>15</v>
      </c>
      <c r="D218" s="21" t="s">
        <v>19</v>
      </c>
      <c r="E218" s="20"/>
      <c r="F218" s="22" t="s">
        <v>74</v>
      </c>
      <c r="G218" s="252">
        <v>607.17999999999995</v>
      </c>
      <c r="H218" s="1" t="s">
        <v>17</v>
      </c>
      <c r="I218" s="1">
        <f>COUNTIF(Tabela1[NF],Tabela1[[#This Row],[NF]])</f>
        <v>1</v>
      </c>
      <c r="K218" s="13">
        <f>Tabela1[[#This Row],[DT. VENCIMENTO]]</f>
        <v>45947</v>
      </c>
      <c r="N218" s="14" t="str" cm="1">
        <f t="array" ref="N218">_xlfn.XLOOKUP(TRIM(D218),TRIM(DFC!A:A),DFC!A:A,"NÃO ESTÁ NA DFC")</f>
        <v xml:space="preserve">      PEÇAS</v>
      </c>
    </row>
    <row r="219" spans="1:14" customFormat="1" ht="14.4" x14ac:dyDescent="0.3">
      <c r="A219" s="19">
        <v>7812</v>
      </c>
      <c r="B219" s="21">
        <v>45947</v>
      </c>
      <c r="C219" s="21" t="s">
        <v>15</v>
      </c>
      <c r="D219" s="21" t="s">
        <v>19</v>
      </c>
      <c r="E219" s="20"/>
      <c r="F219" s="22" t="s">
        <v>58</v>
      </c>
      <c r="G219" s="252">
        <v>1863.88</v>
      </c>
      <c r="H219" s="1" t="s">
        <v>36</v>
      </c>
      <c r="I219" s="1">
        <f>COUNTIF(Tabela1[NF],Tabela1[[#This Row],[NF]])</f>
        <v>1</v>
      </c>
      <c r="K219" s="13">
        <f>Tabela1[[#This Row],[DT. VENCIMENTO]]</f>
        <v>45947</v>
      </c>
      <c r="N219" s="14" t="str" cm="1">
        <f t="array" ref="N219">_xlfn.XLOOKUP(TRIM(D219),TRIM(DFC!A:A),DFC!A:A,"NÃO ESTÁ NA DFC")</f>
        <v xml:space="preserve">      PEÇAS</v>
      </c>
    </row>
    <row r="220" spans="1:14" customFormat="1" ht="14.4" x14ac:dyDescent="0.3">
      <c r="A220" s="19">
        <v>8761</v>
      </c>
      <c r="B220" s="21">
        <v>45947</v>
      </c>
      <c r="C220" s="21" t="s">
        <v>15</v>
      </c>
      <c r="D220" s="21" t="s">
        <v>19</v>
      </c>
      <c r="E220" s="20"/>
      <c r="F220" s="22" t="s">
        <v>38</v>
      </c>
      <c r="G220" s="252">
        <v>563.54999999999995</v>
      </c>
      <c r="H220" s="1" t="s">
        <v>36</v>
      </c>
      <c r="I220" s="1">
        <f>COUNTIF(Tabela1[NF],Tabela1[[#This Row],[NF]])</f>
        <v>2</v>
      </c>
      <c r="K220" s="13">
        <f>Tabela1[[#This Row],[DT. VENCIMENTO]]</f>
        <v>45947</v>
      </c>
      <c r="N220" s="14" t="str" cm="1">
        <f t="array" ref="N220">_xlfn.XLOOKUP(TRIM(D220),TRIM(DFC!A:A),DFC!A:A,"NÃO ESTÁ NA DFC")</f>
        <v xml:space="preserve">      PEÇAS</v>
      </c>
    </row>
    <row r="221" spans="1:14" customFormat="1" ht="14.4" x14ac:dyDescent="0.3">
      <c r="A221" s="19">
        <v>15621</v>
      </c>
      <c r="B221" s="21">
        <v>45947</v>
      </c>
      <c r="C221" s="21" t="s">
        <v>15</v>
      </c>
      <c r="D221" s="21" t="s">
        <v>19</v>
      </c>
      <c r="E221" s="20"/>
      <c r="F221" s="22" t="s">
        <v>231</v>
      </c>
      <c r="G221" s="252">
        <v>910.77</v>
      </c>
      <c r="H221" s="1" t="s">
        <v>21</v>
      </c>
      <c r="I221" s="1">
        <f>COUNTIF(Tabela1[NF],Tabela1[[#This Row],[NF]])</f>
        <v>1</v>
      </c>
      <c r="K221" s="13">
        <f>Tabela1[[#This Row],[DT. VENCIMENTO]]</f>
        <v>45947</v>
      </c>
      <c r="N221" s="14" t="str" cm="1">
        <f t="array" ref="N221">_xlfn.XLOOKUP(TRIM(D221),TRIM(DFC!A:A),DFC!A:A,"NÃO ESTÁ NA DFC")</f>
        <v xml:space="preserve">      PEÇAS</v>
      </c>
    </row>
    <row r="222" spans="1:14" customFormat="1" ht="14.4" x14ac:dyDescent="0.3">
      <c r="A222" s="19">
        <v>147480</v>
      </c>
      <c r="B222" s="21">
        <v>45947</v>
      </c>
      <c r="C222" s="21" t="s">
        <v>15</v>
      </c>
      <c r="D222" s="21" t="s">
        <v>154</v>
      </c>
      <c r="E222" s="20"/>
      <c r="F222" s="22" t="s">
        <v>180</v>
      </c>
      <c r="G222" s="252">
        <v>1107.5999999999999</v>
      </c>
      <c r="H222" s="1" t="s">
        <v>36</v>
      </c>
      <c r="I222" s="1">
        <f>COUNTIF(Tabela1[NF],Tabela1[[#This Row],[NF]])</f>
        <v>3</v>
      </c>
      <c r="K222" s="13">
        <f>Tabela1[[#This Row],[DT. VENCIMENTO]]</f>
        <v>45947</v>
      </c>
      <c r="N222" s="14" t="str" cm="1">
        <f t="array" ref="N222">_xlfn.XLOOKUP(TRIM(D222),TRIM(DFC!A:A),DFC!A:A,"NÃO ESTÁ NA DFC")</f>
        <v xml:space="preserve">      EMBALAGENS</v>
      </c>
    </row>
    <row r="223" spans="1:14" customFormat="1" ht="14.4" x14ac:dyDescent="0.3">
      <c r="A223" s="23">
        <v>45931</v>
      </c>
      <c r="B223" s="21">
        <v>45947</v>
      </c>
      <c r="C223" s="21" t="s">
        <v>15</v>
      </c>
      <c r="D223" s="21" t="s">
        <v>82</v>
      </c>
      <c r="E223" s="20"/>
      <c r="F223" s="22" t="s">
        <v>190</v>
      </c>
      <c r="G223" s="252">
        <v>2948.7</v>
      </c>
      <c r="H223" s="1"/>
      <c r="I223" s="1">
        <f>COUNTIF(Tabela1[NF],Tabela1[[#This Row],[NF]])</f>
        <v>23</v>
      </c>
      <c r="K223" s="13">
        <v>45947</v>
      </c>
      <c r="N223" s="14" t="str" cm="1">
        <f t="array" ref="N223">_xlfn.XLOOKUP(TRIM(D223),TRIM(DFC!A:A),DFC!A:A,"NÃO ESTÁ NA DFC")</f>
        <v xml:space="preserve">          DIÁRIAS</v>
      </c>
    </row>
    <row r="224" spans="1:14" customFormat="1" ht="14.4" x14ac:dyDescent="0.3">
      <c r="A224" s="24"/>
      <c r="B224" s="21">
        <v>45947</v>
      </c>
      <c r="C224" s="21" t="s">
        <v>15</v>
      </c>
      <c r="D224" s="21" t="s">
        <v>232</v>
      </c>
      <c r="E224" s="20" t="s">
        <v>233</v>
      </c>
      <c r="F224" s="22" t="s">
        <v>234</v>
      </c>
      <c r="G224" s="252">
        <v>15970.83</v>
      </c>
      <c r="H224" s="1"/>
      <c r="I224" s="1">
        <f>COUNTIF(Tabela1[NF],Tabela1[[#This Row],[NF]])</f>
        <v>0</v>
      </c>
      <c r="K224" s="13">
        <f>Tabela1[[#This Row],[DT. VENCIMENTO]]</f>
        <v>45947</v>
      </c>
      <c r="N224" s="14" t="str" cm="1">
        <f t="array" ref="N224">_xlfn.XLOOKUP(TRIM(D224),TRIM(DFC!A:A),DFC!A:A,"NÃO ESTÁ NA DFC")</f>
        <v xml:space="preserve">          COMPRA DE MÁQUINA</v>
      </c>
    </row>
    <row r="225" spans="1:14" customFormat="1" ht="14.4" x14ac:dyDescent="0.3">
      <c r="A225" s="24"/>
      <c r="B225" s="21">
        <v>45947</v>
      </c>
      <c r="C225" s="21" t="s">
        <v>15</v>
      </c>
      <c r="D225" s="21" t="s">
        <v>19</v>
      </c>
      <c r="E225" s="20"/>
      <c r="F225" s="22" t="s">
        <v>235</v>
      </c>
      <c r="G225" s="252">
        <v>1107.5999999999999</v>
      </c>
      <c r="H225" s="1"/>
      <c r="I225" s="1">
        <f>COUNTIF(Tabela1[NF],Tabela1[[#This Row],[NF]])</f>
        <v>0</v>
      </c>
      <c r="K225" s="13">
        <f>Tabela1[[#This Row],[DT. VENCIMENTO]]</f>
        <v>45947</v>
      </c>
      <c r="N225" s="14" t="str" cm="1">
        <f t="array" ref="N225">_xlfn.XLOOKUP(TRIM(D225),TRIM(DFC!A:A),DFC!A:A,"NÃO ESTÁ NA DFC")</f>
        <v xml:space="preserve">      PEÇAS</v>
      </c>
    </row>
    <row r="226" spans="1:14" customFormat="1" ht="14.4" x14ac:dyDescent="0.3">
      <c r="A226" s="24"/>
      <c r="B226" s="21">
        <v>45947</v>
      </c>
      <c r="C226" s="21" t="s">
        <v>15</v>
      </c>
      <c r="D226" s="21" t="s">
        <v>138</v>
      </c>
      <c r="E226" s="20"/>
      <c r="F226" s="22" t="s">
        <v>236</v>
      </c>
      <c r="G226" s="252">
        <v>140</v>
      </c>
      <c r="H226" s="1"/>
      <c r="I226" s="1">
        <f>COUNTIF(Tabela1[NF],Tabela1[[#This Row],[NF]])</f>
        <v>0</v>
      </c>
      <c r="K226" s="13">
        <f>Tabela1[[#This Row],[DT. VENCIMENTO]]</f>
        <v>45947</v>
      </c>
      <c r="N226" s="14" t="str" cm="1">
        <f t="array" ref="N226">_xlfn.XLOOKUP(TRIM(D226),TRIM(DFC!A:A),DFC!A:A,"NÃO ESTÁ NA DFC")</f>
        <v xml:space="preserve">      TRANSPORTE - PAGAMENTO ENTREGA</v>
      </c>
    </row>
    <row r="227" spans="1:14" customFormat="1" ht="14.4" x14ac:dyDescent="0.3">
      <c r="A227" s="24"/>
      <c r="B227" s="21">
        <v>45947</v>
      </c>
      <c r="C227" s="21" t="s">
        <v>15</v>
      </c>
      <c r="D227" s="21" t="s">
        <v>138</v>
      </c>
      <c r="E227" s="20"/>
      <c r="F227" s="22" t="s">
        <v>168</v>
      </c>
      <c r="G227" s="252">
        <v>343.83</v>
      </c>
      <c r="H227" s="1"/>
      <c r="I227" s="1">
        <f>COUNTIF(Tabela1[NF],Tabela1[[#This Row],[NF]])</f>
        <v>0</v>
      </c>
      <c r="K227" s="13">
        <f>Tabela1[[#This Row],[DT. VENCIMENTO]]</f>
        <v>45947</v>
      </c>
      <c r="N227" s="14" t="str" cm="1">
        <f t="array" ref="N227">_xlfn.XLOOKUP(TRIM(D227),TRIM(DFC!A:A),DFC!A:A,"NÃO ESTÁ NA DFC")</f>
        <v xml:space="preserve">      TRANSPORTE - PAGAMENTO ENTREGA</v>
      </c>
    </row>
    <row r="228" spans="1:14" customFormat="1" ht="14.4" x14ac:dyDescent="0.3">
      <c r="A228" s="24"/>
      <c r="B228" s="21">
        <v>45947</v>
      </c>
      <c r="C228" s="21" t="s">
        <v>15</v>
      </c>
      <c r="D228" s="21" t="s">
        <v>138</v>
      </c>
      <c r="E228" s="20"/>
      <c r="F228" s="22" t="s">
        <v>168</v>
      </c>
      <c r="G228" s="252">
        <v>45</v>
      </c>
      <c r="H228" s="1"/>
      <c r="I228" s="1">
        <f>COUNTIF(Tabela1[NF],Tabela1[[#This Row],[NF]])</f>
        <v>0</v>
      </c>
      <c r="K228" s="13">
        <f>Tabela1[[#This Row],[DT. VENCIMENTO]]</f>
        <v>45947</v>
      </c>
      <c r="N228" s="14" t="str" cm="1">
        <f t="array" ref="N228">_xlfn.XLOOKUP(TRIM(D228),TRIM(DFC!A:A),DFC!A:A,"NÃO ESTÁ NA DFC")</f>
        <v xml:space="preserve">      TRANSPORTE - PAGAMENTO ENTREGA</v>
      </c>
    </row>
    <row r="229" spans="1:14" customFormat="1" ht="14.4" x14ac:dyDescent="0.3">
      <c r="A229" s="24"/>
      <c r="B229" s="21">
        <v>45947</v>
      </c>
      <c r="C229" s="21" t="s">
        <v>15</v>
      </c>
      <c r="D229" s="21" t="s">
        <v>138</v>
      </c>
      <c r="E229" s="20"/>
      <c r="F229" s="22" t="s">
        <v>168</v>
      </c>
      <c r="G229" s="252">
        <v>55</v>
      </c>
      <c r="H229" s="1"/>
      <c r="I229" s="1">
        <f>COUNTIF(Tabela1[NF],Tabela1[[#This Row],[NF]])</f>
        <v>0</v>
      </c>
      <c r="K229" s="13">
        <f>Tabela1[[#This Row],[DT. VENCIMENTO]]</f>
        <v>45947</v>
      </c>
      <c r="N229" s="14" t="str" cm="1">
        <f t="array" ref="N229">_xlfn.XLOOKUP(TRIM(D229),TRIM(DFC!A:A),DFC!A:A,"NÃO ESTÁ NA DFC")</f>
        <v xml:space="preserve">      TRANSPORTE - PAGAMENTO ENTREGA</v>
      </c>
    </row>
    <row r="230" spans="1:14" customFormat="1" ht="14.4" x14ac:dyDescent="0.3">
      <c r="A230" s="24"/>
      <c r="B230" s="21">
        <v>45947</v>
      </c>
      <c r="C230" s="21" t="s">
        <v>15</v>
      </c>
      <c r="D230" s="21" t="s">
        <v>138</v>
      </c>
      <c r="E230" s="20"/>
      <c r="F230" s="22" t="s">
        <v>168</v>
      </c>
      <c r="G230" s="252">
        <v>52</v>
      </c>
      <c r="H230" s="1"/>
      <c r="I230" s="1">
        <f>COUNTIF(Tabela1[NF],Tabela1[[#This Row],[NF]])</f>
        <v>0</v>
      </c>
      <c r="K230" s="13">
        <f>Tabela1[[#This Row],[DT. VENCIMENTO]]</f>
        <v>45947</v>
      </c>
      <c r="N230" s="14" t="str" cm="1">
        <f t="array" ref="N230">_xlfn.XLOOKUP(TRIM(D230),TRIM(DFC!A:A),DFC!A:A,"NÃO ESTÁ NA DFC")</f>
        <v xml:space="preserve">      TRANSPORTE - PAGAMENTO ENTREGA</v>
      </c>
    </row>
    <row r="231" spans="1:14" customFormat="1" ht="14.4" x14ac:dyDescent="0.3">
      <c r="A231" s="24"/>
      <c r="B231" s="21">
        <v>45947</v>
      </c>
      <c r="C231" s="21" t="s">
        <v>15</v>
      </c>
      <c r="D231" s="21" t="s">
        <v>138</v>
      </c>
      <c r="E231" s="20"/>
      <c r="F231" s="22" t="s">
        <v>236</v>
      </c>
      <c r="G231" s="252">
        <v>250</v>
      </c>
      <c r="H231" s="1"/>
      <c r="I231" s="1">
        <f>COUNTIF(Tabela1[NF],Tabela1[[#This Row],[NF]])</f>
        <v>0</v>
      </c>
      <c r="K231" s="13">
        <f>Tabela1[[#This Row],[DT. VENCIMENTO]]</f>
        <v>45947</v>
      </c>
      <c r="N231" s="14" t="str" cm="1">
        <f t="array" ref="N231">_xlfn.XLOOKUP(TRIM(D231),TRIM(DFC!A:A),DFC!A:A,"NÃO ESTÁ NA DFC")</f>
        <v xml:space="preserve">      TRANSPORTE - PAGAMENTO ENTREGA</v>
      </c>
    </row>
    <row r="232" spans="1:14" customFormat="1" ht="14.4" x14ac:dyDescent="0.3">
      <c r="A232" s="24"/>
      <c r="B232" s="21">
        <v>45947</v>
      </c>
      <c r="C232" s="21" t="s">
        <v>15</v>
      </c>
      <c r="D232" s="21" t="s">
        <v>138</v>
      </c>
      <c r="E232" s="20"/>
      <c r="F232" s="22" t="s">
        <v>168</v>
      </c>
      <c r="G232" s="252">
        <v>72.95</v>
      </c>
      <c r="H232" s="1"/>
      <c r="I232" s="1">
        <f>COUNTIF(Tabela1[NF],Tabela1[[#This Row],[NF]])</f>
        <v>0</v>
      </c>
      <c r="K232" s="13">
        <f>Tabela1[[#This Row],[DT. VENCIMENTO]]</f>
        <v>45947</v>
      </c>
      <c r="N232" s="14" t="str" cm="1">
        <f t="array" ref="N232">_xlfn.XLOOKUP(TRIM(D232),TRIM(DFC!A:A),DFC!A:A,"NÃO ESTÁ NA DFC")</f>
        <v xml:space="preserve">      TRANSPORTE - PAGAMENTO ENTREGA</v>
      </c>
    </row>
    <row r="233" spans="1:14" customFormat="1" ht="14.4" x14ac:dyDescent="0.3">
      <c r="A233" s="24"/>
      <c r="B233" s="21">
        <v>45947</v>
      </c>
      <c r="C233" s="21" t="s">
        <v>15</v>
      </c>
      <c r="D233" s="21" t="s">
        <v>138</v>
      </c>
      <c r="E233" s="20"/>
      <c r="F233" s="22" t="s">
        <v>168</v>
      </c>
      <c r="G233" s="252">
        <v>1600</v>
      </c>
      <c r="H233" s="1"/>
      <c r="I233" s="1">
        <f>COUNTIF(Tabela1[NF],Tabela1[[#This Row],[NF]])</f>
        <v>0</v>
      </c>
      <c r="K233" s="13">
        <f>Tabela1[[#This Row],[DT. VENCIMENTO]]</f>
        <v>45947</v>
      </c>
      <c r="N233" s="14" t="str" cm="1">
        <f t="array" ref="N233">_xlfn.XLOOKUP(TRIM(D233),TRIM(DFC!A:A),DFC!A:A,"NÃO ESTÁ NA DFC")</f>
        <v xml:space="preserve">      TRANSPORTE - PAGAMENTO ENTREGA</v>
      </c>
    </row>
    <row r="234" spans="1:14" customFormat="1" ht="14.4" x14ac:dyDescent="0.3">
      <c r="A234" s="24"/>
      <c r="B234" s="21">
        <v>45947</v>
      </c>
      <c r="C234" s="21" t="s">
        <v>15</v>
      </c>
      <c r="D234" s="21" t="s">
        <v>138</v>
      </c>
      <c r="E234" s="20"/>
      <c r="F234" s="22" t="s">
        <v>168</v>
      </c>
      <c r="G234" s="252">
        <v>1115</v>
      </c>
      <c r="H234" s="1"/>
      <c r="I234" s="1">
        <f>COUNTIF(Tabela1[NF],Tabela1[[#This Row],[NF]])</f>
        <v>0</v>
      </c>
      <c r="K234" s="13">
        <f>Tabela1[[#This Row],[DT. VENCIMENTO]]</f>
        <v>45947</v>
      </c>
      <c r="N234" s="14" t="str" cm="1">
        <f t="array" ref="N234">_xlfn.XLOOKUP(TRIM(D234),TRIM(DFC!A:A),DFC!A:A,"NÃO ESTÁ NA DFC")</f>
        <v xml:space="preserve">      TRANSPORTE - PAGAMENTO ENTREGA</v>
      </c>
    </row>
    <row r="235" spans="1:14" customFormat="1" ht="14.4" x14ac:dyDescent="0.3">
      <c r="A235" s="24"/>
      <c r="B235" s="21">
        <v>45947</v>
      </c>
      <c r="C235" s="21" t="s">
        <v>15</v>
      </c>
      <c r="D235" s="21" t="s">
        <v>138</v>
      </c>
      <c r="E235" s="20"/>
      <c r="F235" s="22" t="s">
        <v>168</v>
      </c>
      <c r="G235" s="252">
        <v>1500</v>
      </c>
      <c r="H235" s="1"/>
      <c r="I235" s="1">
        <f>COUNTIF(Tabela1[NF],Tabela1[[#This Row],[NF]])</f>
        <v>0</v>
      </c>
      <c r="K235" s="13">
        <f>Tabela1[[#This Row],[DT. VENCIMENTO]]</f>
        <v>45947</v>
      </c>
      <c r="N235" s="14" t="str" cm="1">
        <f t="array" ref="N235">_xlfn.XLOOKUP(TRIM(D235),TRIM(DFC!A:A),DFC!A:A,"NÃO ESTÁ NA DFC")</f>
        <v xml:space="preserve">      TRANSPORTE - PAGAMENTO ENTREGA</v>
      </c>
    </row>
    <row r="236" spans="1:14" customFormat="1" ht="14.4" x14ac:dyDescent="0.3">
      <c r="A236" s="24"/>
      <c r="B236" s="21">
        <v>45947</v>
      </c>
      <c r="C236" s="21" t="s">
        <v>15</v>
      </c>
      <c r="D236" s="21" t="s">
        <v>138</v>
      </c>
      <c r="E236" s="20"/>
      <c r="F236" s="22" t="s">
        <v>168</v>
      </c>
      <c r="G236" s="252">
        <v>360</v>
      </c>
      <c r="H236" s="1"/>
      <c r="I236" s="1">
        <f>COUNTIF(Tabela1[NF],Tabela1[[#This Row],[NF]])</f>
        <v>0</v>
      </c>
      <c r="K236" s="13">
        <f>Tabela1[[#This Row],[DT. VENCIMENTO]]</f>
        <v>45947</v>
      </c>
      <c r="N236" s="14" t="str" cm="1">
        <f t="array" ref="N236">_xlfn.XLOOKUP(TRIM(D236),TRIM(DFC!A:A),DFC!A:A,"NÃO ESTÁ NA DFC")</f>
        <v xml:space="preserve">      TRANSPORTE - PAGAMENTO ENTREGA</v>
      </c>
    </row>
    <row r="237" spans="1:14" customFormat="1" ht="14.4" x14ac:dyDescent="0.3">
      <c r="A237" s="24"/>
      <c r="B237" s="21">
        <v>45947</v>
      </c>
      <c r="C237" s="21" t="s">
        <v>15</v>
      </c>
      <c r="D237" s="21" t="s">
        <v>19</v>
      </c>
      <c r="E237" s="20"/>
      <c r="F237" s="28" t="s">
        <v>103</v>
      </c>
      <c r="G237" s="252">
        <v>3999.99</v>
      </c>
      <c r="H237" s="1"/>
      <c r="I237" s="1">
        <f>COUNTIF(Tabela1[NF],Tabela1[[#This Row],[NF]])</f>
        <v>0</v>
      </c>
      <c r="K237" s="13">
        <f>Tabela1[[#This Row],[DT. VENCIMENTO]]</f>
        <v>45947</v>
      </c>
      <c r="N237" s="14" t="str" cm="1">
        <f t="array" ref="N237">_xlfn.XLOOKUP(TRIM(D237),TRIM(DFC!A:A),DFC!A:A,"NÃO ESTÁ NA DFC")</f>
        <v xml:space="preserve">      PEÇAS</v>
      </c>
    </row>
    <row r="238" spans="1:14" customFormat="1" ht="14.4" x14ac:dyDescent="0.3">
      <c r="A238" s="19">
        <v>438751</v>
      </c>
      <c r="B238" s="21">
        <v>45947</v>
      </c>
      <c r="C238" s="21" t="s">
        <v>15</v>
      </c>
      <c r="D238" s="21" t="s">
        <v>19</v>
      </c>
      <c r="E238" s="20"/>
      <c r="F238" s="22" t="s">
        <v>20</v>
      </c>
      <c r="G238" s="252">
        <v>1138</v>
      </c>
      <c r="H238" s="1" t="s">
        <v>93</v>
      </c>
      <c r="I238" s="1">
        <f>COUNTIF(Tabela1[NF],Tabela1[[#This Row],[NF]])</f>
        <v>4</v>
      </c>
      <c r="K238" s="26">
        <f>Tabela1[[#This Row],[DT. VENCIMENTO]]</f>
        <v>45947</v>
      </c>
      <c r="N238" s="14" t="str" cm="1">
        <f t="array" ref="N238">_xlfn.XLOOKUP(TRIM(D238),TRIM(DFC!A:A),DFC!A:A,"NÃO ESTÁ NA DFC")</f>
        <v xml:space="preserve">      PEÇAS</v>
      </c>
    </row>
    <row r="239" spans="1:14" customFormat="1" ht="14.4" x14ac:dyDescent="0.3">
      <c r="A239" s="24">
        <v>104888</v>
      </c>
      <c r="B239" s="21">
        <v>45948</v>
      </c>
      <c r="C239" s="21" t="s">
        <v>15</v>
      </c>
      <c r="D239" s="21" t="s">
        <v>19</v>
      </c>
      <c r="E239" s="20"/>
      <c r="F239" s="22" t="s">
        <v>237</v>
      </c>
      <c r="G239" s="252">
        <v>792</v>
      </c>
      <c r="H239" s="1" t="s">
        <v>21</v>
      </c>
      <c r="I239" s="1">
        <f>COUNTIF(Tabela1[NF],Tabela1[[#This Row],[NF]])</f>
        <v>1</v>
      </c>
      <c r="K239" s="13">
        <v>45950</v>
      </c>
      <c r="N239" s="14" t="str" cm="1">
        <f t="array" ref="N239">_xlfn.XLOOKUP(TRIM(D239),TRIM(DFC!A:A),DFC!A:A,"NÃO ESTÁ NA DFC")</f>
        <v xml:space="preserve">      PEÇAS</v>
      </c>
    </row>
    <row r="240" spans="1:14" customFormat="1" ht="14.4" x14ac:dyDescent="0.3">
      <c r="A240" s="24">
        <v>151433</v>
      </c>
      <c r="B240" s="21">
        <v>45948</v>
      </c>
      <c r="C240" s="21" t="s">
        <v>15</v>
      </c>
      <c r="D240" s="21" t="s">
        <v>19</v>
      </c>
      <c r="E240" s="20"/>
      <c r="F240" s="22" t="s">
        <v>70</v>
      </c>
      <c r="G240" s="252">
        <v>6001.37</v>
      </c>
      <c r="H240" s="1" t="s">
        <v>238</v>
      </c>
      <c r="I240" s="1">
        <f>COUNTIF(Tabela1[NF],Tabela1[[#This Row],[NF]])</f>
        <v>1</v>
      </c>
      <c r="K240" s="13">
        <v>45950</v>
      </c>
      <c r="N240" s="14" t="str" cm="1">
        <f t="array" ref="N240">_xlfn.XLOOKUP(TRIM(D240),TRIM(DFC!A:A),DFC!A:A,"NÃO ESTÁ NA DFC")</f>
        <v xml:space="preserve">      PEÇAS</v>
      </c>
    </row>
    <row r="241" spans="1:14" customFormat="1" ht="14.4" x14ac:dyDescent="0.3">
      <c r="A241" s="24">
        <v>151438</v>
      </c>
      <c r="B241" s="21">
        <v>45948</v>
      </c>
      <c r="C241" s="21" t="s">
        <v>15</v>
      </c>
      <c r="D241" s="21" t="s">
        <v>19</v>
      </c>
      <c r="E241" s="20"/>
      <c r="F241" s="22" t="s">
        <v>70</v>
      </c>
      <c r="G241" s="252">
        <v>6762.7</v>
      </c>
      <c r="H241" s="1" t="s">
        <v>36</v>
      </c>
      <c r="I241" s="1">
        <f>COUNTIF(Tabela1[NF],Tabela1[[#This Row],[NF]])</f>
        <v>1</v>
      </c>
      <c r="K241" s="13">
        <v>45950</v>
      </c>
      <c r="N241" s="14" t="str" cm="1">
        <f t="array" ref="N241">_xlfn.XLOOKUP(TRIM(D241),TRIM(DFC!A:A),DFC!A:A,"NÃO ESTÁ NA DFC")</f>
        <v xml:space="preserve">      PEÇAS</v>
      </c>
    </row>
    <row r="242" spans="1:14" customFormat="1" ht="14.4" x14ac:dyDescent="0.3">
      <c r="A242" s="19">
        <v>12915</v>
      </c>
      <c r="B242" s="21">
        <v>45948</v>
      </c>
      <c r="C242" s="21" t="s">
        <v>15</v>
      </c>
      <c r="D242" s="21" t="s">
        <v>19</v>
      </c>
      <c r="E242" s="20"/>
      <c r="F242" s="22" t="s">
        <v>239</v>
      </c>
      <c r="G242" s="252">
        <v>15998.4</v>
      </c>
      <c r="H242" s="1" t="s">
        <v>59</v>
      </c>
      <c r="I242" s="1">
        <f>COUNTIF(Tabela1[NF],Tabela1[[#This Row],[NF]])</f>
        <v>1</v>
      </c>
      <c r="K242" s="13">
        <v>45950</v>
      </c>
      <c r="N242" s="14" t="str" cm="1">
        <f t="array" ref="N242">_xlfn.XLOOKUP(TRIM(D242),TRIM(DFC!A:A),DFC!A:A,"NÃO ESTÁ NA DFC")</f>
        <v xml:space="preserve">      PEÇAS</v>
      </c>
    </row>
    <row r="243" spans="1:14" customFormat="1" ht="14.4" x14ac:dyDescent="0.3">
      <c r="A243" s="19">
        <v>12942</v>
      </c>
      <c r="B243" s="21">
        <v>45948</v>
      </c>
      <c r="C243" s="21" t="s">
        <v>15</v>
      </c>
      <c r="D243" s="21" t="s">
        <v>19</v>
      </c>
      <c r="E243" s="20"/>
      <c r="F243" s="22" t="s">
        <v>239</v>
      </c>
      <c r="G243" s="252">
        <v>12598.74</v>
      </c>
      <c r="H243" s="1" t="s">
        <v>62</v>
      </c>
      <c r="I243" s="1">
        <f>COUNTIF(Tabela1[NF],Tabela1[[#This Row],[NF]])</f>
        <v>1</v>
      </c>
      <c r="K243" s="13">
        <v>45950</v>
      </c>
      <c r="N243" s="14" t="str" cm="1">
        <f t="array" ref="N243">_xlfn.XLOOKUP(TRIM(D243),TRIM(DFC!A:A),DFC!A:A,"NÃO ESTÁ NA DFC")</f>
        <v xml:space="preserve">      PEÇAS</v>
      </c>
    </row>
    <row r="244" spans="1:14" customFormat="1" ht="14.4" x14ac:dyDescent="0.3">
      <c r="A244" s="19">
        <v>12943</v>
      </c>
      <c r="B244" s="21">
        <v>45948</v>
      </c>
      <c r="C244" s="21" t="s">
        <v>15</v>
      </c>
      <c r="D244" s="21" t="s">
        <v>19</v>
      </c>
      <c r="E244" s="20"/>
      <c r="F244" s="22" t="s">
        <v>42</v>
      </c>
      <c r="G244" s="252">
        <v>1599.84</v>
      </c>
      <c r="H244" s="1" t="s">
        <v>36</v>
      </c>
      <c r="I244" s="1">
        <f>COUNTIF(Tabela1[NF],Tabela1[[#This Row],[NF]])</f>
        <v>2</v>
      </c>
      <c r="K244" s="13">
        <v>45950</v>
      </c>
      <c r="N244" s="14" t="str" cm="1">
        <f t="array" ref="N244">_xlfn.XLOOKUP(TRIM(D244),TRIM(DFC!A:A),DFC!A:A,"NÃO ESTÁ NA DFC")</f>
        <v xml:space="preserve">      PEÇAS</v>
      </c>
    </row>
    <row r="245" spans="1:14" customFormat="1" ht="14.4" x14ac:dyDescent="0.3">
      <c r="A245" s="19">
        <v>163145</v>
      </c>
      <c r="B245" s="21">
        <v>45948</v>
      </c>
      <c r="C245" s="21" t="s">
        <v>15</v>
      </c>
      <c r="D245" s="21" t="s">
        <v>154</v>
      </c>
      <c r="E245" s="20"/>
      <c r="F245" s="22" t="s">
        <v>64</v>
      </c>
      <c r="G245" s="252">
        <v>2689.4</v>
      </c>
      <c r="H245" s="1" t="s">
        <v>17</v>
      </c>
      <c r="I245" s="1">
        <f>COUNTIF(Tabela1[NF],Tabela1[[#This Row],[NF]])</f>
        <v>2</v>
      </c>
      <c r="K245" s="13">
        <v>45950</v>
      </c>
      <c r="N245" s="14" t="str" cm="1">
        <f t="array" ref="N245">_xlfn.XLOOKUP(TRIM(D245),TRIM(DFC!A:A),DFC!A:A,"NÃO ESTÁ NA DFC")</f>
        <v xml:space="preserve">      EMBALAGENS</v>
      </c>
    </row>
    <row r="246" spans="1:14" customFormat="1" ht="14.4" x14ac:dyDescent="0.3">
      <c r="A246" s="19"/>
      <c r="B246" s="21">
        <v>45948</v>
      </c>
      <c r="C246" s="21" t="s">
        <v>15</v>
      </c>
      <c r="D246" s="21" t="s">
        <v>23</v>
      </c>
      <c r="E246" s="20"/>
      <c r="F246" s="22" t="s">
        <v>240</v>
      </c>
      <c r="G246" s="252">
        <v>70</v>
      </c>
      <c r="H246" s="1" t="s">
        <v>21</v>
      </c>
      <c r="I246" s="1">
        <f>COUNTIF(Tabela1[NF],Tabela1[[#This Row],[NF]])</f>
        <v>0</v>
      </c>
      <c r="K246" s="13">
        <v>45950</v>
      </c>
      <c r="N246" s="14" t="str" cm="1">
        <f t="array" ref="N246">_xlfn.XLOOKUP(TRIM(D246),TRIM(DFC!A:A),DFC!A:A,"NÃO ESTÁ NA DFC")</f>
        <v xml:space="preserve">         CONTABILIDADE</v>
      </c>
    </row>
    <row r="247" spans="1:14" customFormat="1" ht="14.4" x14ac:dyDescent="0.3">
      <c r="A247" s="24">
        <v>15512</v>
      </c>
      <c r="B247" s="21">
        <v>45949</v>
      </c>
      <c r="C247" s="21" t="s">
        <v>15</v>
      </c>
      <c r="D247" s="21" t="s">
        <v>19</v>
      </c>
      <c r="E247" s="20"/>
      <c r="F247" s="22" t="s">
        <v>231</v>
      </c>
      <c r="G247" s="252">
        <v>978.28</v>
      </c>
      <c r="H247" s="1" t="s">
        <v>62</v>
      </c>
      <c r="I247" s="1">
        <f>COUNTIF(Tabela1[NF],Tabela1[[#This Row],[NF]])</f>
        <v>1</v>
      </c>
      <c r="K247" s="13">
        <v>45950</v>
      </c>
      <c r="N247" s="14" t="str" cm="1">
        <f t="array" ref="N247">_xlfn.XLOOKUP(TRIM(D247),TRIM(DFC!A:A),DFC!A:A,"NÃO ESTÁ NA DFC")</f>
        <v xml:space="preserve">      PEÇAS</v>
      </c>
    </row>
    <row r="248" spans="1:14" customFormat="1" ht="14.4" x14ac:dyDescent="0.3">
      <c r="A248" s="24">
        <v>148702</v>
      </c>
      <c r="B248" s="21">
        <v>45949</v>
      </c>
      <c r="C248" s="21" t="s">
        <v>15</v>
      </c>
      <c r="D248" s="21" t="s">
        <v>19</v>
      </c>
      <c r="E248" s="20"/>
      <c r="F248" s="22" t="s">
        <v>70</v>
      </c>
      <c r="G248" s="252">
        <v>854.42</v>
      </c>
      <c r="H248" s="1" t="s">
        <v>87</v>
      </c>
      <c r="I248" s="1">
        <f>COUNTIF(Tabela1[NF],Tabela1[[#This Row],[NF]])</f>
        <v>1</v>
      </c>
      <c r="K248" s="13">
        <v>45950</v>
      </c>
      <c r="N248" s="14" t="str" cm="1">
        <f t="array" ref="N248">_xlfn.XLOOKUP(TRIM(D248),TRIM(DFC!A:A),DFC!A:A,"NÃO ESTÁ NA DFC")</f>
        <v xml:space="preserve">      PEÇAS</v>
      </c>
    </row>
    <row r="249" spans="1:14" customFormat="1" ht="14.4" x14ac:dyDescent="0.3">
      <c r="A249" s="19">
        <v>29413</v>
      </c>
      <c r="B249" s="21">
        <v>45949</v>
      </c>
      <c r="C249" s="21" t="s">
        <v>15</v>
      </c>
      <c r="D249" s="21" t="s">
        <v>154</v>
      </c>
      <c r="E249" s="20"/>
      <c r="F249" s="22" t="s">
        <v>241</v>
      </c>
      <c r="G249" s="252">
        <v>1861.25</v>
      </c>
      <c r="H249" s="1" t="s">
        <v>62</v>
      </c>
      <c r="I249" s="1">
        <f>COUNTIF(Tabela1[NF],Tabela1[[#This Row],[NF]])</f>
        <v>1</v>
      </c>
      <c r="K249" s="13">
        <v>45950</v>
      </c>
      <c r="N249" s="14" t="str" cm="1">
        <f t="array" ref="N249">_xlfn.XLOOKUP(TRIM(D249),TRIM(DFC!A:A),DFC!A:A,"NÃO ESTÁ NA DFC")</f>
        <v xml:space="preserve">      EMBALAGENS</v>
      </c>
    </row>
    <row r="250" spans="1:14" customFormat="1" ht="14.4" x14ac:dyDescent="0.3">
      <c r="A250" s="19">
        <v>700</v>
      </c>
      <c r="B250" s="21">
        <v>45950</v>
      </c>
      <c r="C250" s="21" t="s">
        <v>44</v>
      </c>
      <c r="D250" s="21" t="s">
        <v>31</v>
      </c>
      <c r="E250" s="20"/>
      <c r="F250" s="22" t="s">
        <v>242</v>
      </c>
      <c r="G250" s="252">
        <v>11025.97</v>
      </c>
      <c r="H250" s="1"/>
      <c r="I250" s="1">
        <f>COUNTIF(Tabela1[NF],Tabela1[[#This Row],[NF]])</f>
        <v>2</v>
      </c>
      <c r="K250" s="13">
        <v>45950</v>
      </c>
      <c r="N250" s="14" t="str" cm="1">
        <f t="array" ref="N250">_xlfn.XLOOKUP(TRIM(D250),TRIM(DFC!A:A),DFC!A:A,"NÃO ESTÁ NA DFC")</f>
        <v xml:space="preserve">      GRAN RESIDENCE</v>
      </c>
    </row>
    <row r="251" spans="1:14" customFormat="1" ht="14.4" x14ac:dyDescent="0.3">
      <c r="A251" s="19">
        <v>41949</v>
      </c>
      <c r="B251" s="21">
        <v>45950</v>
      </c>
      <c r="C251" s="21" t="s">
        <v>44</v>
      </c>
      <c r="D251" s="21" t="s">
        <v>89</v>
      </c>
      <c r="E251" s="20"/>
      <c r="F251" s="22" t="s">
        <v>243</v>
      </c>
      <c r="G251" s="252">
        <v>1518</v>
      </c>
      <c r="H251" s="1"/>
      <c r="I251" s="1">
        <f>COUNTIF(Tabela1[NF],Tabela1[[#This Row],[NF]])</f>
        <v>1</v>
      </c>
      <c r="J251" t="s">
        <v>244</v>
      </c>
      <c r="K251" s="13">
        <v>45950</v>
      </c>
      <c r="N251" s="14" t="str" cm="1">
        <f t="array" ref="N251">_xlfn.XLOOKUP(TRIM(D251),TRIM(DFC!A:A),DFC!A:A,"NÃO ESTÁ NA DFC")</f>
        <v xml:space="preserve">          FUNDO PENITENCIÁRIO</v>
      </c>
    </row>
    <row r="252" spans="1:14" customFormat="1" ht="14.4" x14ac:dyDescent="0.3">
      <c r="A252" s="19">
        <v>148856</v>
      </c>
      <c r="B252" s="21">
        <v>45950</v>
      </c>
      <c r="C252" s="21" t="s">
        <v>15</v>
      </c>
      <c r="D252" s="21" t="s">
        <v>19</v>
      </c>
      <c r="E252" s="20"/>
      <c r="F252" s="22" t="s">
        <v>70</v>
      </c>
      <c r="G252" s="252">
        <v>1091.75</v>
      </c>
      <c r="H252" s="1" t="s">
        <v>87</v>
      </c>
      <c r="I252" s="1">
        <f>COUNTIF(Tabela1[NF],Tabela1[[#This Row],[NF]])</f>
        <v>1</v>
      </c>
      <c r="K252" s="13">
        <v>45950</v>
      </c>
      <c r="N252" s="14" t="str" cm="1">
        <f t="array" ref="N252">_xlfn.XLOOKUP(TRIM(D252),TRIM(DFC!A:A),DFC!A:A,"NÃO ESTÁ NA DFC")</f>
        <v xml:space="preserve">      PEÇAS</v>
      </c>
    </row>
    <row r="253" spans="1:14" customFormat="1" ht="14.4" x14ac:dyDescent="0.3">
      <c r="A253" s="19">
        <v>312216</v>
      </c>
      <c r="B253" s="21">
        <v>45950</v>
      </c>
      <c r="C253" s="21" t="s">
        <v>15</v>
      </c>
      <c r="D253" s="21" t="s">
        <v>19</v>
      </c>
      <c r="E253" s="20"/>
      <c r="F253" s="22" t="s">
        <v>245</v>
      </c>
      <c r="G253" s="252">
        <v>349.59</v>
      </c>
      <c r="H253" s="1" t="s">
        <v>52</v>
      </c>
      <c r="I253" s="1">
        <f>COUNTIF(Tabela1[NF],Tabela1[[#This Row],[NF]])</f>
        <v>1</v>
      </c>
      <c r="K253" s="13">
        <v>45950</v>
      </c>
      <c r="N253" s="14" t="str" cm="1">
        <f t="array" ref="N253">_xlfn.XLOOKUP(TRIM(D253),TRIM(DFC!A:A),DFC!A:A,"NÃO ESTÁ NA DFC")</f>
        <v xml:space="preserve">      PEÇAS</v>
      </c>
    </row>
    <row r="254" spans="1:14" customFormat="1" ht="14.4" x14ac:dyDescent="0.3">
      <c r="A254" s="19">
        <v>1049642</v>
      </c>
      <c r="B254" s="21">
        <v>45950</v>
      </c>
      <c r="C254" s="21" t="s">
        <v>15</v>
      </c>
      <c r="D254" s="21" t="s">
        <v>19</v>
      </c>
      <c r="E254" s="20"/>
      <c r="F254" s="22" t="s">
        <v>237</v>
      </c>
      <c r="G254" s="252">
        <v>680.4</v>
      </c>
      <c r="H254" s="1">
        <v>2</v>
      </c>
      <c r="I254" s="1">
        <f>COUNTIF(Tabela1[NF],Tabela1[[#This Row],[NF]])</f>
        <v>1</v>
      </c>
      <c r="K254" s="13">
        <v>45950</v>
      </c>
      <c r="N254" s="14" t="str" cm="1">
        <f t="array" ref="N254">_xlfn.XLOOKUP(TRIM(D254),TRIM(DFC!A:A),DFC!A:A,"NÃO ESTÁ NA DFC")</f>
        <v xml:space="preserve">      PEÇAS</v>
      </c>
    </row>
    <row r="255" spans="1:14" customFormat="1" ht="14.4" x14ac:dyDescent="0.3">
      <c r="A255" s="19">
        <v>1049649</v>
      </c>
      <c r="B255" s="21">
        <v>45950</v>
      </c>
      <c r="C255" s="21" t="s">
        <v>15</v>
      </c>
      <c r="D255" s="21" t="s">
        <v>19</v>
      </c>
      <c r="E255" s="20"/>
      <c r="F255" s="22" t="s">
        <v>237</v>
      </c>
      <c r="G255" s="252">
        <v>720</v>
      </c>
      <c r="H255" s="1"/>
      <c r="I255" s="1">
        <f>COUNTIF(Tabela1[NF],Tabela1[[#This Row],[NF]])</f>
        <v>1</v>
      </c>
      <c r="K255" s="13">
        <v>45950</v>
      </c>
      <c r="N255" s="14" t="str" cm="1">
        <f t="array" ref="N255">_xlfn.XLOOKUP(TRIM(D255),TRIM(DFC!A:A),DFC!A:A,"NÃO ESTÁ NA DFC")</f>
        <v xml:space="preserve">      PEÇAS</v>
      </c>
    </row>
    <row r="256" spans="1:14" customFormat="1" ht="14.4" x14ac:dyDescent="0.3">
      <c r="A256" s="19"/>
      <c r="B256" s="21">
        <v>45950</v>
      </c>
      <c r="C256" s="21" t="s">
        <v>44</v>
      </c>
      <c r="D256" s="21" t="s">
        <v>23</v>
      </c>
      <c r="E256" s="20"/>
      <c r="F256" s="22" t="s">
        <v>240</v>
      </c>
      <c r="G256" s="252">
        <v>1414</v>
      </c>
      <c r="H256" s="1" t="s">
        <v>21</v>
      </c>
      <c r="I256" s="1">
        <f>COUNTIF(Tabela1[NF],Tabela1[[#This Row],[NF]])</f>
        <v>0</v>
      </c>
      <c r="J256" t="s">
        <v>84</v>
      </c>
      <c r="K256" s="13">
        <v>45950</v>
      </c>
      <c r="N256" s="14" t="str" cm="1">
        <f t="array" ref="N256">_xlfn.XLOOKUP(TRIM(D256),TRIM(DFC!A:A),DFC!A:A,"NÃO ESTÁ NA DFC")</f>
        <v xml:space="preserve">         CONTABILIDADE</v>
      </c>
    </row>
    <row r="257" spans="1:14" customFormat="1" ht="14.4" x14ac:dyDescent="0.3">
      <c r="A257" s="27">
        <v>45901</v>
      </c>
      <c r="B257" s="21">
        <v>45950</v>
      </c>
      <c r="C257" s="21" t="s">
        <v>44</v>
      </c>
      <c r="D257" s="21" t="s">
        <v>92</v>
      </c>
      <c r="E257" s="20"/>
      <c r="F257" s="22" t="s">
        <v>92</v>
      </c>
      <c r="G257" s="252">
        <v>2206.13</v>
      </c>
      <c r="H257" s="1" t="s">
        <v>21</v>
      </c>
      <c r="I257" s="1">
        <f>COUNTIF(Tabela1[NF],Tabela1[[#This Row],[NF]])</f>
        <v>9</v>
      </c>
      <c r="K257" s="13">
        <v>45950</v>
      </c>
      <c r="N257" s="14" t="str" cm="1">
        <f t="array" ref="N257">_xlfn.XLOOKUP(TRIM(D257),TRIM(DFC!A:A),DFC!A:A,"NÃO ESTÁ NA DFC")</f>
        <v xml:space="preserve">          INSS</v>
      </c>
    </row>
    <row r="258" spans="1:14" customFormat="1" ht="14.4" x14ac:dyDescent="0.3">
      <c r="A258" s="27">
        <v>45901</v>
      </c>
      <c r="B258" s="21">
        <v>45950</v>
      </c>
      <c r="C258" s="21" t="s">
        <v>44</v>
      </c>
      <c r="D258" s="21" t="s">
        <v>94</v>
      </c>
      <c r="E258" s="20"/>
      <c r="F258" s="22" t="s">
        <v>94</v>
      </c>
      <c r="G258" s="252">
        <v>64.09</v>
      </c>
      <c r="H258" s="1" t="s">
        <v>21</v>
      </c>
      <c r="I258" s="1">
        <f>COUNTIF(Tabela1[NF],Tabela1[[#This Row],[NF]])</f>
        <v>9</v>
      </c>
      <c r="K258" s="13">
        <v>45950</v>
      </c>
      <c r="N258" s="14" t="str" cm="1">
        <f t="array" ref="N258">_xlfn.XLOOKUP(TRIM(D258),TRIM(DFC!A:A),DFC!A:A,"NÃO ESTÁ NA DFC")</f>
        <v xml:space="preserve">          IRPF</v>
      </c>
    </row>
    <row r="259" spans="1:14" customFormat="1" ht="14.4" x14ac:dyDescent="0.3">
      <c r="A259" s="23">
        <v>45931</v>
      </c>
      <c r="B259" s="21">
        <v>45950</v>
      </c>
      <c r="C259" s="21" t="s">
        <v>44</v>
      </c>
      <c r="D259" s="21" t="s">
        <v>246</v>
      </c>
      <c r="E259" s="20"/>
      <c r="F259" s="22" t="s">
        <v>45</v>
      </c>
      <c r="G259" s="252">
        <v>9396.09</v>
      </c>
      <c r="H259" s="1" t="s">
        <v>21</v>
      </c>
      <c r="I259" s="1">
        <f>COUNTIF(Tabela1[NF],Tabela1[[#This Row],[NF]])</f>
        <v>23</v>
      </c>
      <c r="J259" t="s">
        <v>46</v>
      </c>
      <c r="K259" s="13">
        <v>45950</v>
      </c>
      <c r="N259" s="14" t="str" cm="1">
        <f t="array" ref="N259">_xlfn.XLOOKUP(TRIM(D259),TRIM(DFC!A:A),DFC!A:A,"NÃO ESTÁ NA DFC")</f>
        <v xml:space="preserve">          VALES</v>
      </c>
    </row>
    <row r="260" spans="1:14" customFormat="1" ht="14.4" x14ac:dyDescent="0.3">
      <c r="A260" s="23">
        <v>45931</v>
      </c>
      <c r="B260" s="21">
        <v>45950</v>
      </c>
      <c r="C260" s="21" t="s">
        <v>15</v>
      </c>
      <c r="D260" s="21" t="s">
        <v>129</v>
      </c>
      <c r="E260" s="20"/>
      <c r="F260" s="22" t="s">
        <v>247</v>
      </c>
      <c r="G260" s="252">
        <v>14169.91</v>
      </c>
      <c r="H260" s="1"/>
      <c r="I260" s="1">
        <f>COUNTIF(Tabela1[NF],Tabela1[[#This Row],[NF]])</f>
        <v>23</v>
      </c>
      <c r="K260" s="13">
        <f>Tabela1[[#This Row],[DT. VENCIMENTO]]</f>
        <v>45950</v>
      </c>
      <c r="N260" s="14" t="str" cm="1">
        <f t="array" ref="N260">_xlfn.XLOOKUP(TRIM(D260),TRIM(DFC!A:A),DFC!A:A,"NÃO ESTÁ NA DFC")</f>
        <v xml:space="preserve">     SIMPLES NACIONAL</v>
      </c>
    </row>
    <row r="261" spans="1:14" customFormat="1" ht="14.4" x14ac:dyDescent="0.3">
      <c r="A261" s="24"/>
      <c r="B261" s="21">
        <v>45950</v>
      </c>
      <c r="C261" s="21" t="s">
        <v>15</v>
      </c>
      <c r="D261" s="21" t="s">
        <v>95</v>
      </c>
      <c r="E261" s="20"/>
      <c r="F261" s="28" t="s">
        <v>248</v>
      </c>
      <c r="G261" s="252">
        <v>16.329999999999998</v>
      </c>
      <c r="H261" s="1"/>
      <c r="I261" s="1">
        <f>COUNTIF(Tabela1[NF],Tabela1[[#This Row],[NF]])</f>
        <v>0</v>
      </c>
      <c r="K261" s="13">
        <f>Tabela1[[#This Row],[DT. VENCIMENTO]]</f>
        <v>45950</v>
      </c>
      <c r="N261" s="14" t="str" cm="1">
        <f t="array" ref="N261">_xlfn.XLOOKUP(TRIM(D261),TRIM(DFC!A:A),DFC!A:A,"NÃO ESTÁ NA DFC")</f>
        <v xml:space="preserve">          ISS</v>
      </c>
    </row>
    <row r="262" spans="1:14" customFormat="1" ht="14.4" x14ac:dyDescent="0.3">
      <c r="A262" s="24"/>
      <c r="B262" s="21">
        <v>45950</v>
      </c>
      <c r="C262" s="21" t="s">
        <v>15</v>
      </c>
      <c r="D262" s="21" t="s">
        <v>249</v>
      </c>
      <c r="E262" s="20" t="s">
        <v>250</v>
      </c>
      <c r="F262" s="28" t="s">
        <v>251</v>
      </c>
      <c r="G262" s="252">
        <v>1652.6</v>
      </c>
      <c r="H262" s="1"/>
      <c r="I262" s="1">
        <f>COUNTIF(Tabela1[NF],Tabela1[[#This Row],[NF]])</f>
        <v>0</v>
      </c>
      <c r="K262" s="13">
        <f>Tabela1[[#This Row],[DT. VENCIMENTO]]</f>
        <v>45950</v>
      </c>
      <c r="N262" s="14" t="str" cm="1">
        <f t="array" ref="N262">_xlfn.XLOOKUP(TRIM(D262),TRIM(DFC!A:A),DFC!A:A,"NÃO ESTÁ NA DFC")</f>
        <v xml:space="preserve">          SIMPLES NACIONAL PARCELAMENTO</v>
      </c>
    </row>
    <row r="263" spans="1:14" customFormat="1" ht="14.4" x14ac:dyDescent="0.3">
      <c r="A263" s="24"/>
      <c r="B263" s="21">
        <v>45950</v>
      </c>
      <c r="C263" s="21" t="s">
        <v>44</v>
      </c>
      <c r="D263" s="21" t="s">
        <v>86</v>
      </c>
      <c r="E263" s="20"/>
      <c r="F263" s="28" t="s">
        <v>248</v>
      </c>
      <c r="G263" s="252">
        <v>2270.2199999999998</v>
      </c>
      <c r="H263" s="1"/>
      <c r="I263" s="1">
        <f>COUNTIF(Tabela1[NF],Tabela1[[#This Row],[NF]])</f>
        <v>0</v>
      </c>
      <c r="K263" s="13">
        <f>Tabela1[[#This Row],[DT. VENCIMENTO]]</f>
        <v>45950</v>
      </c>
      <c r="N263" s="14" t="str" cm="1">
        <f t="array" ref="N263">_xlfn.XLOOKUP(TRIM(D263),TRIM(DFC!A:A),DFC!A:A,"NÃO ESTÁ NA DFC")</f>
        <v xml:space="preserve">          FGTS</v>
      </c>
    </row>
    <row r="264" spans="1:14" customFormat="1" ht="14.4" x14ac:dyDescent="0.3">
      <c r="A264" s="24">
        <v>3573</v>
      </c>
      <c r="B264" s="21">
        <v>45951</v>
      </c>
      <c r="C264" s="21" t="s">
        <v>15</v>
      </c>
      <c r="D264" s="21" t="s">
        <v>19</v>
      </c>
      <c r="E264" s="20"/>
      <c r="F264" s="22" t="s">
        <v>54</v>
      </c>
      <c r="G264" s="252">
        <v>767</v>
      </c>
      <c r="H264" s="1" t="s">
        <v>62</v>
      </c>
      <c r="I264" s="1">
        <f>COUNTIF(Tabela1[NF],Tabela1[[#This Row],[NF]])</f>
        <v>2</v>
      </c>
      <c r="J264" s="5"/>
      <c r="K264" s="13">
        <f>Tabela1[[#This Row],[DT. VENCIMENTO]]</f>
        <v>45951</v>
      </c>
      <c r="N264" s="14" t="str" cm="1">
        <f t="array" ref="N264">_xlfn.XLOOKUP(TRIM(D264),TRIM(DFC!A:A),DFC!A:A,"NÃO ESTÁ NA DFC")</f>
        <v xml:space="preserve">      PEÇAS</v>
      </c>
    </row>
    <row r="265" spans="1:14" customFormat="1" ht="14.4" x14ac:dyDescent="0.3">
      <c r="A265" s="24">
        <v>3657</v>
      </c>
      <c r="B265" s="21">
        <v>45951</v>
      </c>
      <c r="C265" s="21" t="s">
        <v>15</v>
      </c>
      <c r="D265" s="21" t="s">
        <v>19</v>
      </c>
      <c r="E265" s="20"/>
      <c r="F265" s="22" t="s">
        <v>58</v>
      </c>
      <c r="G265" s="252">
        <v>140.76</v>
      </c>
      <c r="H265" s="1">
        <v>3</v>
      </c>
      <c r="I265" s="1">
        <f>COUNTIF(Tabela1[NF],Tabela1[[#This Row],[NF]])</f>
        <v>1</v>
      </c>
      <c r="K265" s="13">
        <f>Tabela1[[#This Row],[DT. VENCIMENTO]]</f>
        <v>45951</v>
      </c>
      <c r="N265" s="14" t="str" cm="1">
        <f t="array" ref="N265">_xlfn.XLOOKUP(TRIM(D265),TRIM(DFC!A:A),DFC!A:A,"NÃO ESTÁ NA DFC")</f>
        <v xml:space="preserve">      PEÇAS</v>
      </c>
    </row>
    <row r="266" spans="1:14" customFormat="1" ht="14.4" x14ac:dyDescent="0.3">
      <c r="A266" s="19">
        <v>3660</v>
      </c>
      <c r="B266" s="21">
        <v>45951</v>
      </c>
      <c r="C266" s="21" t="s">
        <v>15</v>
      </c>
      <c r="D266" s="21" t="s">
        <v>19</v>
      </c>
      <c r="E266" s="20"/>
      <c r="F266" s="22" t="s">
        <v>58</v>
      </c>
      <c r="G266" s="252">
        <v>6441.04</v>
      </c>
      <c r="H266" s="1">
        <v>3</v>
      </c>
      <c r="I266" s="1">
        <f>COUNTIF(Tabela1[NF],Tabela1[[#This Row],[NF]])</f>
        <v>1</v>
      </c>
      <c r="K266" s="13">
        <f>Tabela1[[#This Row],[DT. VENCIMENTO]]</f>
        <v>45951</v>
      </c>
      <c r="N266" s="14" t="str" cm="1">
        <f t="array" ref="N266">_xlfn.XLOOKUP(TRIM(D266),TRIM(DFC!A:A),DFC!A:A,"NÃO ESTÁ NA DFC")</f>
        <v xml:space="preserve">      PEÇAS</v>
      </c>
    </row>
    <row r="267" spans="1:14" customFormat="1" ht="14.4" x14ac:dyDescent="0.3">
      <c r="A267" s="19">
        <v>7552</v>
      </c>
      <c r="B267" s="21">
        <v>45951</v>
      </c>
      <c r="C267" s="21" t="s">
        <v>15</v>
      </c>
      <c r="D267" s="21" t="s">
        <v>19</v>
      </c>
      <c r="E267" s="20"/>
      <c r="F267" s="22" t="s">
        <v>58</v>
      </c>
      <c r="G267" s="252">
        <v>140.76</v>
      </c>
      <c r="H267" s="1" t="s">
        <v>59</v>
      </c>
      <c r="I267" s="1">
        <f>COUNTIF(Tabela1[NF],Tabela1[[#This Row],[NF]])</f>
        <v>1</v>
      </c>
      <c r="K267" s="13">
        <f>Tabela1[[#This Row],[DT. VENCIMENTO]]</f>
        <v>45951</v>
      </c>
      <c r="N267" s="14" t="str" cm="1">
        <f t="array" ref="N267">_xlfn.XLOOKUP(TRIM(D267),TRIM(DFC!A:A),DFC!A:A,"NÃO ESTÁ NA DFC")</f>
        <v xml:space="preserve">      PEÇAS</v>
      </c>
    </row>
    <row r="268" spans="1:14" customFormat="1" ht="14.4" x14ac:dyDescent="0.3">
      <c r="A268" s="24">
        <v>7557</v>
      </c>
      <c r="B268" s="21">
        <v>45951</v>
      </c>
      <c r="C268" s="21" t="s">
        <v>15</v>
      </c>
      <c r="D268" s="21" t="s">
        <v>19</v>
      </c>
      <c r="E268" s="20"/>
      <c r="F268" s="22" t="s">
        <v>58</v>
      </c>
      <c r="G268" s="252">
        <v>6441.04</v>
      </c>
      <c r="H268" s="1" t="s">
        <v>59</v>
      </c>
      <c r="I268" s="1">
        <f>COUNTIF(Tabela1[NF],Tabela1[[#This Row],[NF]])</f>
        <v>1</v>
      </c>
      <c r="K268" s="13">
        <f>Tabela1[[#This Row],[DT. VENCIMENTO]]</f>
        <v>45951</v>
      </c>
      <c r="N268" s="14" t="str" cm="1">
        <f t="array" ref="N268">_xlfn.XLOOKUP(TRIM(D268),TRIM(DFC!A:A),DFC!A:A,"NÃO ESTÁ NA DFC")</f>
        <v xml:space="preserve">      PEÇAS</v>
      </c>
    </row>
    <row r="269" spans="1:14" customFormat="1" ht="14.4" x14ac:dyDescent="0.3">
      <c r="A269" s="24">
        <v>121495</v>
      </c>
      <c r="B269" s="21">
        <v>45951</v>
      </c>
      <c r="C269" s="21" t="s">
        <v>15</v>
      </c>
      <c r="D269" s="21" t="s">
        <v>19</v>
      </c>
      <c r="E269" s="20"/>
      <c r="F269" s="22" t="s">
        <v>61</v>
      </c>
      <c r="G269" s="252">
        <v>2403.44</v>
      </c>
      <c r="H269" s="1">
        <v>1</v>
      </c>
      <c r="I269" s="1">
        <f>COUNTIF(Tabela1[NF],Tabela1[[#This Row],[NF]])</f>
        <v>1</v>
      </c>
      <c r="K269" s="13">
        <f>Tabela1[[#This Row],[DT. VENCIMENTO]]</f>
        <v>45951</v>
      </c>
      <c r="N269" s="14" t="str" cm="1">
        <f t="array" ref="N269">_xlfn.XLOOKUP(TRIM(D269),TRIM(DFC!A:A),DFC!A:A,"NÃO ESTÁ NA DFC")</f>
        <v xml:space="preserve">      PEÇAS</v>
      </c>
    </row>
    <row r="270" spans="1:14" customFormat="1" ht="14.4" x14ac:dyDescent="0.3">
      <c r="A270" s="19">
        <v>151916</v>
      </c>
      <c r="B270" s="21">
        <v>45951</v>
      </c>
      <c r="C270" s="21" t="s">
        <v>15</v>
      </c>
      <c r="D270" s="21" t="s">
        <v>19</v>
      </c>
      <c r="E270" s="20"/>
      <c r="F270" s="22" t="s">
        <v>70</v>
      </c>
      <c r="G270" s="252">
        <v>3907.44</v>
      </c>
      <c r="H270" s="1" t="s">
        <v>93</v>
      </c>
      <c r="I270" s="1">
        <f>COUNTIF(Tabela1[NF],Tabela1[[#This Row],[NF]])</f>
        <v>1</v>
      </c>
      <c r="K270" s="13">
        <f>Tabela1[[#This Row],[DT. VENCIMENTO]]</f>
        <v>45951</v>
      </c>
      <c r="N270" s="14" t="str" cm="1">
        <f t="array" ref="N270">_xlfn.XLOOKUP(TRIM(D270),TRIM(DFC!A:A),DFC!A:A,"NÃO ESTÁ NA DFC")</f>
        <v xml:space="preserve">      PEÇAS</v>
      </c>
    </row>
    <row r="271" spans="1:14" customFormat="1" ht="14.4" x14ac:dyDescent="0.3">
      <c r="A271" s="24">
        <v>221024</v>
      </c>
      <c r="B271" s="21">
        <v>45951</v>
      </c>
      <c r="C271" s="21" t="s">
        <v>15</v>
      </c>
      <c r="D271" s="21" t="s">
        <v>19</v>
      </c>
      <c r="E271" s="20"/>
      <c r="F271" s="22" t="s">
        <v>48</v>
      </c>
      <c r="G271" s="252">
        <v>1776.71</v>
      </c>
      <c r="H271" s="1" t="s">
        <v>252</v>
      </c>
      <c r="I271" s="1">
        <f>COUNTIF(Tabela1[NF],Tabela1[[#This Row],[NF]])</f>
        <v>2</v>
      </c>
      <c r="K271" s="13">
        <f>Tabela1[[#This Row],[DT. VENCIMENTO]]</f>
        <v>45951</v>
      </c>
      <c r="N271" s="14" t="str" cm="1">
        <f t="array" ref="N271">_xlfn.XLOOKUP(TRIM(D271),TRIM(DFC!A:A),DFC!A:A,"NÃO ESTÁ NA DFC")</f>
        <v xml:space="preserve">      PEÇAS</v>
      </c>
    </row>
    <row r="272" spans="1:14" customFormat="1" ht="14.4" x14ac:dyDescent="0.3">
      <c r="A272" s="23">
        <v>45931</v>
      </c>
      <c r="B272" s="21">
        <v>45951</v>
      </c>
      <c r="C272" s="21" t="s">
        <v>15</v>
      </c>
      <c r="D272" s="21" t="s">
        <v>19</v>
      </c>
      <c r="E272" s="20"/>
      <c r="F272" s="22" t="s">
        <v>253</v>
      </c>
      <c r="G272" s="252">
        <v>100</v>
      </c>
      <c r="H272" s="1"/>
      <c r="I272" s="1">
        <f>COUNTIF(Tabela1[NF],Tabela1[[#This Row],[NF]])</f>
        <v>23</v>
      </c>
      <c r="J272" t="s">
        <v>254</v>
      </c>
      <c r="K272" s="13">
        <f>Tabela1[[#This Row],[DT. VENCIMENTO]]</f>
        <v>45951</v>
      </c>
      <c r="N272" s="14" t="str" cm="1">
        <f t="array" ref="N272">_xlfn.XLOOKUP(TRIM(D272),TRIM(DFC!A:A),DFC!A:A,"NÃO ESTÁ NA DFC")</f>
        <v xml:space="preserve">      PEÇAS</v>
      </c>
    </row>
    <row r="273" spans="1:14" customFormat="1" ht="14.4" x14ac:dyDescent="0.3">
      <c r="A273" s="24"/>
      <c r="B273" s="21">
        <v>45951</v>
      </c>
      <c r="C273" s="21" t="s">
        <v>15</v>
      </c>
      <c r="D273" s="21" t="s">
        <v>98</v>
      </c>
      <c r="E273" s="20"/>
      <c r="F273" s="22" t="s">
        <v>255</v>
      </c>
      <c r="G273" s="252">
        <v>20</v>
      </c>
      <c r="H273" s="1"/>
      <c r="I273" s="1">
        <f>COUNTIF(Tabela1[NF],Tabela1[[#This Row],[NF]])</f>
        <v>0</v>
      </c>
      <c r="K273" s="13">
        <f>Tabela1[[#This Row],[DT. VENCIMENTO]]</f>
        <v>45951</v>
      </c>
      <c r="N273" s="14" t="str" cm="1">
        <f t="array" ref="N273">_xlfn.XLOOKUP(TRIM(D273),TRIM(DFC!A:A),DFC!A:A,"NÃO ESTÁ NA DFC")</f>
        <v xml:space="preserve">     REEMBOLSO SAC</v>
      </c>
    </row>
    <row r="274" spans="1:14" customFormat="1" ht="14.4" x14ac:dyDescent="0.3">
      <c r="A274" s="24"/>
      <c r="B274" s="21">
        <v>45951</v>
      </c>
      <c r="C274" s="21" t="s">
        <v>15</v>
      </c>
      <c r="D274" s="21" t="s">
        <v>98</v>
      </c>
      <c r="E274" s="20"/>
      <c r="F274" s="22" t="s">
        <v>256</v>
      </c>
      <c r="G274" s="252">
        <v>15</v>
      </c>
      <c r="H274" s="1"/>
      <c r="I274" s="1">
        <f>COUNTIF(Tabela1[NF],Tabela1[[#This Row],[NF]])</f>
        <v>0</v>
      </c>
      <c r="K274" s="13">
        <f>Tabela1[[#This Row],[DT. VENCIMENTO]]</f>
        <v>45951</v>
      </c>
      <c r="N274" s="14" t="str" cm="1">
        <f t="array" ref="N274">_xlfn.XLOOKUP(TRIM(D274),TRIM(DFC!A:A),DFC!A:A,"NÃO ESTÁ NA DFC")</f>
        <v xml:space="preserve">     REEMBOLSO SAC</v>
      </c>
    </row>
    <row r="275" spans="1:14" customFormat="1" ht="14.4" x14ac:dyDescent="0.3">
      <c r="A275" s="24"/>
      <c r="B275" s="21">
        <v>45951</v>
      </c>
      <c r="C275" s="21" t="s">
        <v>15</v>
      </c>
      <c r="D275" s="21" t="s">
        <v>98</v>
      </c>
      <c r="E275" s="20"/>
      <c r="F275" s="22" t="s">
        <v>257</v>
      </c>
      <c r="G275" s="252">
        <v>25</v>
      </c>
      <c r="H275" s="1"/>
      <c r="I275" s="1">
        <f>COUNTIF(Tabela1[NF],Tabela1[[#This Row],[NF]])</f>
        <v>0</v>
      </c>
      <c r="K275" s="13">
        <f>Tabela1[[#This Row],[DT. VENCIMENTO]]</f>
        <v>45951</v>
      </c>
      <c r="N275" s="14" t="str" cm="1">
        <f t="array" ref="N275">_xlfn.XLOOKUP(TRIM(D275),TRIM(DFC!A:A),DFC!A:A,"NÃO ESTÁ NA DFC")</f>
        <v xml:space="preserve">     REEMBOLSO SAC</v>
      </c>
    </row>
    <row r="276" spans="1:14" customFormat="1" ht="14.4" x14ac:dyDescent="0.3">
      <c r="A276" s="24"/>
      <c r="B276" s="21">
        <v>45951</v>
      </c>
      <c r="C276" s="21" t="s">
        <v>15</v>
      </c>
      <c r="D276" s="21" t="s">
        <v>98</v>
      </c>
      <c r="E276" s="20"/>
      <c r="F276" s="22" t="s">
        <v>258</v>
      </c>
      <c r="G276" s="252">
        <v>60</v>
      </c>
      <c r="H276" s="1"/>
      <c r="I276" s="1">
        <f>COUNTIF(Tabela1[NF],Tabela1[[#This Row],[NF]])</f>
        <v>0</v>
      </c>
      <c r="K276" s="13">
        <f>Tabela1[[#This Row],[DT. VENCIMENTO]]</f>
        <v>45951</v>
      </c>
      <c r="N276" s="14" t="str" cm="1">
        <f t="array" ref="N276">_xlfn.XLOOKUP(TRIM(D276),TRIM(DFC!A:A),DFC!A:A,"NÃO ESTÁ NA DFC")</f>
        <v xml:space="preserve">     REEMBOLSO SAC</v>
      </c>
    </row>
    <row r="277" spans="1:14" customFormat="1" ht="14.4" x14ac:dyDescent="0.3">
      <c r="A277" s="24"/>
      <c r="B277" s="21">
        <v>45951</v>
      </c>
      <c r="C277" s="21" t="s">
        <v>15</v>
      </c>
      <c r="D277" s="21" t="s">
        <v>246</v>
      </c>
      <c r="E277" s="20" t="s">
        <v>259</v>
      </c>
      <c r="F277" s="22" t="s">
        <v>159</v>
      </c>
      <c r="G277" s="252">
        <v>3000</v>
      </c>
      <c r="H277" s="1"/>
      <c r="I277" s="1">
        <f>COUNTIF(Tabela1[NF],Tabela1[[#This Row],[NF]])</f>
        <v>0</v>
      </c>
      <c r="K277" s="13">
        <f>Tabela1[[#This Row],[DT. VENCIMENTO]]</f>
        <v>45951</v>
      </c>
      <c r="N277" s="14" t="str" cm="1">
        <f t="array" ref="N277">_xlfn.XLOOKUP(TRIM(D277),TRIM(DFC!A:A),DFC!A:A,"NÃO ESTÁ NA DFC")</f>
        <v xml:space="preserve">          VALES</v>
      </c>
    </row>
    <row r="278" spans="1:14" customFormat="1" ht="14.4" x14ac:dyDescent="0.3">
      <c r="A278" s="19">
        <v>3103</v>
      </c>
      <c r="B278" s="21">
        <v>45952</v>
      </c>
      <c r="C278" s="21" t="s">
        <v>15</v>
      </c>
      <c r="D278" s="21" t="s">
        <v>19</v>
      </c>
      <c r="E278" s="20"/>
      <c r="F278" s="22" t="s">
        <v>260</v>
      </c>
      <c r="G278" s="252">
        <v>6740</v>
      </c>
      <c r="H278" s="1" t="s">
        <v>93</v>
      </c>
      <c r="I278" s="1">
        <f>COUNTIF(Tabela1[NF],Tabela1[[#This Row],[NF]])</f>
        <v>1</v>
      </c>
      <c r="K278" s="13">
        <f>Tabela1[[#This Row],[DT. VENCIMENTO]]</f>
        <v>45952</v>
      </c>
      <c r="N278" s="14" t="str" cm="1">
        <f t="array" ref="N278">_xlfn.XLOOKUP(TRIM(D278),TRIM(DFC!A:A),DFC!A:A,"NÃO ESTÁ NA DFC")</f>
        <v xml:space="preserve">      PEÇAS</v>
      </c>
    </row>
    <row r="279" spans="1:14" customFormat="1" ht="14.4" x14ac:dyDescent="0.3">
      <c r="A279" s="19">
        <v>3568</v>
      </c>
      <c r="B279" s="21">
        <v>45952</v>
      </c>
      <c r="C279" s="21" t="s">
        <v>15</v>
      </c>
      <c r="D279" s="21" t="s">
        <v>19</v>
      </c>
      <c r="E279" s="20"/>
      <c r="F279" s="22" t="s">
        <v>54</v>
      </c>
      <c r="G279" s="252">
        <v>6996.9</v>
      </c>
      <c r="H279" s="1" t="s">
        <v>261</v>
      </c>
      <c r="I279" s="1">
        <f>COUNTIF(Tabela1[NF],Tabela1[[#This Row],[NF]])</f>
        <v>3</v>
      </c>
      <c r="J279" t="s">
        <v>56</v>
      </c>
      <c r="K279" s="13">
        <f>Tabela1[[#This Row],[DT. VENCIMENTO]]</f>
        <v>45952</v>
      </c>
      <c r="N279" s="14" t="str" cm="1">
        <f t="array" ref="N279">_xlfn.XLOOKUP(TRIM(D279),TRIM(DFC!A:A),DFC!A:A,"NÃO ESTÁ NA DFC")</f>
        <v xml:space="preserve">      PEÇAS</v>
      </c>
    </row>
    <row r="280" spans="1:14" customFormat="1" ht="14.4" x14ac:dyDescent="0.3">
      <c r="A280" s="19">
        <v>3904</v>
      </c>
      <c r="B280" s="21">
        <v>45952</v>
      </c>
      <c r="C280" s="21" t="s">
        <v>15</v>
      </c>
      <c r="D280" s="21" t="s">
        <v>19</v>
      </c>
      <c r="E280" s="20"/>
      <c r="F280" s="22" t="s">
        <v>58</v>
      </c>
      <c r="G280" s="252">
        <v>4093.88</v>
      </c>
      <c r="H280" s="1">
        <v>2</v>
      </c>
      <c r="I280" s="1">
        <f>COUNTIF(Tabela1[NF],Tabela1[[#This Row],[NF]])</f>
        <v>1</v>
      </c>
      <c r="K280" s="13">
        <f>Tabela1[[#This Row],[DT. VENCIMENTO]]</f>
        <v>45952</v>
      </c>
      <c r="N280" s="14" t="str" cm="1">
        <f t="array" ref="N280">_xlfn.XLOOKUP(TRIM(D280),TRIM(DFC!A:A),DFC!A:A,"NÃO ESTÁ NA DFC")</f>
        <v xml:space="preserve">      PEÇAS</v>
      </c>
    </row>
    <row r="281" spans="1:14" customFormat="1" ht="14.4" x14ac:dyDescent="0.3">
      <c r="A281" s="19">
        <v>4223</v>
      </c>
      <c r="B281" s="21">
        <v>45952</v>
      </c>
      <c r="C281" s="21" t="s">
        <v>15</v>
      </c>
      <c r="D281" s="21" t="s">
        <v>19</v>
      </c>
      <c r="E281" s="20"/>
      <c r="F281" s="22" t="s">
        <v>58</v>
      </c>
      <c r="G281" s="252">
        <v>7134.45</v>
      </c>
      <c r="H281" s="1" t="s">
        <v>17</v>
      </c>
      <c r="I281" s="1">
        <f>COUNTIF(Tabela1[NF],Tabela1[[#This Row],[NF]])</f>
        <v>1</v>
      </c>
      <c r="K281" s="13">
        <f>Tabela1[[#This Row],[DT. VENCIMENTO]]</f>
        <v>45952</v>
      </c>
      <c r="N281" s="14" t="str" cm="1">
        <f t="array" ref="N281">_xlfn.XLOOKUP(TRIM(D281),TRIM(DFC!A:A),DFC!A:A,"NÃO ESTÁ NA DFC")</f>
        <v xml:space="preserve">      PEÇAS</v>
      </c>
    </row>
    <row r="282" spans="1:14" customFormat="1" ht="14.4" x14ac:dyDescent="0.3">
      <c r="A282" s="19">
        <v>7889</v>
      </c>
      <c r="B282" s="21">
        <v>45952</v>
      </c>
      <c r="C282" s="21" t="s">
        <v>15</v>
      </c>
      <c r="D282" s="21" t="s">
        <v>19</v>
      </c>
      <c r="E282" s="20"/>
      <c r="F282" s="22" t="s">
        <v>58</v>
      </c>
      <c r="G282" s="252">
        <v>4093.88</v>
      </c>
      <c r="H282" s="1" t="s">
        <v>36</v>
      </c>
      <c r="I282" s="1">
        <f>COUNTIF(Tabela1[NF],Tabela1[[#This Row],[NF]])</f>
        <v>1</v>
      </c>
      <c r="K282" s="13">
        <f>Tabela1[[#This Row],[DT. VENCIMENTO]]</f>
        <v>45952</v>
      </c>
      <c r="N282" s="14" t="str" cm="1">
        <f t="array" ref="N282">_xlfn.XLOOKUP(TRIM(D282),TRIM(DFC!A:A),DFC!A:A,"NÃO ESTÁ NA DFC")</f>
        <v xml:space="preserve">      PEÇAS</v>
      </c>
    </row>
    <row r="283" spans="1:14" customFormat="1" ht="14.4" x14ac:dyDescent="0.3">
      <c r="A283" s="19">
        <v>8279</v>
      </c>
      <c r="B283" s="21">
        <v>45952</v>
      </c>
      <c r="C283" s="21" t="s">
        <v>15</v>
      </c>
      <c r="D283" s="21" t="s">
        <v>19</v>
      </c>
      <c r="E283" s="20"/>
      <c r="F283" s="22" t="s">
        <v>58</v>
      </c>
      <c r="G283" s="252">
        <v>7134.45</v>
      </c>
      <c r="H283" s="1" t="s">
        <v>17</v>
      </c>
      <c r="I283" s="1">
        <f>COUNTIF(Tabela1[NF],Tabela1[[#This Row],[NF]])</f>
        <v>1</v>
      </c>
      <c r="K283" s="13">
        <f>Tabela1[[#This Row],[DT. VENCIMENTO]]</f>
        <v>45952</v>
      </c>
      <c r="N283" s="14" t="str" cm="1">
        <f t="array" ref="N283">_xlfn.XLOOKUP(TRIM(D283),TRIM(DFC!A:A),DFC!A:A,"NÃO ESTÁ NA DFC")</f>
        <v xml:space="preserve">      PEÇAS</v>
      </c>
    </row>
    <row r="284" spans="1:14" customFormat="1" ht="14.4" x14ac:dyDescent="0.3">
      <c r="A284" s="19">
        <v>149130</v>
      </c>
      <c r="B284" s="21">
        <v>45952</v>
      </c>
      <c r="C284" s="21" t="s">
        <v>15</v>
      </c>
      <c r="D284" s="21" t="s">
        <v>19</v>
      </c>
      <c r="E284" s="20"/>
      <c r="F284" s="22" t="s">
        <v>70</v>
      </c>
      <c r="G284" s="252">
        <v>778.47</v>
      </c>
      <c r="H284" s="1" t="s">
        <v>87</v>
      </c>
      <c r="I284" s="1">
        <f>COUNTIF(Tabela1[NF],Tabela1[[#This Row],[NF]])</f>
        <v>1</v>
      </c>
      <c r="K284" s="13">
        <f>Tabela1[[#This Row],[DT. VENCIMENTO]]</f>
        <v>45952</v>
      </c>
      <c r="N284" s="14" t="str" cm="1">
        <f t="array" ref="N284">_xlfn.XLOOKUP(TRIM(D284),TRIM(DFC!A:A),DFC!A:A,"NÃO ESTÁ NA DFC")</f>
        <v xml:space="preserve">      PEÇAS</v>
      </c>
    </row>
    <row r="285" spans="1:14" customFormat="1" ht="14.4" x14ac:dyDescent="0.3">
      <c r="A285" s="19">
        <v>149136</v>
      </c>
      <c r="B285" s="21">
        <v>45952</v>
      </c>
      <c r="C285" s="21" t="s">
        <v>15</v>
      </c>
      <c r="D285" s="21" t="s">
        <v>19</v>
      </c>
      <c r="E285" s="20"/>
      <c r="F285" s="22" t="s">
        <v>70</v>
      </c>
      <c r="G285" s="252">
        <v>92.87</v>
      </c>
      <c r="H285" s="1">
        <v>6</v>
      </c>
      <c r="I285" s="1">
        <f>COUNTIF(Tabela1[NF],Tabela1[[#This Row],[NF]])</f>
        <v>1</v>
      </c>
      <c r="J285" t="s">
        <v>84</v>
      </c>
      <c r="K285" s="13">
        <f>Tabela1[[#This Row],[DT. VENCIMENTO]]</f>
        <v>45952</v>
      </c>
      <c r="N285" s="14" t="str" cm="1">
        <f t="array" ref="N285">_xlfn.XLOOKUP(TRIM(D285),TRIM(DFC!A:A),DFC!A:A,"NÃO ESTÁ NA DFC")</f>
        <v xml:space="preserve">      PEÇAS</v>
      </c>
    </row>
    <row r="286" spans="1:14" customFormat="1" ht="14.4" x14ac:dyDescent="0.3">
      <c r="A286" s="19">
        <v>149153</v>
      </c>
      <c r="B286" s="21">
        <v>45952</v>
      </c>
      <c r="C286" s="21" t="s">
        <v>15</v>
      </c>
      <c r="D286" s="21" t="s">
        <v>19</v>
      </c>
      <c r="E286" s="20"/>
      <c r="F286" s="22" t="s">
        <v>70</v>
      </c>
      <c r="G286" s="252">
        <v>810.22</v>
      </c>
      <c r="H286" s="1" t="s">
        <v>87</v>
      </c>
      <c r="I286" s="1">
        <f>COUNTIF(Tabela1[NF],Tabela1[[#This Row],[NF]])</f>
        <v>1</v>
      </c>
      <c r="K286" s="13">
        <f>Tabela1[[#This Row],[DT. VENCIMENTO]]</f>
        <v>45952</v>
      </c>
      <c r="N286" s="14" t="str" cm="1">
        <f t="array" ref="N286">_xlfn.XLOOKUP(TRIM(D286),TRIM(DFC!A:A),DFC!A:A,"NÃO ESTÁ NA DFC")</f>
        <v xml:space="preserve">      PEÇAS</v>
      </c>
    </row>
    <row r="287" spans="1:14" customFormat="1" ht="14.4" x14ac:dyDescent="0.3">
      <c r="A287" s="19">
        <v>149169</v>
      </c>
      <c r="B287" s="21">
        <v>45952</v>
      </c>
      <c r="C287" s="21" t="s">
        <v>15</v>
      </c>
      <c r="D287" s="21" t="s">
        <v>19</v>
      </c>
      <c r="E287" s="20"/>
      <c r="F287" s="22" t="s">
        <v>70</v>
      </c>
      <c r="G287" s="252">
        <v>783.78</v>
      </c>
      <c r="H287" s="1" t="s">
        <v>87</v>
      </c>
      <c r="I287" s="1">
        <f>COUNTIF(Tabela1[NF],Tabela1[[#This Row],[NF]])</f>
        <v>1</v>
      </c>
      <c r="K287" s="13">
        <f>Tabela1[[#This Row],[DT. VENCIMENTO]]</f>
        <v>45952</v>
      </c>
      <c r="N287" s="14" t="str" cm="1">
        <f t="array" ref="N287">_xlfn.XLOOKUP(TRIM(D287),TRIM(DFC!A:A),DFC!A:A,"NÃO ESTÁ NA DFC")</f>
        <v xml:space="preserve">      PEÇAS</v>
      </c>
    </row>
    <row r="288" spans="1:14" customFormat="1" ht="14.4" x14ac:dyDescent="0.3">
      <c r="A288" s="19">
        <v>162915</v>
      </c>
      <c r="B288" s="21">
        <v>45952</v>
      </c>
      <c r="C288" s="21" t="s">
        <v>15</v>
      </c>
      <c r="D288" s="21" t="s">
        <v>154</v>
      </c>
      <c r="E288" s="20"/>
      <c r="F288" s="22" t="s">
        <v>64</v>
      </c>
      <c r="G288" s="252">
        <v>2657.1</v>
      </c>
      <c r="H288" s="1" t="s">
        <v>59</v>
      </c>
      <c r="I288" s="1">
        <f>COUNTIF(Tabela1[NF],Tabela1[[#This Row],[NF]])</f>
        <v>3</v>
      </c>
      <c r="K288" s="13">
        <f>Tabela1[[#This Row],[DT. VENCIMENTO]]</f>
        <v>45952</v>
      </c>
      <c r="N288" s="14" t="str" cm="1">
        <f t="array" ref="N288">_xlfn.XLOOKUP(TRIM(D288),TRIM(DFC!A:A),DFC!A:A,"NÃO ESTÁ NA DFC")</f>
        <v xml:space="preserve">      EMBALAGENS</v>
      </c>
    </row>
    <row r="289" spans="1:14" customFormat="1" ht="14.4" x14ac:dyDescent="0.3">
      <c r="A289" s="19" t="s">
        <v>262</v>
      </c>
      <c r="B289" s="21">
        <v>45952</v>
      </c>
      <c r="C289" s="21" t="s">
        <v>15</v>
      </c>
      <c r="D289" s="21" t="s">
        <v>29</v>
      </c>
      <c r="E289" s="20"/>
      <c r="F289" s="22" t="s">
        <v>263</v>
      </c>
      <c r="G289" s="252">
        <v>409.02</v>
      </c>
      <c r="H289" s="1">
        <v>1</v>
      </c>
      <c r="I289" s="1">
        <f>COUNTIF(Tabela1[NF],Tabela1[[#This Row],[NF]])</f>
        <v>1</v>
      </c>
      <c r="K289" s="13">
        <f>Tabela1[[#This Row],[DT. VENCIMENTO]]</f>
        <v>45952</v>
      </c>
      <c r="N289" s="14" t="str" cm="1">
        <f t="array" ref="N289">_xlfn.XLOOKUP(TRIM(D289),TRIM(DFC!A:A),DFC!A:A,"NÃO ESTÁ NA DFC")</f>
        <v xml:space="preserve">      FRETE DE SAÍDA</v>
      </c>
    </row>
    <row r="290" spans="1:14" customFormat="1" ht="14.4" x14ac:dyDescent="0.3">
      <c r="A290" s="23">
        <v>45931</v>
      </c>
      <c r="B290" s="21">
        <v>45952</v>
      </c>
      <c r="C290" s="21" t="s">
        <v>44</v>
      </c>
      <c r="D290" s="21" t="s">
        <v>136</v>
      </c>
      <c r="E290" s="20"/>
      <c r="F290" s="22" t="s">
        <v>264</v>
      </c>
      <c r="G290" s="252">
        <v>8079.75</v>
      </c>
      <c r="H290" s="1"/>
      <c r="I290" s="1">
        <f>COUNTIF(Tabela1[NF],Tabela1[[#This Row],[NF]])</f>
        <v>23</v>
      </c>
      <c r="K290" s="13">
        <v>45952</v>
      </c>
      <c r="N290" s="14" t="str" cm="1">
        <f t="array" ref="N290">_xlfn.XLOOKUP(TRIM(D290),TRIM(DFC!A:A),DFC!A:A,"NÃO ESTÁ NA DFC")</f>
        <v xml:space="preserve">      TERRENO LINHAM</v>
      </c>
    </row>
    <row r="291" spans="1:14" customFormat="1" ht="14.4" x14ac:dyDescent="0.3">
      <c r="A291" s="24"/>
      <c r="B291" s="21">
        <v>45952</v>
      </c>
      <c r="C291" s="21" t="s">
        <v>15</v>
      </c>
      <c r="D291" s="21" t="s">
        <v>265</v>
      </c>
      <c r="E291" s="20"/>
      <c r="F291" s="22" t="s">
        <v>266</v>
      </c>
      <c r="G291" s="252">
        <v>2340</v>
      </c>
      <c r="H291" s="1"/>
      <c r="I291" s="1">
        <f>COUNTIF(Tabela1[NF],Tabela1[[#This Row],[NF]])</f>
        <v>0</v>
      </c>
      <c r="K291" s="13">
        <f>Tabela1[[#This Row],[DT. VENCIMENTO]]</f>
        <v>45952</v>
      </c>
      <c r="N291" s="14" t="str" cm="1">
        <f t="array" ref="N291">_xlfn.XLOOKUP(TRIM(D291),TRIM(DFC!A:A),DFC!A:A,"NÃO ESTÁ NA DFC")</f>
        <v xml:space="preserve">      PROJETO CASAS CONSTRUIR</v>
      </c>
    </row>
    <row r="292" spans="1:14" customFormat="1" ht="14.4" x14ac:dyDescent="0.3">
      <c r="A292" s="24"/>
      <c r="B292" s="21">
        <v>45952</v>
      </c>
      <c r="C292" s="21" t="s">
        <v>15</v>
      </c>
      <c r="D292" s="21" t="s">
        <v>98</v>
      </c>
      <c r="E292" s="20"/>
      <c r="F292" s="22" t="s">
        <v>267</v>
      </c>
      <c r="G292" s="252">
        <v>15</v>
      </c>
      <c r="H292" s="1"/>
      <c r="I292" s="1">
        <f>COUNTIF(Tabela1[NF],Tabela1[[#This Row],[NF]])</f>
        <v>0</v>
      </c>
      <c r="K292" s="13">
        <f>Tabela1[[#This Row],[DT. VENCIMENTO]]</f>
        <v>45952</v>
      </c>
      <c r="N292" s="14" t="str" cm="1">
        <f t="array" ref="N292">_xlfn.XLOOKUP(TRIM(D292),TRIM(DFC!A:A),DFC!A:A,"NÃO ESTÁ NA DFC")</f>
        <v xml:space="preserve">     REEMBOLSO SAC</v>
      </c>
    </row>
    <row r="293" spans="1:14" customFormat="1" ht="14.4" x14ac:dyDescent="0.3">
      <c r="A293" s="24"/>
      <c r="B293" s="21">
        <v>45952</v>
      </c>
      <c r="C293" s="21" t="s">
        <v>15</v>
      </c>
      <c r="D293" s="21" t="s">
        <v>19</v>
      </c>
      <c r="E293" s="20"/>
      <c r="F293" s="28" t="s">
        <v>103</v>
      </c>
      <c r="G293" s="252">
        <v>9566.66</v>
      </c>
      <c r="H293" s="1"/>
      <c r="I293" s="1">
        <f>COUNTIF(Tabela1[NF],Tabela1[[#This Row],[NF]])</f>
        <v>0</v>
      </c>
      <c r="K293" s="13">
        <f>Tabela1[[#This Row],[DT. VENCIMENTO]]</f>
        <v>45952</v>
      </c>
      <c r="N293" s="14" t="str" cm="1">
        <f t="array" ref="N293">_xlfn.XLOOKUP(TRIM(D293),TRIM(DFC!A:A),DFC!A:A,"NÃO ESTÁ NA DFC")</f>
        <v xml:space="preserve">      PEÇAS</v>
      </c>
    </row>
    <row r="294" spans="1:14" customFormat="1" ht="14.4" x14ac:dyDescent="0.3">
      <c r="A294" s="19">
        <v>455145</v>
      </c>
      <c r="B294" s="21">
        <v>45952</v>
      </c>
      <c r="C294" s="21" t="s">
        <v>15</v>
      </c>
      <c r="D294" s="21" t="s">
        <v>19</v>
      </c>
      <c r="E294" s="20"/>
      <c r="F294" s="22" t="s">
        <v>20</v>
      </c>
      <c r="G294" s="252">
        <v>820</v>
      </c>
      <c r="H294" s="1" t="s">
        <v>71</v>
      </c>
      <c r="I294" s="1">
        <f>COUNTIF(Tabela1[NF],Tabela1[[#This Row],[NF]])</f>
        <v>1</v>
      </c>
      <c r="K294" s="26">
        <f>Tabela1[[#This Row],[DT. VENCIMENTO]]</f>
        <v>45952</v>
      </c>
      <c r="N294" s="14" t="str" cm="1">
        <f t="array" ref="N294">_xlfn.XLOOKUP(TRIM(D294),TRIM(DFC!A:A),DFC!A:A,"NÃO ESTÁ NA DFC")</f>
        <v xml:space="preserve">      PEÇAS</v>
      </c>
    </row>
    <row r="295" spans="1:14" customFormat="1" ht="14.4" x14ac:dyDescent="0.3">
      <c r="A295" s="19">
        <v>1464</v>
      </c>
      <c r="B295" s="21">
        <v>45953</v>
      </c>
      <c r="C295" s="21" t="s">
        <v>15</v>
      </c>
      <c r="D295" s="21" t="s">
        <v>19</v>
      </c>
      <c r="E295" s="20"/>
      <c r="F295" s="22" t="s">
        <v>268</v>
      </c>
      <c r="G295" s="252">
        <v>9733.32</v>
      </c>
      <c r="H295" s="1">
        <v>2</v>
      </c>
      <c r="I295" s="1">
        <f>COUNTIF(Tabela1[NF],Tabela1[[#This Row],[NF]])</f>
        <v>1</v>
      </c>
      <c r="K295" s="13">
        <f>Tabela1[[#This Row],[DT. VENCIMENTO]]</f>
        <v>45953</v>
      </c>
      <c r="N295" s="14" t="str" cm="1">
        <f t="array" ref="N295">_xlfn.XLOOKUP(TRIM(D295),TRIM(DFC!A:A),DFC!A:A,"NÃO ESTÁ NA DFC")</f>
        <v xml:space="preserve">      PEÇAS</v>
      </c>
    </row>
    <row r="296" spans="1:14" customFormat="1" ht="14.4" x14ac:dyDescent="0.3">
      <c r="A296" s="19">
        <v>83343</v>
      </c>
      <c r="B296" s="21">
        <v>45953</v>
      </c>
      <c r="C296" s="21" t="s">
        <v>15</v>
      </c>
      <c r="D296" s="21" t="s">
        <v>19</v>
      </c>
      <c r="E296" s="20"/>
      <c r="F296" s="22" t="s">
        <v>269</v>
      </c>
      <c r="G296" s="252">
        <v>563.03</v>
      </c>
      <c r="H296" s="1" t="s">
        <v>17</v>
      </c>
      <c r="I296" s="1">
        <f>COUNTIF(Tabela1[NF],Tabela1[[#This Row],[NF]])</f>
        <v>1</v>
      </c>
      <c r="K296" s="13">
        <f>Tabela1[[#This Row],[DT. VENCIMENTO]]</f>
        <v>45953</v>
      </c>
      <c r="N296" s="14" t="str" cm="1">
        <f t="array" ref="N296">_xlfn.XLOOKUP(TRIM(D296),TRIM(DFC!A:A),DFC!A:A,"NÃO ESTÁ NA DFC")</f>
        <v xml:space="preserve">      PEÇAS</v>
      </c>
    </row>
    <row r="297" spans="1:14" customFormat="1" ht="14.4" x14ac:dyDescent="0.3">
      <c r="A297" s="19">
        <v>2900386</v>
      </c>
      <c r="B297" s="21">
        <v>45953</v>
      </c>
      <c r="C297" s="21" t="s">
        <v>15</v>
      </c>
      <c r="D297" s="21" t="s">
        <v>29</v>
      </c>
      <c r="E297" s="20"/>
      <c r="F297" s="22" t="s">
        <v>270</v>
      </c>
      <c r="G297" s="252">
        <v>296.24</v>
      </c>
      <c r="H297" s="1"/>
      <c r="I297" s="1">
        <f>COUNTIF(Tabela1[NF],Tabela1[[#This Row],[NF]])</f>
        <v>1</v>
      </c>
      <c r="K297" s="13">
        <f>Tabela1[[#This Row],[DT. VENCIMENTO]]</f>
        <v>45953</v>
      </c>
      <c r="N297" s="14" t="str" cm="1">
        <f t="array" ref="N297">_xlfn.XLOOKUP(TRIM(D297),TRIM(DFC!A:A),DFC!A:A,"NÃO ESTÁ NA DFC")</f>
        <v xml:space="preserve">      FRETE DE SAÍDA</v>
      </c>
    </row>
    <row r="298" spans="1:14" customFormat="1" ht="14.4" x14ac:dyDescent="0.3">
      <c r="A298" s="23">
        <v>45931</v>
      </c>
      <c r="B298" s="21">
        <v>45953</v>
      </c>
      <c r="C298" s="21" t="s">
        <v>15</v>
      </c>
      <c r="D298" s="21" t="s">
        <v>138</v>
      </c>
      <c r="E298" s="20"/>
      <c r="F298" s="22" t="s">
        <v>271</v>
      </c>
      <c r="G298" s="252">
        <v>1146.67</v>
      </c>
      <c r="H298" s="1"/>
      <c r="I298" s="1">
        <f>COUNTIF(Tabela1[NF],Tabela1[[#This Row],[NF]])</f>
        <v>23</v>
      </c>
      <c r="K298" s="13">
        <f>Tabela1[[#This Row],[DT. VENCIMENTO]]</f>
        <v>45953</v>
      </c>
      <c r="N298" s="14" t="str" cm="1">
        <f t="array" ref="N298">_xlfn.XLOOKUP(TRIM(D298),TRIM(DFC!A:A),DFC!A:A,"NÃO ESTÁ NA DFC")</f>
        <v xml:space="preserve">      TRANSPORTE - PAGAMENTO ENTREGA</v>
      </c>
    </row>
    <row r="299" spans="1:14" customFormat="1" ht="14.4" x14ac:dyDescent="0.3">
      <c r="A299" s="23">
        <v>45931</v>
      </c>
      <c r="B299" s="21">
        <v>45953</v>
      </c>
      <c r="C299" s="21" t="s">
        <v>15</v>
      </c>
      <c r="D299" s="21" t="s">
        <v>142</v>
      </c>
      <c r="E299" s="20"/>
      <c r="F299" s="22" t="s">
        <v>272</v>
      </c>
      <c r="G299" s="252">
        <v>1117.5</v>
      </c>
      <c r="H299" s="1"/>
      <c r="I299" s="1">
        <f>COUNTIF(Tabela1[NF],Tabela1[[#This Row],[NF]])</f>
        <v>23</v>
      </c>
      <c r="K299" s="13">
        <f>Tabela1[[#This Row],[DT. VENCIMENTO]]</f>
        <v>45953</v>
      </c>
      <c r="N299" s="14" t="str" cm="1">
        <f t="array" ref="N299">_xlfn.XLOOKUP(TRIM(D299),TRIM(DFC!A:A),DFC!A:A,"NÃO ESTÁ NA DFC")</f>
        <v xml:space="preserve">          UNIFORMES GOTT</v>
      </c>
    </row>
    <row r="300" spans="1:14" customFormat="1" ht="14.4" x14ac:dyDescent="0.3">
      <c r="A300" s="23">
        <v>45931</v>
      </c>
      <c r="B300" s="21">
        <v>45953</v>
      </c>
      <c r="C300" s="21" t="s">
        <v>15</v>
      </c>
      <c r="D300" s="21" t="s">
        <v>134</v>
      </c>
      <c r="E300" s="20"/>
      <c r="F300" s="22" t="s">
        <v>273</v>
      </c>
      <c r="G300" s="252">
        <v>227.84</v>
      </c>
      <c r="H300" s="1"/>
      <c r="I300" s="1">
        <f>COUNTIF(Tabela1[NF],Tabela1[[#This Row],[NF]])</f>
        <v>23</v>
      </c>
      <c r="K300" s="13">
        <f>Tabela1[[#This Row],[DT. VENCIMENTO]]</f>
        <v>45953</v>
      </c>
      <c r="N300" s="14" t="str" cm="1">
        <f t="array" ref="N300">_xlfn.XLOOKUP(TRIM(D300),TRIM(DFC!A:A),DFC!A:A,"NÃO ESTÁ NA DFC")</f>
        <v xml:space="preserve">          TELEFONIA</v>
      </c>
    </row>
    <row r="301" spans="1:14" customFormat="1" ht="14.4" x14ac:dyDescent="0.3">
      <c r="A301" s="23">
        <v>45931</v>
      </c>
      <c r="B301" s="21">
        <v>45953</v>
      </c>
      <c r="C301" s="21" t="s">
        <v>15</v>
      </c>
      <c r="D301" s="21" t="s">
        <v>111</v>
      </c>
      <c r="E301" s="20"/>
      <c r="F301" s="22" t="s">
        <v>274</v>
      </c>
      <c r="G301" s="252">
        <v>9.57</v>
      </c>
      <c r="H301" s="1"/>
      <c r="I301" s="1">
        <f>COUNTIF(Tabela1[NF],Tabela1[[#This Row],[NF]])</f>
        <v>23</v>
      </c>
      <c r="K301" s="13">
        <f>Tabela1[[#This Row],[DT. VENCIMENTO]]</f>
        <v>45953</v>
      </c>
      <c r="N301" s="14" t="str" cm="1">
        <f t="array" ref="N301">_xlfn.XLOOKUP(TRIM(D301),TRIM(DFC!A:A),DFC!A:A,"NÃO ESTÁ NA DFC")</f>
        <v xml:space="preserve">          TX. BANCÁRIA</v>
      </c>
    </row>
    <row r="302" spans="1:14" customFormat="1" ht="14.4" x14ac:dyDescent="0.3">
      <c r="A302" s="19">
        <v>975</v>
      </c>
      <c r="B302" s="21">
        <v>45954</v>
      </c>
      <c r="C302" s="21" t="s">
        <v>15</v>
      </c>
      <c r="D302" s="21" t="s">
        <v>19</v>
      </c>
      <c r="E302" s="20"/>
      <c r="F302" s="22" t="s">
        <v>74</v>
      </c>
      <c r="G302" s="252">
        <v>2361.2600000000002</v>
      </c>
      <c r="H302" s="1" t="s">
        <v>62</v>
      </c>
      <c r="I302" s="1">
        <f>COUNTIF(Tabela1[NF],Tabela1[[#This Row],[NF]])</f>
        <v>2</v>
      </c>
      <c r="K302" s="13">
        <f>Tabela1[[#This Row],[DT. VENCIMENTO]]</f>
        <v>45954</v>
      </c>
      <c r="N302" s="14" t="str" cm="1">
        <f t="array" ref="N302">_xlfn.XLOOKUP(TRIM(D302),TRIM(DFC!A:A),DFC!A:A,"NÃO ESTÁ NA DFC")</f>
        <v xml:space="preserve">      PEÇAS</v>
      </c>
    </row>
    <row r="303" spans="1:14" customFormat="1" ht="14.4" x14ac:dyDescent="0.3">
      <c r="A303" s="19">
        <v>1606</v>
      </c>
      <c r="B303" s="21">
        <v>45954</v>
      </c>
      <c r="C303" s="21" t="s">
        <v>15</v>
      </c>
      <c r="D303" s="21" t="s">
        <v>19</v>
      </c>
      <c r="E303" s="20"/>
      <c r="F303" s="22" t="s">
        <v>260</v>
      </c>
      <c r="G303" s="252">
        <v>10425.68</v>
      </c>
      <c r="H303" s="1" t="s">
        <v>71</v>
      </c>
      <c r="I303" s="1">
        <f>COUNTIF(Tabela1[NF],Tabela1[[#This Row],[NF]])</f>
        <v>1</v>
      </c>
      <c r="K303" s="13">
        <f>Tabela1[[#This Row],[DT. VENCIMENTO]]</f>
        <v>45954</v>
      </c>
      <c r="N303" s="14" t="str" cm="1">
        <f t="array" ref="N303">_xlfn.XLOOKUP(TRIM(D303),TRIM(DFC!A:A),DFC!A:A,"NÃO ESTÁ NA DFC")</f>
        <v xml:space="preserve">      PEÇAS</v>
      </c>
    </row>
    <row r="304" spans="1:14" customFormat="1" ht="14.4" x14ac:dyDescent="0.3">
      <c r="A304" s="19">
        <v>7385</v>
      </c>
      <c r="B304" s="21">
        <v>45954</v>
      </c>
      <c r="C304" s="21" t="s">
        <v>15</v>
      </c>
      <c r="D304" s="21" t="s">
        <v>19</v>
      </c>
      <c r="E304" s="20"/>
      <c r="F304" s="22" t="s">
        <v>74</v>
      </c>
      <c r="G304" s="252">
        <v>1011.96</v>
      </c>
      <c r="H304" s="1" t="s">
        <v>62</v>
      </c>
      <c r="I304" s="1">
        <f>COUNTIF(Tabela1[NF],Tabela1[[#This Row],[NF]])</f>
        <v>2</v>
      </c>
      <c r="K304" s="13">
        <f>Tabela1[[#This Row],[DT. VENCIMENTO]]</f>
        <v>45954</v>
      </c>
      <c r="N304" s="14" t="str" cm="1">
        <f t="array" ref="N304">_xlfn.XLOOKUP(TRIM(D304),TRIM(DFC!A:A),DFC!A:A,"NÃO ESTÁ NA DFC")</f>
        <v xml:space="preserve">      PEÇAS</v>
      </c>
    </row>
    <row r="305" spans="1:14" customFormat="1" ht="14.4" x14ac:dyDescent="0.3">
      <c r="A305" s="19">
        <v>7921</v>
      </c>
      <c r="B305" s="21">
        <v>45954</v>
      </c>
      <c r="C305" s="21" t="s">
        <v>15</v>
      </c>
      <c r="D305" s="21" t="s">
        <v>19</v>
      </c>
      <c r="E305" s="20"/>
      <c r="F305" s="22" t="s">
        <v>58</v>
      </c>
      <c r="G305" s="252">
        <v>5970.25</v>
      </c>
      <c r="H305" s="1" t="s">
        <v>36</v>
      </c>
      <c r="I305" s="1">
        <f>COUNTIF(Tabela1[NF],Tabela1[[#This Row],[NF]])</f>
        <v>2</v>
      </c>
      <c r="K305" s="13">
        <f>Tabela1[[#This Row],[DT. VENCIMENTO]]</f>
        <v>45954</v>
      </c>
      <c r="N305" s="14" t="str" cm="1">
        <f t="array" ref="N305">_xlfn.XLOOKUP(TRIM(D305),TRIM(DFC!A:A),DFC!A:A,"NÃO ESTÁ NA DFC")</f>
        <v xml:space="preserve">      PEÇAS</v>
      </c>
    </row>
    <row r="306" spans="1:14" customFormat="1" ht="14.4" x14ac:dyDescent="0.3">
      <c r="A306" s="19">
        <v>9747</v>
      </c>
      <c r="B306" s="21">
        <v>45954</v>
      </c>
      <c r="C306" s="21" t="s">
        <v>15</v>
      </c>
      <c r="D306" s="21" t="s">
        <v>37</v>
      </c>
      <c r="E306" s="20"/>
      <c r="F306" s="22" t="s">
        <v>179</v>
      </c>
      <c r="G306" s="252">
        <v>411.09</v>
      </c>
      <c r="H306" s="1" t="s">
        <v>21</v>
      </c>
      <c r="I306" s="1">
        <f>COUNTIF(Tabela1[NF],Tabela1[[#This Row],[NF]])</f>
        <v>1</v>
      </c>
      <c r="K306" s="13">
        <f>Tabela1[[#This Row],[DT. VENCIMENTO]]</f>
        <v>45954</v>
      </c>
      <c r="N306" s="14" t="str" cm="1">
        <f t="array" ref="N306">_xlfn.XLOOKUP(TRIM(D306),TRIM(DFC!A:A),DFC!A:A,"NÃO ESTÁ NA DFC")</f>
        <v xml:space="preserve">          MATERIAL DE ESCRITÓRIO</v>
      </c>
    </row>
    <row r="307" spans="1:14" customFormat="1" ht="14.4" x14ac:dyDescent="0.3">
      <c r="A307" s="19">
        <v>9752</v>
      </c>
      <c r="B307" s="21">
        <v>45954</v>
      </c>
      <c r="C307" s="21" t="s">
        <v>15</v>
      </c>
      <c r="D307" s="21" t="s">
        <v>37</v>
      </c>
      <c r="E307" s="20"/>
      <c r="F307" s="22" t="s">
        <v>179</v>
      </c>
      <c r="G307" s="252">
        <v>58.27</v>
      </c>
      <c r="H307" s="1" t="s">
        <v>21</v>
      </c>
      <c r="I307" s="1">
        <f>COUNTIF(Tabela1[NF],Tabela1[[#This Row],[NF]])</f>
        <v>1</v>
      </c>
      <c r="K307" s="13">
        <f>Tabela1[[#This Row],[DT. VENCIMENTO]]</f>
        <v>45954</v>
      </c>
      <c r="N307" s="14" t="str" cm="1">
        <f t="array" ref="N307">_xlfn.XLOOKUP(TRIM(D307),TRIM(DFC!A:A),DFC!A:A,"NÃO ESTÁ NA DFC")</f>
        <v xml:space="preserve">          MATERIAL DE ESCRITÓRIO</v>
      </c>
    </row>
    <row r="308" spans="1:14" customFormat="1" ht="14.4" x14ac:dyDescent="0.3">
      <c r="A308" s="19">
        <v>146243</v>
      </c>
      <c r="B308" s="21">
        <v>45954</v>
      </c>
      <c r="C308" s="21" t="s">
        <v>15</v>
      </c>
      <c r="D308" s="21" t="s">
        <v>19</v>
      </c>
      <c r="E308" s="20"/>
      <c r="F308" s="22" t="s">
        <v>70</v>
      </c>
      <c r="G308" s="252">
        <v>2008.42</v>
      </c>
      <c r="H308" s="1" t="s">
        <v>71</v>
      </c>
      <c r="I308" s="1">
        <f>COUNTIF(Tabela1[NF],Tabela1[[#This Row],[NF]])</f>
        <v>1</v>
      </c>
      <c r="K308" s="13">
        <f>Tabela1[[#This Row],[DT. VENCIMENTO]]</f>
        <v>45954</v>
      </c>
      <c r="N308" s="14" t="str" cm="1">
        <f t="array" ref="N308">_xlfn.XLOOKUP(TRIM(D308),TRIM(DFC!A:A),DFC!A:A,"NÃO ESTÁ NA DFC")</f>
        <v xml:space="preserve">      PEÇAS</v>
      </c>
    </row>
    <row r="309" spans="1:14" customFormat="1" ht="14.4" x14ac:dyDescent="0.3">
      <c r="A309" s="19">
        <v>147480</v>
      </c>
      <c r="B309" s="21">
        <v>45954</v>
      </c>
      <c r="C309" s="21" t="s">
        <v>15</v>
      </c>
      <c r="D309" s="21" t="s">
        <v>154</v>
      </c>
      <c r="E309" s="20"/>
      <c r="F309" s="22" t="s">
        <v>180</v>
      </c>
      <c r="G309" s="252">
        <v>1107.5999999999999</v>
      </c>
      <c r="H309" s="1" t="s">
        <v>59</v>
      </c>
      <c r="I309" s="1">
        <f>COUNTIF(Tabela1[NF],Tabela1[[#This Row],[NF]])</f>
        <v>3</v>
      </c>
      <c r="K309" s="13">
        <f>Tabela1[[#This Row],[DT. VENCIMENTO]]</f>
        <v>45954</v>
      </c>
      <c r="N309" s="14" t="str" cm="1">
        <f t="array" ref="N309">_xlfn.XLOOKUP(TRIM(D309),TRIM(DFC!A:A),DFC!A:A,"NÃO ESTÁ NA DFC")</f>
        <v xml:space="preserve">      EMBALAGENS</v>
      </c>
    </row>
    <row r="310" spans="1:14" customFormat="1" ht="14.4" x14ac:dyDescent="0.3">
      <c r="A310" s="19">
        <v>155430</v>
      </c>
      <c r="B310" s="21">
        <v>45954</v>
      </c>
      <c r="C310" s="21" t="s">
        <v>15</v>
      </c>
      <c r="D310" s="21" t="s">
        <v>19</v>
      </c>
      <c r="E310" s="20"/>
      <c r="F310" s="22" t="s">
        <v>70</v>
      </c>
      <c r="G310" s="252">
        <v>5221.6000000000004</v>
      </c>
      <c r="H310" s="1" t="s">
        <v>55</v>
      </c>
      <c r="I310" s="1">
        <f>COUNTIF(Tabela1[NF],Tabela1[[#This Row],[NF]])</f>
        <v>1</v>
      </c>
      <c r="K310" s="13">
        <f>Tabela1[[#This Row],[DT. VENCIMENTO]]</f>
        <v>45954</v>
      </c>
      <c r="N310" s="14" t="str" cm="1">
        <f t="array" ref="N310">_xlfn.XLOOKUP(TRIM(D310),TRIM(DFC!A:A),DFC!A:A,"NÃO ESTÁ NA DFC")</f>
        <v xml:space="preserve">      PEÇAS</v>
      </c>
    </row>
    <row r="311" spans="1:14" customFormat="1" ht="14.4" x14ac:dyDescent="0.3">
      <c r="A311" s="19">
        <v>479</v>
      </c>
      <c r="B311" s="21">
        <v>45954</v>
      </c>
      <c r="C311" s="21" t="s">
        <v>15</v>
      </c>
      <c r="D311" s="21" t="s">
        <v>215</v>
      </c>
      <c r="E311" s="20"/>
      <c r="F311" s="22" t="s">
        <v>216</v>
      </c>
      <c r="G311" s="252">
        <v>1521.5</v>
      </c>
      <c r="H311" s="1" t="s">
        <v>21</v>
      </c>
      <c r="I311" s="1">
        <f>COUNTIF(Tabela1[NF],Tabela1[[#This Row],[NF]])</f>
        <v>1</v>
      </c>
      <c r="K311" s="13">
        <f>Tabela1[[#This Row],[DT. VENCIMENTO]]</f>
        <v>45954</v>
      </c>
      <c r="N311" s="14" t="str" cm="1">
        <f t="array" ref="N311">_xlfn.XLOOKUP(TRIM(D311),TRIM(DFC!A:A),DFC!A:A,"NÃO ESTÁ NA DFC")</f>
        <v xml:space="preserve">         DESIGNER GRAFICO</v>
      </c>
    </row>
    <row r="312" spans="1:14" customFormat="1" ht="14.4" x14ac:dyDescent="0.3">
      <c r="A312" s="24"/>
      <c r="B312" s="21">
        <v>45954</v>
      </c>
      <c r="C312" s="21" t="s">
        <v>15</v>
      </c>
      <c r="D312" s="21" t="s">
        <v>139</v>
      </c>
      <c r="E312" s="20"/>
      <c r="F312" s="22" t="s">
        <v>168</v>
      </c>
      <c r="G312" s="252">
        <v>55</v>
      </c>
      <c r="H312" s="1"/>
      <c r="I312" s="1">
        <f>COUNTIF(Tabela1[NF],Tabela1[[#This Row],[NF]])</f>
        <v>0</v>
      </c>
      <c r="K312" s="13">
        <f>Tabela1[[#This Row],[DT. VENCIMENTO]]</f>
        <v>45954</v>
      </c>
      <c r="N312" s="14" t="str" cm="1">
        <f t="array" ref="N312">_xlfn.XLOOKUP(TRIM(D312),TRIM(DFC!A:A),DFC!A:A,"NÃO ESTÁ NA DFC")</f>
        <v xml:space="preserve">      TRANSPORTE - PAGAMENTO FRETE</v>
      </c>
    </row>
    <row r="313" spans="1:14" customFormat="1" ht="14.4" x14ac:dyDescent="0.3">
      <c r="A313" s="24"/>
      <c r="B313" s="21">
        <v>45954</v>
      </c>
      <c r="C313" s="21" t="s">
        <v>15</v>
      </c>
      <c r="D313" s="21" t="s">
        <v>139</v>
      </c>
      <c r="E313" s="20"/>
      <c r="F313" s="22" t="s">
        <v>168</v>
      </c>
      <c r="G313" s="252">
        <v>200</v>
      </c>
      <c r="H313" s="1"/>
      <c r="I313" s="1">
        <f>COUNTIF(Tabela1[NF],Tabela1[[#This Row],[NF]])</f>
        <v>0</v>
      </c>
      <c r="K313" s="13">
        <f>Tabela1[[#This Row],[DT. VENCIMENTO]]</f>
        <v>45954</v>
      </c>
      <c r="N313" s="14" t="str" cm="1">
        <f t="array" ref="N313">_xlfn.XLOOKUP(TRIM(D313),TRIM(DFC!A:A),DFC!A:A,"NÃO ESTÁ NA DFC")</f>
        <v xml:space="preserve">      TRANSPORTE - PAGAMENTO FRETE</v>
      </c>
    </row>
    <row r="314" spans="1:14" customFormat="1" ht="14.4" x14ac:dyDescent="0.3">
      <c r="A314" s="23">
        <v>45931</v>
      </c>
      <c r="B314" s="21">
        <v>45954</v>
      </c>
      <c r="C314" s="21" t="s">
        <v>15</v>
      </c>
      <c r="D314" s="21" t="s">
        <v>82</v>
      </c>
      <c r="E314" s="20"/>
      <c r="F314" s="22" t="s">
        <v>190</v>
      </c>
      <c r="G314" s="252">
        <v>2814.6</v>
      </c>
      <c r="H314" s="1"/>
      <c r="I314" s="1">
        <f>COUNTIF(Tabela1[NF],Tabela1[[#This Row],[NF]])</f>
        <v>23</v>
      </c>
      <c r="K314" s="13">
        <f>Tabela1[[#This Row],[DT. VENCIMENTO]]</f>
        <v>45954</v>
      </c>
      <c r="N314" s="14" t="str" cm="1">
        <f t="array" ref="N314">_xlfn.XLOOKUP(TRIM(D314),TRIM(DFC!A:A),DFC!A:A,"NÃO ESTÁ NA DFC")</f>
        <v xml:space="preserve">          DIÁRIAS</v>
      </c>
    </row>
    <row r="315" spans="1:14" customFormat="1" ht="14.4" x14ac:dyDescent="0.3">
      <c r="A315" s="19">
        <v>447338</v>
      </c>
      <c r="B315" s="21">
        <v>45954</v>
      </c>
      <c r="C315" s="21" t="s">
        <v>15</v>
      </c>
      <c r="D315" s="21" t="s">
        <v>19</v>
      </c>
      <c r="E315" s="20"/>
      <c r="F315" s="22" t="s">
        <v>20</v>
      </c>
      <c r="G315" s="252">
        <v>6031.13</v>
      </c>
      <c r="H315" s="1" t="s">
        <v>108</v>
      </c>
      <c r="I315" s="1">
        <f>COUNTIF(Tabela1[NF],Tabela1[[#This Row],[NF]])</f>
        <v>4</v>
      </c>
      <c r="K315" s="26">
        <f>Tabela1[[#This Row],[DT. VENCIMENTO]]</f>
        <v>45954</v>
      </c>
      <c r="N315" s="14" t="str" cm="1">
        <f t="array" ref="N315">_xlfn.XLOOKUP(TRIM(D315),TRIM(DFC!A:A),DFC!A:A,"NÃO ESTÁ NA DFC")</f>
        <v xml:space="preserve">      PEÇAS</v>
      </c>
    </row>
    <row r="316" spans="1:14" customFormat="1" ht="14.4" x14ac:dyDescent="0.3">
      <c r="A316" s="19">
        <v>155718</v>
      </c>
      <c r="B316" s="21">
        <v>45955</v>
      </c>
      <c r="C316" s="21" t="s">
        <v>15</v>
      </c>
      <c r="D316" s="21" t="s">
        <v>19</v>
      </c>
      <c r="E316" s="20"/>
      <c r="F316" s="22" t="s">
        <v>70</v>
      </c>
      <c r="G316" s="252">
        <v>6707.09</v>
      </c>
      <c r="H316" s="1" t="s">
        <v>55</v>
      </c>
      <c r="I316" s="1">
        <f>COUNTIF(Tabela1[NF],Tabela1[[#This Row],[NF]])</f>
        <v>1</v>
      </c>
      <c r="K316" s="13">
        <v>45957</v>
      </c>
      <c r="N316" s="14" t="str" cm="1">
        <f t="array" ref="N316">_xlfn.XLOOKUP(TRIM(D316),TRIM(DFC!A:A),DFC!A:A,"NÃO ESTÁ NA DFC")</f>
        <v xml:space="preserve">      PEÇAS</v>
      </c>
    </row>
    <row r="317" spans="1:14" customFormat="1" ht="14.4" x14ac:dyDescent="0.3">
      <c r="A317" s="19">
        <v>163145</v>
      </c>
      <c r="B317" s="21">
        <v>45955</v>
      </c>
      <c r="C317" s="21" t="s">
        <v>15</v>
      </c>
      <c r="D317" s="21" t="s">
        <v>154</v>
      </c>
      <c r="E317" s="20"/>
      <c r="F317" s="22" t="s">
        <v>64</v>
      </c>
      <c r="G317" s="252">
        <v>2689.4</v>
      </c>
      <c r="H317" s="1" t="s">
        <v>36</v>
      </c>
      <c r="I317" s="1">
        <f>COUNTIF(Tabela1[NF],Tabela1[[#This Row],[NF]])</f>
        <v>2</v>
      </c>
      <c r="K317" s="13">
        <v>45957</v>
      </c>
      <c r="N317" s="14" t="str" cm="1">
        <f t="array" ref="N317">_xlfn.XLOOKUP(TRIM(D317),TRIM(DFC!A:A),DFC!A:A,"NÃO ESTÁ NA DFC")</f>
        <v xml:space="preserve">      EMBALAGENS</v>
      </c>
    </row>
    <row r="318" spans="1:14" customFormat="1" ht="14.4" x14ac:dyDescent="0.3">
      <c r="A318" s="19" t="s">
        <v>275</v>
      </c>
      <c r="B318" s="21">
        <v>45955</v>
      </c>
      <c r="C318" s="21" t="s">
        <v>15</v>
      </c>
      <c r="D318" s="21" t="s">
        <v>19</v>
      </c>
      <c r="E318" s="20"/>
      <c r="F318" s="22" t="s">
        <v>207</v>
      </c>
      <c r="G318" s="252">
        <v>198.5</v>
      </c>
      <c r="H318" s="1">
        <v>1</v>
      </c>
      <c r="I318" s="1">
        <f>COUNTIF(Tabela1[NF],Tabela1[[#This Row],[NF]])</f>
        <v>1</v>
      </c>
      <c r="K318" s="13">
        <v>45957</v>
      </c>
      <c r="N318" s="14" t="str" cm="1">
        <f t="array" ref="N318">_xlfn.XLOOKUP(TRIM(D318),TRIM(DFC!A:A),DFC!A:A,"NÃO ESTÁ NA DFC")</f>
        <v xml:space="preserve">      PEÇAS</v>
      </c>
    </row>
    <row r="319" spans="1:14" customFormat="1" ht="14.4" x14ac:dyDescent="0.3">
      <c r="A319" s="19" t="s">
        <v>276</v>
      </c>
      <c r="B319" s="21">
        <v>45955</v>
      </c>
      <c r="C319" s="21" t="s">
        <v>15</v>
      </c>
      <c r="D319" s="21" t="s">
        <v>19</v>
      </c>
      <c r="E319" s="20"/>
      <c r="F319" s="22" t="s">
        <v>207</v>
      </c>
      <c r="G319" s="252">
        <v>198.5</v>
      </c>
      <c r="H319" s="1">
        <v>1</v>
      </c>
      <c r="I319" s="1">
        <f>COUNTIF(Tabela1[NF],Tabela1[[#This Row],[NF]])</f>
        <v>1</v>
      </c>
      <c r="K319" s="13">
        <v>45957</v>
      </c>
      <c r="N319" s="14" t="str" cm="1">
        <f t="array" ref="N319">_xlfn.XLOOKUP(TRIM(D319),TRIM(DFC!A:A),DFC!A:A,"NÃO ESTÁ NA DFC")</f>
        <v xml:space="preserve">      PEÇAS</v>
      </c>
    </row>
    <row r="320" spans="1:14" customFormat="1" ht="14.4" x14ac:dyDescent="0.3">
      <c r="A320" s="19" t="s">
        <v>277</v>
      </c>
      <c r="B320" s="21">
        <v>45955</v>
      </c>
      <c r="C320" s="21" t="s">
        <v>15</v>
      </c>
      <c r="D320" s="21" t="s">
        <v>19</v>
      </c>
      <c r="E320" s="20"/>
      <c r="F320" s="22" t="s">
        <v>207</v>
      </c>
      <c r="G320" s="252">
        <v>115</v>
      </c>
      <c r="H320" s="1"/>
      <c r="I320" s="1">
        <f>COUNTIF(Tabela1[NF],Tabela1[[#This Row],[NF]])</f>
        <v>1</v>
      </c>
      <c r="K320" s="13">
        <v>45957</v>
      </c>
      <c r="N320" s="14" t="str" cm="1">
        <f t="array" ref="N320">_xlfn.XLOOKUP(TRIM(D320),TRIM(DFC!A:A),DFC!A:A,"NÃO ESTÁ NA DFC")</f>
        <v xml:space="preserve">      PEÇAS</v>
      </c>
    </row>
    <row r="321" spans="1:14" customFormat="1" ht="14.4" x14ac:dyDescent="0.3">
      <c r="A321" s="19">
        <v>1599</v>
      </c>
      <c r="B321" s="21">
        <v>45956</v>
      </c>
      <c r="C321" s="21" t="s">
        <v>15</v>
      </c>
      <c r="D321" s="21" t="s">
        <v>19</v>
      </c>
      <c r="E321" s="20"/>
      <c r="F321" s="22" t="s">
        <v>260</v>
      </c>
      <c r="G321" s="252">
        <v>3270.18</v>
      </c>
      <c r="H321" s="1" t="s">
        <v>71</v>
      </c>
      <c r="I321" s="1">
        <f>COUNTIF(Tabela1[NF],Tabela1[[#This Row],[NF]])</f>
        <v>1</v>
      </c>
      <c r="K321" s="13">
        <v>45957</v>
      </c>
      <c r="N321" s="14" t="str" cm="1">
        <f t="array" ref="N321">_xlfn.XLOOKUP(TRIM(D321),TRIM(DFC!A:A),DFC!A:A,"NÃO ESTÁ NA DFC")</f>
        <v xml:space="preserve">      PEÇAS</v>
      </c>
    </row>
    <row r="322" spans="1:14" customFormat="1" ht="14.4" x14ac:dyDescent="0.3">
      <c r="A322" s="19">
        <v>3895</v>
      </c>
      <c r="B322" s="21">
        <v>45956</v>
      </c>
      <c r="C322" s="21" t="s">
        <v>15</v>
      </c>
      <c r="D322" s="21" t="s">
        <v>19</v>
      </c>
      <c r="E322" s="20"/>
      <c r="F322" s="22" t="s">
        <v>58</v>
      </c>
      <c r="G322" s="252">
        <v>225.24</v>
      </c>
      <c r="H322" s="1">
        <v>2</v>
      </c>
      <c r="I322" s="1">
        <f>COUNTIF(Tabela1[NF],Tabela1[[#This Row],[NF]])</f>
        <v>1</v>
      </c>
      <c r="K322" s="13">
        <v>45957</v>
      </c>
      <c r="N322" s="14" t="str" cm="1">
        <f t="array" ref="N322">_xlfn.XLOOKUP(TRIM(D322),TRIM(DFC!A:A),DFC!A:A,"NÃO ESTÁ NA DFC")</f>
        <v xml:space="preserve">      PEÇAS</v>
      </c>
    </row>
    <row r="323" spans="1:14" customFormat="1" ht="14.4" x14ac:dyDescent="0.3">
      <c r="A323" s="19">
        <v>6249</v>
      </c>
      <c r="B323" s="21">
        <v>45956</v>
      </c>
      <c r="C323" s="21" t="s">
        <v>15</v>
      </c>
      <c r="D323" s="21" t="s">
        <v>19</v>
      </c>
      <c r="E323" s="20"/>
      <c r="F323" s="22" t="s">
        <v>278</v>
      </c>
      <c r="G323" s="252">
        <v>2272.1999999999998</v>
      </c>
      <c r="H323" s="1">
        <v>2</v>
      </c>
      <c r="I323" s="1">
        <f>COUNTIF(Tabela1[NF],Tabela1[[#This Row],[NF]])</f>
        <v>2</v>
      </c>
      <c r="K323" s="13">
        <v>45957</v>
      </c>
      <c r="N323" s="14" t="str" cm="1">
        <f t="array" ref="N323">_xlfn.XLOOKUP(TRIM(D323),TRIM(DFC!A:A),DFC!A:A,"NÃO ESTÁ NA DFC")</f>
        <v xml:space="preserve">      PEÇAS</v>
      </c>
    </row>
    <row r="324" spans="1:14" customFormat="1" ht="14.4" x14ac:dyDescent="0.3">
      <c r="A324" s="24">
        <v>7881</v>
      </c>
      <c r="B324" s="21">
        <v>45956</v>
      </c>
      <c r="C324" s="21" t="s">
        <v>15</v>
      </c>
      <c r="D324" s="21" t="s">
        <v>19</v>
      </c>
      <c r="E324" s="20"/>
      <c r="F324" s="22" t="s">
        <v>58</v>
      </c>
      <c r="G324" s="252">
        <v>225.24</v>
      </c>
      <c r="H324" s="1" t="s">
        <v>36</v>
      </c>
      <c r="I324" s="1">
        <f>COUNTIF(Tabela1[NF],Tabela1[[#This Row],[NF]])</f>
        <v>2</v>
      </c>
      <c r="K324" s="13">
        <v>45957</v>
      </c>
      <c r="N324" s="14" t="str" cm="1">
        <f t="array" ref="N324">_xlfn.XLOOKUP(TRIM(D324),TRIM(DFC!A:A),DFC!A:A,"NÃO ESTÁ NA DFC")</f>
        <v xml:space="preserve">      PEÇAS</v>
      </c>
    </row>
    <row r="325" spans="1:14" customFormat="1" ht="14.4" x14ac:dyDescent="0.3">
      <c r="A325" s="19">
        <v>152343</v>
      </c>
      <c r="B325" s="21">
        <v>45956</v>
      </c>
      <c r="C325" s="21" t="s">
        <v>15</v>
      </c>
      <c r="D325" s="21" t="s">
        <v>19</v>
      </c>
      <c r="E325" s="20"/>
      <c r="F325" s="22" t="s">
        <v>70</v>
      </c>
      <c r="G325" s="252">
        <v>3139.2</v>
      </c>
      <c r="H325" s="1" t="s">
        <v>93</v>
      </c>
      <c r="I325" s="1">
        <f>COUNTIF(Tabela1[NF],Tabela1[[#This Row],[NF]])</f>
        <v>1</v>
      </c>
      <c r="K325" s="13">
        <v>45957</v>
      </c>
      <c r="N325" s="14" t="str" cm="1">
        <f t="array" ref="N325">_xlfn.XLOOKUP(TRIM(D325),TRIM(DFC!A:A),DFC!A:A,"NÃO ESTÁ NA DFC")</f>
        <v xml:space="preserve">      PEÇAS</v>
      </c>
    </row>
    <row r="326" spans="1:14" customFormat="1" ht="14.4" x14ac:dyDescent="0.3">
      <c r="A326" s="19">
        <v>447947</v>
      </c>
      <c r="B326" s="21">
        <v>45956</v>
      </c>
      <c r="C326" s="21" t="s">
        <v>15</v>
      </c>
      <c r="D326" s="21" t="s">
        <v>19</v>
      </c>
      <c r="E326" s="20"/>
      <c r="F326" s="22" t="s">
        <v>20</v>
      </c>
      <c r="G326" s="252">
        <v>2980.35</v>
      </c>
      <c r="H326" s="1" t="s">
        <v>108</v>
      </c>
      <c r="I326" s="1">
        <f>COUNTIF(Tabela1[NF],Tabela1[[#This Row],[NF]])</f>
        <v>4</v>
      </c>
      <c r="K326" s="26">
        <v>45957</v>
      </c>
      <c r="N326" s="14" t="str" cm="1">
        <f t="array" ref="N326">_xlfn.XLOOKUP(TRIM(D326),TRIM(DFC!A:A),DFC!A:A,"NÃO ESTÁ NA DFC")</f>
        <v xml:space="preserve">      PEÇAS</v>
      </c>
    </row>
    <row r="327" spans="1:14" customFormat="1" ht="14.4" x14ac:dyDescent="0.3">
      <c r="A327" s="19">
        <v>618065</v>
      </c>
      <c r="B327" s="21">
        <v>45956</v>
      </c>
      <c r="C327" s="21" t="s">
        <v>15</v>
      </c>
      <c r="D327" s="21" t="s">
        <v>19</v>
      </c>
      <c r="E327" s="20"/>
      <c r="F327" s="22" t="s">
        <v>20</v>
      </c>
      <c r="G327" s="252">
        <v>19435</v>
      </c>
      <c r="H327" s="1">
        <v>1</v>
      </c>
      <c r="I327" s="1">
        <f>COUNTIF(Tabela1[NF],Tabela1[[#This Row],[NF]])</f>
        <v>3</v>
      </c>
      <c r="K327" s="26">
        <v>45957</v>
      </c>
      <c r="N327" s="14" t="str" cm="1">
        <f t="array" ref="N327">_xlfn.XLOOKUP(TRIM(D327),TRIM(DFC!A:A),DFC!A:A,"NÃO ESTÁ NA DFC")</f>
        <v xml:space="preserve">      PEÇAS</v>
      </c>
    </row>
    <row r="328" spans="1:14" customFormat="1" ht="14.4" x14ac:dyDescent="0.3">
      <c r="A328" s="19">
        <v>2037</v>
      </c>
      <c r="B328" s="21">
        <v>45957</v>
      </c>
      <c r="C328" s="21" t="s">
        <v>15</v>
      </c>
      <c r="D328" s="21" t="s">
        <v>19</v>
      </c>
      <c r="E328" s="20"/>
      <c r="F328" s="22" t="s">
        <v>279</v>
      </c>
      <c r="G328" s="252">
        <v>2161.15</v>
      </c>
      <c r="H328" s="1">
        <v>1</v>
      </c>
      <c r="I328" s="1">
        <f>COUNTIF(Tabela1[NF],Tabela1[[#This Row],[NF]])</f>
        <v>1</v>
      </c>
      <c r="K328" s="13">
        <v>45957</v>
      </c>
      <c r="N328" s="14" t="str" cm="1">
        <f t="array" ref="N328">_xlfn.XLOOKUP(TRIM(D328),TRIM(DFC!A:A),DFC!A:A,"NÃO ESTÁ NA DFC")</f>
        <v xml:space="preserve">      PEÇAS</v>
      </c>
    </row>
    <row r="329" spans="1:14" customFormat="1" ht="14.4" x14ac:dyDescent="0.3">
      <c r="A329" s="19">
        <v>3700</v>
      </c>
      <c r="B329" s="21">
        <v>45957</v>
      </c>
      <c r="C329" s="21" t="s">
        <v>15</v>
      </c>
      <c r="D329" s="21" t="s">
        <v>19</v>
      </c>
      <c r="E329" s="20"/>
      <c r="F329" s="22" t="s">
        <v>58</v>
      </c>
      <c r="G329" s="252">
        <v>563.04</v>
      </c>
      <c r="H329" s="1">
        <v>3</v>
      </c>
      <c r="I329" s="1">
        <f>COUNTIF(Tabela1[NF],Tabela1[[#This Row],[NF]])</f>
        <v>1</v>
      </c>
      <c r="K329" s="13">
        <v>45957</v>
      </c>
      <c r="N329" s="14" t="str" cm="1">
        <f t="array" ref="N329">_xlfn.XLOOKUP(TRIM(D329),TRIM(DFC!A:A),DFC!A:A,"NÃO ESTÁ NA DFC")</f>
        <v xml:space="preserve">      PEÇAS</v>
      </c>
    </row>
    <row r="330" spans="1:14" customFormat="1" ht="14.4" x14ac:dyDescent="0.3">
      <c r="A330" s="19">
        <v>3974</v>
      </c>
      <c r="B330" s="21">
        <v>45957</v>
      </c>
      <c r="C330" s="21" t="s">
        <v>15</v>
      </c>
      <c r="D330" s="21" t="s">
        <v>19</v>
      </c>
      <c r="E330" s="20"/>
      <c r="F330" s="22" t="s">
        <v>58</v>
      </c>
      <c r="G330" s="252">
        <v>7532.74</v>
      </c>
      <c r="H330" s="1" t="s">
        <v>36</v>
      </c>
      <c r="I330" s="1">
        <f>COUNTIF(Tabela1[NF],Tabela1[[#This Row],[NF]])</f>
        <v>2</v>
      </c>
      <c r="K330" s="13">
        <v>45957</v>
      </c>
      <c r="N330" s="14" t="str" cm="1">
        <f t="array" ref="N330">_xlfn.XLOOKUP(TRIM(D330),TRIM(DFC!A:A),DFC!A:A,"NÃO ESTÁ NA DFC")</f>
        <v xml:space="preserve">      PEÇAS</v>
      </c>
    </row>
    <row r="331" spans="1:14" customFormat="1" ht="14.4" x14ac:dyDescent="0.3">
      <c r="A331" s="24">
        <v>7544</v>
      </c>
      <c r="B331" s="21">
        <v>45957</v>
      </c>
      <c r="C331" s="21" t="s">
        <v>15</v>
      </c>
      <c r="D331" s="21" t="s">
        <v>19</v>
      </c>
      <c r="E331" s="20"/>
      <c r="F331" s="22" t="s">
        <v>280</v>
      </c>
      <c r="G331" s="252">
        <v>926.21</v>
      </c>
      <c r="H331" s="1">
        <v>1</v>
      </c>
      <c r="I331" s="1">
        <f>COUNTIF(Tabela1[NF],Tabela1[[#This Row],[NF]])</f>
        <v>1</v>
      </c>
      <c r="K331" s="13">
        <v>45957</v>
      </c>
      <c r="N331" s="14" t="str" cm="1">
        <f t="array" ref="N331">_xlfn.XLOOKUP(TRIM(D331),TRIM(DFC!A:A),DFC!A:A,"NÃO ESTÁ NA DFC")</f>
        <v xml:space="preserve">      PEÇAS</v>
      </c>
    </row>
    <row r="332" spans="1:14" customFormat="1" ht="14.4" x14ac:dyDescent="0.3">
      <c r="A332" s="24">
        <v>7614</v>
      </c>
      <c r="B332" s="21">
        <v>45957</v>
      </c>
      <c r="C332" s="21" t="s">
        <v>15</v>
      </c>
      <c r="D332" s="21" t="s">
        <v>19</v>
      </c>
      <c r="E332" s="20"/>
      <c r="F332" s="22" t="s">
        <v>58</v>
      </c>
      <c r="G332" s="252">
        <v>563.04</v>
      </c>
      <c r="H332" s="1" t="s">
        <v>59</v>
      </c>
      <c r="I332" s="1">
        <f>COUNTIF(Tabela1[NF],Tabela1[[#This Row],[NF]])</f>
        <v>2</v>
      </c>
      <c r="K332" s="13">
        <v>45957</v>
      </c>
      <c r="N332" s="14" t="str" cm="1">
        <f t="array" ref="N332">_xlfn.XLOOKUP(TRIM(D332),TRIM(DFC!A:A),DFC!A:A,"NÃO ESTÁ NA DFC")</f>
        <v xml:space="preserve">      PEÇAS</v>
      </c>
    </row>
    <row r="333" spans="1:14" customFormat="1" ht="14.4" x14ac:dyDescent="0.3">
      <c r="A333" s="24">
        <v>7966</v>
      </c>
      <c r="B333" s="21">
        <v>45957</v>
      </c>
      <c r="C333" s="21" t="s">
        <v>15</v>
      </c>
      <c r="D333" s="21" t="s">
        <v>19</v>
      </c>
      <c r="E333" s="20"/>
      <c r="F333" s="22" t="s">
        <v>58</v>
      </c>
      <c r="G333" s="252">
        <v>7532.74</v>
      </c>
      <c r="H333" s="1" t="s">
        <v>36</v>
      </c>
      <c r="I333" s="1">
        <f>COUNTIF(Tabela1[NF],Tabela1[[#This Row],[NF]])</f>
        <v>1</v>
      </c>
      <c r="K333" s="13">
        <v>45957</v>
      </c>
      <c r="N333" s="14" t="str" cm="1">
        <f t="array" ref="N333">_xlfn.XLOOKUP(TRIM(D333),TRIM(DFC!A:A),DFC!A:A,"NÃO ESTÁ NA DFC")</f>
        <v xml:space="preserve">      PEÇAS</v>
      </c>
    </row>
    <row r="334" spans="1:14" customFormat="1" ht="14.4" x14ac:dyDescent="0.3">
      <c r="A334" s="24"/>
      <c r="B334" s="21">
        <v>45957</v>
      </c>
      <c r="C334" s="21" t="s">
        <v>15</v>
      </c>
      <c r="D334" s="21" t="s">
        <v>19</v>
      </c>
      <c r="E334" s="20"/>
      <c r="F334" s="22" t="s">
        <v>281</v>
      </c>
      <c r="G334" s="252">
        <v>479</v>
      </c>
      <c r="H334" s="1"/>
      <c r="I334" s="1">
        <f>COUNTIF(Tabela1[NF],Tabela1[[#This Row],[NF]])</f>
        <v>0</v>
      </c>
      <c r="K334" s="13">
        <f>Tabela1[[#This Row],[DT. VENCIMENTO]]</f>
        <v>45957</v>
      </c>
      <c r="N334" s="14" t="str" cm="1">
        <f t="array" ref="N334">_xlfn.XLOOKUP(TRIM(D334),TRIM(DFC!A:A),DFC!A:A,"NÃO ESTÁ NA DFC")</f>
        <v xml:space="preserve">      PEÇAS</v>
      </c>
    </row>
    <row r="335" spans="1:14" customFormat="1" ht="14.4" x14ac:dyDescent="0.3">
      <c r="A335" s="24">
        <v>3706</v>
      </c>
      <c r="B335" s="21">
        <v>45958</v>
      </c>
      <c r="C335" s="21" t="s">
        <v>15</v>
      </c>
      <c r="D335" s="21" t="s">
        <v>19</v>
      </c>
      <c r="E335" s="20"/>
      <c r="F335" s="22" t="s">
        <v>58</v>
      </c>
      <c r="G335" s="252">
        <v>140.76</v>
      </c>
      <c r="H335" s="1">
        <v>3</v>
      </c>
      <c r="I335" s="1">
        <f>COUNTIF(Tabela1[NF],Tabela1[[#This Row],[NF]])</f>
        <v>1</v>
      </c>
      <c r="K335" s="13">
        <f>Tabela1[[#This Row],[DT. VENCIMENTO]]</f>
        <v>45958</v>
      </c>
      <c r="N335" s="14" t="str" cm="1">
        <f t="array" ref="N335">_xlfn.XLOOKUP(TRIM(D335),TRIM(DFC!A:A),DFC!A:A,"NÃO ESTÁ NA DFC")</f>
        <v xml:space="preserve">      PEÇAS</v>
      </c>
    </row>
    <row r="336" spans="1:14" customFormat="1" ht="14.4" x14ac:dyDescent="0.3">
      <c r="A336" s="24">
        <v>4264</v>
      </c>
      <c r="B336" s="21">
        <v>45958</v>
      </c>
      <c r="C336" s="21" t="s">
        <v>15</v>
      </c>
      <c r="D336" s="21" t="s">
        <v>19</v>
      </c>
      <c r="E336" s="20"/>
      <c r="F336" s="22" t="s">
        <v>58</v>
      </c>
      <c r="G336" s="252">
        <v>7134.45</v>
      </c>
      <c r="H336" s="1" t="s">
        <v>17</v>
      </c>
      <c r="I336" s="1">
        <f>COUNTIF(Tabela1[NF],Tabela1[[#This Row],[NF]])</f>
        <v>1</v>
      </c>
      <c r="K336" s="13">
        <f>Tabela1[[#This Row],[DT. VENCIMENTO]]</f>
        <v>45958</v>
      </c>
      <c r="N336" s="14" t="str" cm="1">
        <f t="array" ref="N336">_xlfn.XLOOKUP(TRIM(D336),TRIM(DFC!A:A),DFC!A:A,"NÃO ESTÁ NA DFC")</f>
        <v xml:space="preserve">      PEÇAS</v>
      </c>
    </row>
    <row r="337" spans="1:14" customFormat="1" ht="14.4" x14ac:dyDescent="0.3">
      <c r="A337" s="24">
        <v>7627</v>
      </c>
      <c r="B337" s="21">
        <v>45958</v>
      </c>
      <c r="C337" s="21" t="s">
        <v>15</v>
      </c>
      <c r="D337" s="21" t="s">
        <v>19</v>
      </c>
      <c r="E337" s="20"/>
      <c r="F337" s="22" t="s">
        <v>58</v>
      </c>
      <c r="G337" s="252">
        <v>140.76</v>
      </c>
      <c r="H337" s="1" t="s">
        <v>59</v>
      </c>
      <c r="I337" s="1">
        <f>COUNTIF(Tabela1[NF],Tabela1[[#This Row],[NF]])</f>
        <v>2</v>
      </c>
      <c r="K337" s="13">
        <f>Tabela1[[#This Row],[DT. VENCIMENTO]]</f>
        <v>45958</v>
      </c>
      <c r="N337" s="14" t="str" cm="1">
        <f t="array" ref="N337">_xlfn.XLOOKUP(TRIM(D337),TRIM(DFC!A:A),DFC!A:A,"NÃO ESTÁ NA DFC")</f>
        <v xml:space="preserve">      PEÇAS</v>
      </c>
    </row>
    <row r="338" spans="1:14" customFormat="1" ht="14.4" x14ac:dyDescent="0.3">
      <c r="A338" s="24">
        <v>152744</v>
      </c>
      <c r="B338" s="21">
        <v>45958</v>
      </c>
      <c r="C338" s="21" t="s">
        <v>15</v>
      </c>
      <c r="D338" s="21" t="s">
        <v>19</v>
      </c>
      <c r="E338" s="20"/>
      <c r="F338" s="22" t="s">
        <v>70</v>
      </c>
      <c r="G338" s="252">
        <v>1617</v>
      </c>
      <c r="H338" s="1" t="s">
        <v>25</v>
      </c>
      <c r="I338" s="1">
        <f>COUNTIF(Tabela1[NF],Tabela1[[#This Row],[NF]])</f>
        <v>2</v>
      </c>
      <c r="K338" s="13">
        <f>Tabela1[[#This Row],[DT. VENCIMENTO]]</f>
        <v>45958</v>
      </c>
      <c r="N338" s="14" t="str" cm="1">
        <f t="array" ref="N338">_xlfn.XLOOKUP(TRIM(D338),TRIM(DFC!A:A),DFC!A:A,"NÃO ESTÁ NA DFC")</f>
        <v xml:space="preserve">      PEÇAS</v>
      </c>
    </row>
    <row r="339" spans="1:14" customFormat="1" ht="14.4" x14ac:dyDescent="0.3">
      <c r="A339" s="19">
        <v>450200</v>
      </c>
      <c r="B339" s="21">
        <v>45958</v>
      </c>
      <c r="C339" s="21" t="s">
        <v>15</v>
      </c>
      <c r="D339" s="21" t="s">
        <v>19</v>
      </c>
      <c r="E339" s="20"/>
      <c r="F339" s="22" t="s">
        <v>282</v>
      </c>
      <c r="G339" s="252">
        <v>1682.7</v>
      </c>
      <c r="H339" s="1" t="s">
        <v>21</v>
      </c>
      <c r="I339" s="1">
        <f>COUNTIF(Tabela1[NF],Tabela1[[#This Row],[NF]])</f>
        <v>1</v>
      </c>
      <c r="K339" s="26">
        <f>Tabela1[[#This Row],[DT. VENCIMENTO]]</f>
        <v>45958</v>
      </c>
      <c r="N339" s="14" t="str" cm="1">
        <f t="array" ref="N339">_xlfn.XLOOKUP(TRIM(D339),TRIM(DFC!A:A),DFC!A:A,"NÃO ESTÁ NA DFC")</f>
        <v xml:space="preserve">      PEÇAS</v>
      </c>
    </row>
    <row r="340" spans="1:14" customFormat="1" ht="14.4" x14ac:dyDescent="0.3">
      <c r="A340" s="19">
        <v>614512</v>
      </c>
      <c r="B340" s="21">
        <v>45958</v>
      </c>
      <c r="C340" s="21" t="s">
        <v>15</v>
      </c>
      <c r="D340" s="21" t="s">
        <v>19</v>
      </c>
      <c r="E340" s="20"/>
      <c r="F340" s="22" t="s">
        <v>20</v>
      </c>
      <c r="G340" s="252">
        <v>3358</v>
      </c>
      <c r="H340" s="1" t="s">
        <v>25</v>
      </c>
      <c r="I340" s="1">
        <f>COUNTIF(Tabela1[NF],Tabela1[[#This Row],[NF]])</f>
        <v>5</v>
      </c>
      <c r="K340" s="26">
        <f>Tabela1[[#This Row],[DT. VENCIMENTO]]</f>
        <v>45958</v>
      </c>
      <c r="N340" s="14" t="str" cm="1">
        <f t="array" ref="N340">_xlfn.XLOOKUP(TRIM(D340),TRIM(DFC!A:A),DFC!A:A,"NÃO ESTÁ NA DFC")</f>
        <v xml:space="preserve">      PEÇAS</v>
      </c>
    </row>
    <row r="341" spans="1:14" customFormat="1" ht="14.4" x14ac:dyDescent="0.3">
      <c r="A341" s="19">
        <v>614562</v>
      </c>
      <c r="B341" s="21">
        <v>45958</v>
      </c>
      <c r="C341" s="21" t="s">
        <v>15</v>
      </c>
      <c r="D341" s="21" t="s">
        <v>19</v>
      </c>
      <c r="E341" s="20"/>
      <c r="F341" s="22" t="s">
        <v>20</v>
      </c>
      <c r="G341" s="252">
        <v>2765</v>
      </c>
      <c r="H341" s="1" t="s">
        <v>25</v>
      </c>
      <c r="I341" s="1">
        <f>COUNTIF(Tabela1[NF],Tabela1[[#This Row],[NF]])</f>
        <v>5</v>
      </c>
      <c r="K341" s="26">
        <f>Tabela1[[#This Row],[DT. VENCIMENTO]]</f>
        <v>45958</v>
      </c>
      <c r="N341" s="14" t="str" cm="1">
        <f t="array" ref="N341">_xlfn.XLOOKUP(TRIM(D341),TRIM(DFC!A:A),DFC!A:A,"NÃO ESTÁ NA DFC")</f>
        <v xml:space="preserve">      PEÇAS</v>
      </c>
    </row>
    <row r="342" spans="1:14" customFormat="1" ht="14.4" x14ac:dyDescent="0.3">
      <c r="A342" s="24">
        <v>520629</v>
      </c>
      <c r="B342" s="21">
        <v>45959</v>
      </c>
      <c r="C342" s="21" t="s">
        <v>15</v>
      </c>
      <c r="D342" s="21" t="s">
        <v>72</v>
      </c>
      <c r="E342" s="20"/>
      <c r="F342" s="22" t="s">
        <v>124</v>
      </c>
      <c r="G342" s="252">
        <v>586.91</v>
      </c>
      <c r="H342" s="1"/>
      <c r="I342" s="1">
        <f>COUNTIF(Tabela1[NF],Tabela1[[#This Row],[NF]])</f>
        <v>1</v>
      </c>
      <c r="K342" s="13">
        <f>Tabela1[[#This Row],[DT. VENCIMENTO]]</f>
        <v>45959</v>
      </c>
      <c r="N342" s="14" t="str" cm="1">
        <f t="array" ref="N342">_xlfn.XLOOKUP(TRIM(D342),TRIM(DFC!A:A),DFC!A:A,"NÃO ESTÁ NA DFC")</f>
        <v xml:space="preserve">          COMBUSTÍVEL</v>
      </c>
    </row>
    <row r="343" spans="1:14" customFormat="1" ht="14.4" x14ac:dyDescent="0.3">
      <c r="A343" s="24">
        <v>2014</v>
      </c>
      <c r="B343" s="21">
        <v>45959</v>
      </c>
      <c r="C343" s="21" t="s">
        <v>15</v>
      </c>
      <c r="D343" s="21" t="s">
        <v>19</v>
      </c>
      <c r="E343" s="20"/>
      <c r="F343" s="22" t="s">
        <v>74</v>
      </c>
      <c r="G343" s="252">
        <v>1180.6300000000001</v>
      </c>
      <c r="H343" s="1" t="s">
        <v>36</v>
      </c>
      <c r="I343" s="1">
        <f>COUNTIF(Tabela1[NF],Tabela1[[#This Row],[NF]])</f>
        <v>2</v>
      </c>
      <c r="K343" s="13">
        <f>Tabela1[[#This Row],[DT. VENCIMENTO]]</f>
        <v>45959</v>
      </c>
      <c r="N343" s="14" t="str" cm="1">
        <f t="array" ref="N343">_xlfn.XLOOKUP(TRIM(D343),TRIM(DFC!A:A),DFC!A:A,"NÃO ESTÁ NA DFC")</f>
        <v xml:space="preserve">      PEÇAS</v>
      </c>
    </row>
    <row r="344" spans="1:14" customFormat="1" ht="14.4" x14ac:dyDescent="0.3">
      <c r="A344" s="24">
        <v>4005</v>
      </c>
      <c r="B344" s="21">
        <v>45959</v>
      </c>
      <c r="C344" s="21" t="s">
        <v>15</v>
      </c>
      <c r="D344" s="21" t="s">
        <v>19</v>
      </c>
      <c r="E344" s="20"/>
      <c r="F344" s="22" t="s">
        <v>58</v>
      </c>
      <c r="G344" s="252">
        <v>1876.37</v>
      </c>
      <c r="H344" s="1" t="s">
        <v>36</v>
      </c>
      <c r="I344" s="1">
        <f>COUNTIF(Tabela1[NF],Tabela1[[#This Row],[NF]])</f>
        <v>2</v>
      </c>
      <c r="K344" s="13">
        <f>Tabela1[[#This Row],[DT. VENCIMENTO]]</f>
        <v>45959</v>
      </c>
      <c r="N344" s="14" t="str" cm="1">
        <f t="array" ref="N344">_xlfn.XLOOKUP(TRIM(D344),TRIM(DFC!A:A),DFC!A:A,"NÃO ESTÁ NA DFC")</f>
        <v xml:space="preserve">      PEÇAS</v>
      </c>
    </row>
    <row r="345" spans="1:14" customFormat="1" ht="14.4" x14ac:dyDescent="0.3">
      <c r="A345" s="24">
        <v>7503</v>
      </c>
      <c r="B345" s="21">
        <v>45959</v>
      </c>
      <c r="C345" s="21" t="s">
        <v>15</v>
      </c>
      <c r="D345" s="21" t="s">
        <v>19</v>
      </c>
      <c r="E345" s="20"/>
      <c r="F345" s="22" t="s">
        <v>74</v>
      </c>
      <c r="G345" s="252">
        <v>505.98</v>
      </c>
      <c r="H345" s="1" t="s">
        <v>36</v>
      </c>
      <c r="I345" s="1">
        <f>COUNTIF(Tabela1[NF],Tabela1[[#This Row],[NF]])</f>
        <v>2</v>
      </c>
      <c r="K345" s="13">
        <f>Tabela1[[#This Row],[DT. VENCIMENTO]]</f>
        <v>45959</v>
      </c>
      <c r="N345" s="14" t="str" cm="1">
        <f t="array" ref="N345">_xlfn.XLOOKUP(TRIM(D345),TRIM(DFC!A:A),DFC!A:A,"NÃO ESTÁ NA DFC")</f>
        <v xml:space="preserve">      PEÇAS</v>
      </c>
    </row>
    <row r="346" spans="1:14" customFormat="1" ht="14.4" x14ac:dyDescent="0.3">
      <c r="A346" s="24">
        <v>8003</v>
      </c>
      <c r="B346" s="21">
        <v>45959</v>
      </c>
      <c r="C346" s="21" t="s">
        <v>15</v>
      </c>
      <c r="D346" s="21" t="s">
        <v>19</v>
      </c>
      <c r="E346" s="20"/>
      <c r="F346" s="22" t="s">
        <v>58</v>
      </c>
      <c r="G346" s="252">
        <v>1876.37</v>
      </c>
      <c r="H346" s="1" t="s">
        <v>36</v>
      </c>
      <c r="I346" s="1">
        <f>COUNTIF(Tabela1[NF],Tabela1[[#This Row],[NF]])</f>
        <v>1</v>
      </c>
      <c r="K346" s="13">
        <f>Tabela1[[#This Row],[DT. VENCIMENTO]]</f>
        <v>45959</v>
      </c>
      <c r="N346" s="14" t="str" cm="1">
        <f t="array" ref="N346">_xlfn.XLOOKUP(TRIM(D346),TRIM(DFC!A:A),DFC!A:A,"NÃO ESTÁ NA DFC")</f>
        <v xml:space="preserve">      PEÇAS</v>
      </c>
    </row>
    <row r="347" spans="1:14" customFormat="1" ht="14.4" x14ac:dyDescent="0.3">
      <c r="A347" s="24">
        <v>9883</v>
      </c>
      <c r="B347" s="21">
        <v>45959</v>
      </c>
      <c r="C347" s="21" t="s">
        <v>15</v>
      </c>
      <c r="D347" s="21" t="s">
        <v>37</v>
      </c>
      <c r="E347" s="20"/>
      <c r="F347" s="22" t="s">
        <v>179</v>
      </c>
      <c r="G347" s="252">
        <v>359.29</v>
      </c>
      <c r="H347" s="1" t="s">
        <v>21</v>
      </c>
      <c r="I347" s="1">
        <f>COUNTIF(Tabela1[NF],Tabela1[[#This Row],[NF]])</f>
        <v>1</v>
      </c>
      <c r="K347" s="13">
        <f>Tabela1[[#This Row],[DT. VENCIMENTO]]</f>
        <v>45959</v>
      </c>
      <c r="N347" s="14" t="str" cm="1">
        <f t="array" ref="N347">_xlfn.XLOOKUP(TRIM(D347),TRIM(DFC!A:A),DFC!A:A,"NÃO ESTÁ NA DFC")</f>
        <v xml:space="preserve">          MATERIAL DE ESCRITÓRIO</v>
      </c>
    </row>
    <row r="348" spans="1:14" customFormat="1" ht="14.4" x14ac:dyDescent="0.3">
      <c r="A348" s="24">
        <v>146651</v>
      </c>
      <c r="B348" s="21">
        <v>45959</v>
      </c>
      <c r="C348" s="21" t="s">
        <v>15</v>
      </c>
      <c r="D348" s="21" t="s">
        <v>19</v>
      </c>
      <c r="E348" s="20"/>
      <c r="F348" s="22" t="s">
        <v>70</v>
      </c>
      <c r="G348" s="252">
        <v>942.41</v>
      </c>
      <c r="H348" s="1" t="s">
        <v>71</v>
      </c>
      <c r="I348" s="1">
        <f>COUNTIF(Tabela1[NF],Tabela1[[#This Row],[NF]])</f>
        <v>2</v>
      </c>
      <c r="K348" s="13">
        <f>Tabela1[[#This Row],[DT. VENCIMENTO]]</f>
        <v>45959</v>
      </c>
      <c r="N348" s="14" t="str" cm="1">
        <f t="array" ref="N348">_xlfn.XLOOKUP(TRIM(D348),TRIM(DFC!A:A),DFC!A:A,"NÃO ESTÁ NA DFC")</f>
        <v xml:space="preserve">      PEÇAS</v>
      </c>
    </row>
    <row r="349" spans="1:14" customFormat="1" ht="14.4" x14ac:dyDescent="0.3">
      <c r="A349" s="24">
        <v>146673</v>
      </c>
      <c r="B349" s="21">
        <v>45959</v>
      </c>
      <c r="C349" s="21" t="s">
        <v>15</v>
      </c>
      <c r="D349" s="21" t="s">
        <v>19</v>
      </c>
      <c r="E349" s="20"/>
      <c r="F349" s="22" t="s">
        <v>70</v>
      </c>
      <c r="G349" s="252">
        <v>6338.6</v>
      </c>
      <c r="H349" s="1" t="s">
        <v>71</v>
      </c>
      <c r="I349" s="1">
        <f>COUNTIF(Tabela1[NF],Tabela1[[#This Row],[NF]])</f>
        <v>2</v>
      </c>
      <c r="K349" s="13">
        <f>Tabela1[[#This Row],[DT. VENCIMENTO]]</f>
        <v>45959</v>
      </c>
      <c r="N349" s="14" t="str" cm="1">
        <f t="array" ref="N349">_xlfn.XLOOKUP(TRIM(D349),TRIM(DFC!A:A),DFC!A:A,"NÃO ESTÁ NA DFC")</f>
        <v xml:space="preserve">      PEÇAS</v>
      </c>
    </row>
    <row r="350" spans="1:14" customFormat="1" ht="14.4" x14ac:dyDescent="0.3">
      <c r="A350" s="24">
        <v>6081594</v>
      </c>
      <c r="B350" s="21">
        <v>45959</v>
      </c>
      <c r="C350" s="21" t="s">
        <v>15</v>
      </c>
      <c r="D350" s="21" t="s">
        <v>29</v>
      </c>
      <c r="E350" s="20"/>
      <c r="F350" s="22" t="s">
        <v>283</v>
      </c>
      <c r="G350" s="252">
        <v>1279.1500000000001</v>
      </c>
      <c r="H350" s="1"/>
      <c r="I350" s="1">
        <f>COUNTIF(Tabela1[NF],Tabela1[[#This Row],[NF]])</f>
        <v>1</v>
      </c>
      <c r="K350" s="13">
        <f>Tabela1[[#This Row],[DT. VENCIMENTO]]</f>
        <v>45959</v>
      </c>
      <c r="N350" s="14" t="str" cm="1">
        <f t="array" ref="N350">_xlfn.XLOOKUP(TRIM(D350),TRIM(DFC!A:A),DFC!A:A,"NÃO ESTÁ NA DFC")</f>
        <v xml:space="preserve">      FRETE DE SAÍDA</v>
      </c>
    </row>
    <row r="351" spans="1:14" customFormat="1" ht="14.4" x14ac:dyDescent="0.3">
      <c r="A351" s="24"/>
      <c r="B351" s="21">
        <v>45959</v>
      </c>
      <c r="C351" s="21" t="s">
        <v>15</v>
      </c>
      <c r="D351" s="21" t="s">
        <v>28</v>
      </c>
      <c r="E351" s="20"/>
      <c r="F351" s="22" t="s">
        <v>155</v>
      </c>
      <c r="G351" s="252">
        <v>1161.6400000000001</v>
      </c>
      <c r="H351" s="1"/>
      <c r="I351" s="1">
        <f>COUNTIF(Tabela1[NF],Tabela1[[#This Row],[NF]])</f>
        <v>0</v>
      </c>
      <c r="J351" t="s">
        <v>84</v>
      </c>
      <c r="K351" s="13">
        <f>Tabela1[[#This Row],[DT. VENCIMENTO]]</f>
        <v>45959</v>
      </c>
      <c r="N351" s="14" t="str" cm="1">
        <f t="array" ref="N351">_xlfn.XLOOKUP(TRIM(D351),TRIM(DFC!A:A),DFC!A:A,"NÃO ESTÁ NA DFC")</f>
        <v xml:space="preserve">          FERRAMENTAS PARA MANUTENÇÃO</v>
      </c>
    </row>
    <row r="352" spans="1:14" customFormat="1" ht="14.4" x14ac:dyDescent="0.3">
      <c r="A352" s="24"/>
      <c r="B352" s="21">
        <v>45959</v>
      </c>
      <c r="C352" s="21" t="s">
        <v>15</v>
      </c>
      <c r="D352" s="21" t="s">
        <v>98</v>
      </c>
      <c r="E352" s="20"/>
      <c r="F352" s="22" t="s">
        <v>284</v>
      </c>
      <c r="G352" s="252">
        <v>44</v>
      </c>
      <c r="H352" s="1"/>
      <c r="I352" s="1">
        <f>COUNTIF(Tabela1[NF],Tabela1[[#This Row],[NF]])</f>
        <v>0</v>
      </c>
      <c r="K352" s="13">
        <f>Tabela1[[#This Row],[DT. VENCIMENTO]]</f>
        <v>45959</v>
      </c>
      <c r="N352" s="14" t="str" cm="1">
        <f t="array" ref="N352">_xlfn.XLOOKUP(TRIM(D352),TRIM(DFC!A:A),DFC!A:A,"NÃO ESTÁ NA DFC")</f>
        <v xml:space="preserve">     REEMBOLSO SAC</v>
      </c>
    </row>
    <row r="353" spans="1:14" customFormat="1" ht="14.4" x14ac:dyDescent="0.3">
      <c r="A353" s="24"/>
      <c r="B353" s="21">
        <v>45959</v>
      </c>
      <c r="C353" s="21" t="s">
        <v>15</v>
      </c>
      <c r="D353" s="21" t="s">
        <v>19</v>
      </c>
      <c r="E353" s="20"/>
      <c r="F353" s="28" t="s">
        <v>103</v>
      </c>
      <c r="G353" s="252">
        <v>10999</v>
      </c>
      <c r="H353" s="1"/>
      <c r="I353" s="1">
        <f>COUNTIF(Tabela1[NF],Tabela1[[#This Row],[NF]])</f>
        <v>0</v>
      </c>
      <c r="K353" s="13">
        <f>Tabela1[[#This Row],[DT. VENCIMENTO]]</f>
        <v>45959</v>
      </c>
      <c r="N353" s="14" t="str" cm="1">
        <f t="array" ref="N353">_xlfn.XLOOKUP(TRIM(D353),TRIM(DFC!A:A),DFC!A:A,"NÃO ESTÁ NA DFC")</f>
        <v xml:space="preserve">      PEÇAS</v>
      </c>
    </row>
    <row r="354" spans="1:14" customFormat="1" ht="14.4" x14ac:dyDescent="0.3">
      <c r="A354" s="19">
        <v>429843</v>
      </c>
      <c r="B354" s="21">
        <v>45959</v>
      </c>
      <c r="C354" s="21" t="s">
        <v>15</v>
      </c>
      <c r="D354" s="21" t="s">
        <v>19</v>
      </c>
      <c r="E354" s="20"/>
      <c r="F354" s="22" t="s">
        <v>20</v>
      </c>
      <c r="G354" s="252">
        <v>14450</v>
      </c>
      <c r="H354" s="1" t="s">
        <v>71</v>
      </c>
      <c r="I354" s="1">
        <f>COUNTIF(Tabela1[NF],Tabela1[[#This Row],[NF]])</f>
        <v>2</v>
      </c>
      <c r="K354" s="26">
        <f>Tabela1[[#This Row],[DT. VENCIMENTO]]</f>
        <v>45959</v>
      </c>
      <c r="N354" s="14" t="str" cm="1">
        <f t="array" ref="N354">_xlfn.XLOOKUP(TRIM(D354),TRIM(DFC!A:A),DFC!A:A,"NÃO ESTÁ NA DFC")</f>
        <v xml:space="preserve">      PEÇAS</v>
      </c>
    </row>
    <row r="355" spans="1:14" customFormat="1" ht="14.4" x14ac:dyDescent="0.3">
      <c r="A355" s="24">
        <v>3593</v>
      </c>
      <c r="B355" s="21">
        <v>45960</v>
      </c>
      <c r="C355" s="21" t="s">
        <v>15</v>
      </c>
      <c r="D355" s="21" t="s">
        <v>19</v>
      </c>
      <c r="E355" s="20"/>
      <c r="F355" s="22" t="s">
        <v>54</v>
      </c>
      <c r="G355" s="252">
        <v>3879.83</v>
      </c>
      <c r="H355" s="1">
        <v>1</v>
      </c>
      <c r="I355" s="1">
        <f>COUNTIF(Tabela1[NF],Tabela1[[#This Row],[NF]])</f>
        <v>1</v>
      </c>
      <c r="K355" s="13">
        <f>Tabela1[[#This Row],[DT. VENCIMENTO]]</f>
        <v>45960</v>
      </c>
      <c r="N355" s="14" t="str" cm="1">
        <f t="array" ref="N355">_xlfn.XLOOKUP(TRIM(D355),TRIM(DFC!A:A),DFC!A:A,"NÃO ESTÁ NA DFC")</f>
        <v xml:space="preserve">      PEÇAS</v>
      </c>
    </row>
    <row r="356" spans="1:14" customFormat="1" ht="14.4" x14ac:dyDescent="0.3">
      <c r="A356" s="24">
        <v>29703</v>
      </c>
      <c r="B356" s="21">
        <v>45960</v>
      </c>
      <c r="C356" s="21" t="s">
        <v>15</v>
      </c>
      <c r="D356" s="21" t="s">
        <v>154</v>
      </c>
      <c r="E356" s="20"/>
      <c r="F356" s="22" t="s">
        <v>135</v>
      </c>
      <c r="G356" s="252">
        <v>1744.93</v>
      </c>
      <c r="H356" s="1" t="s">
        <v>17</v>
      </c>
      <c r="I356" s="1">
        <f>COUNTIF(Tabela1[NF],Tabela1[[#This Row],[NF]])</f>
        <v>1</v>
      </c>
      <c r="K356" s="13">
        <f>Tabela1[[#This Row],[DT. VENCIMENTO]]</f>
        <v>45960</v>
      </c>
      <c r="N356" s="14" t="str" cm="1">
        <f t="array" ref="N356">_xlfn.XLOOKUP(TRIM(D356),TRIM(DFC!A:A),DFC!A:A,"NÃO ESTÁ NA DFC")</f>
        <v xml:space="preserve">      EMBALAGENS</v>
      </c>
    </row>
    <row r="357" spans="1:14" customFormat="1" ht="14.4" x14ac:dyDescent="0.3">
      <c r="A357" s="24">
        <v>29708</v>
      </c>
      <c r="B357" s="21">
        <v>45960</v>
      </c>
      <c r="C357" s="21" t="s">
        <v>15</v>
      </c>
      <c r="D357" s="21" t="s">
        <v>154</v>
      </c>
      <c r="E357" s="20"/>
      <c r="F357" s="22" t="s">
        <v>135</v>
      </c>
      <c r="G357" s="252">
        <v>4385.58</v>
      </c>
      <c r="H357" s="1" t="s">
        <v>17</v>
      </c>
      <c r="I357" s="1">
        <f>COUNTIF(Tabela1[NF],Tabela1[[#This Row],[NF]])</f>
        <v>1</v>
      </c>
      <c r="K357" s="13">
        <f>Tabela1[[#This Row],[DT. VENCIMENTO]]</f>
        <v>45960</v>
      </c>
      <c r="N357" s="14" t="str" cm="1">
        <f t="array" ref="N357">_xlfn.XLOOKUP(TRIM(D357),TRIM(DFC!A:A),DFC!A:A,"NÃO ESTÁ NA DFC")</f>
        <v xml:space="preserve">      EMBALAGENS</v>
      </c>
    </row>
    <row r="358" spans="1:14" customFormat="1" ht="14.4" x14ac:dyDescent="0.3">
      <c r="A358" s="24">
        <v>150030</v>
      </c>
      <c r="B358" s="21">
        <v>45960</v>
      </c>
      <c r="C358" s="21" t="s">
        <v>15</v>
      </c>
      <c r="D358" s="21" t="s">
        <v>19</v>
      </c>
      <c r="E358" s="20"/>
      <c r="F358" s="22" t="s">
        <v>70</v>
      </c>
      <c r="G358" s="252">
        <v>2354.5</v>
      </c>
      <c r="H358" s="1" t="s">
        <v>87</v>
      </c>
      <c r="I358" s="1">
        <f>COUNTIF(Tabela1[NF],Tabela1[[#This Row],[NF]])</f>
        <v>2</v>
      </c>
      <c r="K358" s="13">
        <f>Tabela1[[#This Row],[DT. VENCIMENTO]]</f>
        <v>45960</v>
      </c>
      <c r="N358" s="14" t="str" cm="1">
        <f t="array" ref="N358">_xlfn.XLOOKUP(TRIM(D358),TRIM(DFC!A:A),DFC!A:A,"NÃO ESTÁ NA DFC")</f>
        <v xml:space="preserve">      PEÇAS</v>
      </c>
    </row>
    <row r="359" spans="1:14" customFormat="1" ht="14.4" x14ac:dyDescent="0.3">
      <c r="A359" s="24">
        <v>156090</v>
      </c>
      <c r="B359" s="21">
        <v>45960</v>
      </c>
      <c r="C359" s="21" t="s">
        <v>15</v>
      </c>
      <c r="D359" s="21" t="s">
        <v>19</v>
      </c>
      <c r="E359" s="20"/>
      <c r="F359" s="22" t="s">
        <v>285</v>
      </c>
      <c r="G359" s="252">
        <v>1943.78</v>
      </c>
      <c r="H359" s="1">
        <v>1</v>
      </c>
      <c r="I359" s="1">
        <f>COUNTIF(Tabela1[NF],Tabela1[[#This Row],[NF]])</f>
        <v>1</v>
      </c>
      <c r="K359" s="13">
        <f>Tabela1[[#This Row],[DT. VENCIMENTO]]</f>
        <v>45960</v>
      </c>
      <c r="N359" s="14" t="str" cm="1">
        <f t="array" ref="N359">_xlfn.XLOOKUP(TRIM(D359),TRIM(DFC!A:A),DFC!A:A,"NÃO ESTÁ NA DFC")</f>
        <v xml:space="preserve">      PEÇAS</v>
      </c>
    </row>
    <row r="360" spans="1:14" customFormat="1" ht="14.4" x14ac:dyDescent="0.3">
      <c r="A360" s="24">
        <v>4785013</v>
      </c>
      <c r="B360" s="21">
        <v>45960</v>
      </c>
      <c r="C360" s="21" t="s">
        <v>15</v>
      </c>
      <c r="D360" s="21" t="s">
        <v>19</v>
      </c>
      <c r="E360" s="20"/>
      <c r="F360" s="22" t="s">
        <v>286</v>
      </c>
      <c r="G360" s="252">
        <v>1800.04</v>
      </c>
      <c r="H360" s="1"/>
      <c r="I360" s="1">
        <f>COUNTIF(Tabela1[NF],Tabela1[[#This Row],[NF]])</f>
        <v>1</v>
      </c>
      <c r="K360" s="13">
        <f>Tabela1[[#This Row],[DT. VENCIMENTO]]</f>
        <v>45960</v>
      </c>
      <c r="N360" s="14" t="str" cm="1">
        <f t="array" ref="N360">_xlfn.XLOOKUP(TRIM(D360),TRIM(DFC!A:A),DFC!A:A,"NÃO ESTÁ NA DFC")</f>
        <v xml:space="preserve">      PEÇAS</v>
      </c>
    </row>
    <row r="361" spans="1:14" customFormat="1" ht="14.4" x14ac:dyDescent="0.3">
      <c r="A361" s="24" t="s">
        <v>287</v>
      </c>
      <c r="B361" s="21">
        <v>45960</v>
      </c>
      <c r="C361" s="21" t="s">
        <v>15</v>
      </c>
      <c r="D361" s="21" t="s">
        <v>19</v>
      </c>
      <c r="E361" s="20"/>
      <c r="F361" s="22" t="s">
        <v>286</v>
      </c>
      <c r="G361" s="252">
        <v>7200.17</v>
      </c>
      <c r="H361" s="1"/>
      <c r="I361" s="1">
        <f>COUNTIF(Tabela1[NF],Tabela1[[#This Row],[NF]])</f>
        <v>1</v>
      </c>
      <c r="K361" s="13">
        <f>Tabela1[[#This Row],[DT. VENCIMENTO]]</f>
        <v>45960</v>
      </c>
      <c r="N361" s="14" t="str" cm="1">
        <f t="array" ref="N361">_xlfn.XLOOKUP(TRIM(D361),TRIM(DFC!A:A),DFC!A:A,"NÃO ESTÁ NA DFC")</f>
        <v xml:space="preserve">      PEÇAS</v>
      </c>
    </row>
    <row r="362" spans="1:14" customFormat="1" ht="14.4" x14ac:dyDescent="0.3">
      <c r="A362" s="24" t="s">
        <v>288</v>
      </c>
      <c r="B362" s="21">
        <v>45960</v>
      </c>
      <c r="C362" s="21" t="s">
        <v>15</v>
      </c>
      <c r="D362" s="21" t="s">
        <v>19</v>
      </c>
      <c r="E362" s="20"/>
      <c r="F362" s="22" t="s">
        <v>289</v>
      </c>
      <c r="G362" s="252">
        <v>24917.51</v>
      </c>
      <c r="H362" s="1">
        <v>2</v>
      </c>
      <c r="I362" s="1">
        <f>COUNTIF(Tabela1[NF],Tabela1[[#This Row],[NF]])</f>
        <v>1</v>
      </c>
      <c r="J362" t="s">
        <v>290</v>
      </c>
      <c r="K362" s="13">
        <f>Tabela1[[#This Row],[DT. VENCIMENTO]]</f>
        <v>45960</v>
      </c>
      <c r="N362" s="14" t="str" cm="1">
        <f t="array" ref="N362">_xlfn.XLOOKUP(TRIM(D362),TRIM(DFC!A:A),DFC!A:A,"NÃO ESTÁ NA DFC")</f>
        <v xml:space="preserve">      PEÇAS</v>
      </c>
    </row>
    <row r="363" spans="1:14" customFormat="1" ht="14.4" x14ac:dyDescent="0.3">
      <c r="A363" s="24" t="s">
        <v>291</v>
      </c>
      <c r="B363" s="21">
        <v>45960</v>
      </c>
      <c r="C363" s="21" t="s">
        <v>15</v>
      </c>
      <c r="D363" s="21" t="s">
        <v>19</v>
      </c>
      <c r="E363" s="20"/>
      <c r="F363" s="22" t="s">
        <v>289</v>
      </c>
      <c r="G363" s="252">
        <v>8519.15</v>
      </c>
      <c r="H363" s="1">
        <v>2</v>
      </c>
      <c r="I363" s="1">
        <f>COUNTIF(Tabela1[NF],Tabela1[[#This Row],[NF]])</f>
        <v>1</v>
      </c>
      <c r="J363" t="s">
        <v>290</v>
      </c>
      <c r="K363" s="13">
        <f>Tabela1[[#This Row],[DT. VENCIMENTO]]</f>
        <v>45960</v>
      </c>
      <c r="N363" s="14" t="str" cm="1">
        <f t="array" ref="N363">_xlfn.XLOOKUP(TRIM(D363),TRIM(DFC!A:A),DFC!A:A,"NÃO ESTÁ NA DFC")</f>
        <v xml:space="preserve">      PEÇAS</v>
      </c>
    </row>
    <row r="364" spans="1:14" customFormat="1" ht="14.4" x14ac:dyDescent="0.3">
      <c r="A364" s="24"/>
      <c r="B364" s="21">
        <v>45960</v>
      </c>
      <c r="C364" s="21" t="s">
        <v>15</v>
      </c>
      <c r="D364" s="21" t="s">
        <v>19</v>
      </c>
      <c r="E364" s="20"/>
      <c r="F364" s="28" t="s">
        <v>103</v>
      </c>
      <c r="G364" s="252">
        <v>9000</v>
      </c>
      <c r="H364" s="1"/>
      <c r="I364" s="1">
        <f>COUNTIF(Tabela1[NF],Tabela1[[#This Row],[NF]])</f>
        <v>0</v>
      </c>
      <c r="K364" s="13">
        <f>Tabela1[[#This Row],[DT. VENCIMENTO]]</f>
        <v>45960</v>
      </c>
      <c r="N364" s="14" t="str" cm="1">
        <f t="array" ref="N364">_xlfn.XLOOKUP(TRIM(D364),TRIM(DFC!A:A),DFC!A:A,"NÃO ESTÁ NA DFC")</f>
        <v xml:space="preserve">      PEÇAS</v>
      </c>
    </row>
    <row r="365" spans="1:14" customFormat="1" ht="14.4" x14ac:dyDescent="0.3">
      <c r="A365" s="24"/>
      <c r="B365" s="21">
        <v>45960</v>
      </c>
      <c r="C365" s="21" t="s">
        <v>15</v>
      </c>
      <c r="D365" s="21" t="s">
        <v>65</v>
      </c>
      <c r="E365" s="20"/>
      <c r="F365" s="28" t="s">
        <v>103</v>
      </c>
      <c r="G365" s="252">
        <v>10000</v>
      </c>
      <c r="H365" s="1"/>
      <c r="I365" s="1">
        <f>COUNTIF(Tabela1[NF],Tabela1[[#This Row],[NF]])</f>
        <v>0</v>
      </c>
      <c r="K365" s="13">
        <f>Tabela1[[#This Row],[DT. VENCIMENTO]]</f>
        <v>45960</v>
      </c>
      <c r="N365" s="14" t="str" cm="1">
        <f t="array" ref="N365">_xlfn.XLOOKUP(TRIM(D365),TRIM(DFC!A:A),DFC!A:A,"NÃO ESTÁ NA DFC")</f>
        <v xml:space="preserve">          AMORTIZAÇÃO FELIPE </v>
      </c>
    </row>
    <row r="366" spans="1:14" customFormat="1" ht="14.4" x14ac:dyDescent="0.3">
      <c r="A366" s="24"/>
      <c r="B366" s="21">
        <v>45960</v>
      </c>
      <c r="C366" s="21" t="s">
        <v>15</v>
      </c>
      <c r="D366" s="21" t="s">
        <v>19</v>
      </c>
      <c r="E366" s="20"/>
      <c r="F366" s="28" t="s">
        <v>103</v>
      </c>
      <c r="G366" s="252">
        <v>11000.38</v>
      </c>
      <c r="H366" s="1"/>
      <c r="I366" s="1">
        <f>COUNTIF(Tabela1[NF],Tabela1[[#This Row],[NF]])</f>
        <v>0</v>
      </c>
      <c r="K366" s="13">
        <f>Tabela1[[#This Row],[DT. VENCIMENTO]]</f>
        <v>45960</v>
      </c>
      <c r="N366" s="14" t="str" cm="1">
        <f t="array" ref="N366">_xlfn.XLOOKUP(TRIM(D366),TRIM(DFC!A:A),DFC!A:A,"NÃO ESTÁ NA DFC")</f>
        <v xml:space="preserve">      PEÇAS</v>
      </c>
    </row>
    <row r="367" spans="1:14" customFormat="1" ht="14.4" x14ac:dyDescent="0.3">
      <c r="A367" s="24"/>
      <c r="B367" s="21">
        <v>45960</v>
      </c>
      <c r="C367" s="21" t="s">
        <v>15</v>
      </c>
      <c r="D367" s="21" t="s">
        <v>19</v>
      </c>
      <c r="E367" s="20"/>
      <c r="F367" s="28" t="s">
        <v>103</v>
      </c>
      <c r="G367" s="252">
        <v>12833.33</v>
      </c>
      <c r="H367" s="1"/>
      <c r="I367" s="1">
        <f>COUNTIF(Tabela1[NF],Tabela1[[#This Row],[NF]])</f>
        <v>0</v>
      </c>
      <c r="K367" s="13">
        <f>Tabela1[[#This Row],[DT. VENCIMENTO]]</f>
        <v>45960</v>
      </c>
      <c r="N367" s="14" t="str" cm="1">
        <f t="array" ref="N367">_xlfn.XLOOKUP(TRIM(D367),TRIM(DFC!A:A),DFC!A:A,"NÃO ESTÁ NA DFC")</f>
        <v xml:space="preserve">      PEÇAS</v>
      </c>
    </row>
    <row r="368" spans="1:14" customFormat="1" ht="14.4" x14ac:dyDescent="0.3">
      <c r="A368" s="19">
        <v>466115</v>
      </c>
      <c r="B368" s="21">
        <v>45960</v>
      </c>
      <c r="C368" s="21" t="s">
        <v>15</v>
      </c>
      <c r="D368" s="21" t="s">
        <v>19</v>
      </c>
      <c r="E368" s="20"/>
      <c r="F368" s="22" t="s">
        <v>20</v>
      </c>
      <c r="G368" s="252">
        <v>1355</v>
      </c>
      <c r="H368" s="1" t="s">
        <v>87</v>
      </c>
      <c r="I368" s="1">
        <f>COUNTIF(Tabela1[NF],Tabela1[[#This Row],[NF]])</f>
        <v>3</v>
      </c>
      <c r="K368" s="26">
        <f>Tabela1[[#This Row],[DT. VENCIMENTO]]</f>
        <v>45960</v>
      </c>
      <c r="N368" s="14" t="str" cm="1">
        <f t="array" ref="N368">_xlfn.XLOOKUP(TRIM(D368),TRIM(DFC!A:A),DFC!A:A,"NÃO ESTÁ NA DFC")</f>
        <v xml:space="preserve">      PEÇAS</v>
      </c>
    </row>
    <row r="369" spans="1:14" customFormat="1" ht="14.4" x14ac:dyDescent="0.3">
      <c r="A369" s="19">
        <v>4661153</v>
      </c>
      <c r="B369" s="21">
        <v>45960</v>
      </c>
      <c r="C369" s="21" t="s">
        <v>15</v>
      </c>
      <c r="D369" s="21" t="s">
        <v>19</v>
      </c>
      <c r="E369" s="20"/>
      <c r="F369" s="22" t="s">
        <v>282</v>
      </c>
      <c r="G369" s="252">
        <v>1355</v>
      </c>
      <c r="H369" s="1"/>
      <c r="I369" s="1">
        <f>COUNTIF(Tabela1[NF],Tabela1[[#This Row],[NF]])</f>
        <v>1</v>
      </c>
      <c r="K369" s="26">
        <f>Tabela1[[#This Row],[DT. VENCIMENTO]]</f>
        <v>45960</v>
      </c>
      <c r="N369" s="14" t="str" cm="1">
        <f t="array" ref="N369">_xlfn.XLOOKUP(TRIM(D369),TRIM(DFC!A:A),DFC!A:A,"NÃO ESTÁ NA DFC")</f>
        <v xml:space="preserve">      PEÇAS</v>
      </c>
    </row>
    <row r="370" spans="1:14" customFormat="1" ht="14.4" x14ac:dyDescent="0.3">
      <c r="A370" s="19">
        <v>609659</v>
      </c>
      <c r="B370" s="21">
        <v>45960</v>
      </c>
      <c r="C370" s="21" t="s">
        <v>15</v>
      </c>
      <c r="D370" s="21" t="s">
        <v>19</v>
      </c>
      <c r="E370" s="20"/>
      <c r="F370" s="22" t="s">
        <v>282</v>
      </c>
      <c r="G370" s="252">
        <v>7718</v>
      </c>
      <c r="H370" s="1"/>
      <c r="I370" s="1">
        <f>COUNTIF(Tabela1[NF],Tabela1[[#This Row],[NF]])</f>
        <v>4</v>
      </c>
      <c r="K370" s="26">
        <f>Tabela1[[#This Row],[DT. VENCIMENTO]]</f>
        <v>45960</v>
      </c>
      <c r="N370" s="14" t="str" cm="1">
        <f t="array" ref="N370">_xlfn.XLOOKUP(TRIM(D370),TRIM(DFC!A:A),DFC!A:A,"NÃO ESTÁ NA DFC")</f>
        <v xml:space="preserve">      PEÇAS</v>
      </c>
    </row>
    <row r="371" spans="1:14" customFormat="1" ht="14.4" x14ac:dyDescent="0.3">
      <c r="A371" s="19">
        <v>618596</v>
      </c>
      <c r="B371" s="21">
        <v>45960</v>
      </c>
      <c r="C371" s="21" t="s">
        <v>15</v>
      </c>
      <c r="D371" s="21" t="s">
        <v>19</v>
      </c>
      <c r="E371" s="20"/>
      <c r="F371" s="22" t="s">
        <v>20</v>
      </c>
      <c r="G371" s="252">
        <v>10584.1</v>
      </c>
      <c r="H371" s="1"/>
      <c r="I371" s="1">
        <f>COUNTIF(Tabela1[NF],Tabela1[[#This Row],[NF]])</f>
        <v>6</v>
      </c>
      <c r="K371" s="26">
        <f>Tabela1[[#This Row],[DT. VENCIMENTO]]</f>
        <v>45960</v>
      </c>
      <c r="N371" s="14" t="str" cm="1">
        <f t="array" ref="N371">_xlfn.XLOOKUP(TRIM(D371),TRIM(DFC!A:A),DFC!A:A,"NÃO ESTÁ NA DFC")</f>
        <v xml:space="preserve">      PEÇAS</v>
      </c>
    </row>
    <row r="372" spans="1:14" customFormat="1" ht="14.4" x14ac:dyDescent="0.3">
      <c r="A372" s="24">
        <v>100228</v>
      </c>
      <c r="B372" s="21">
        <v>45961</v>
      </c>
      <c r="C372" s="21" t="s">
        <v>15</v>
      </c>
      <c r="D372" s="21" t="s">
        <v>37</v>
      </c>
      <c r="E372" s="20"/>
      <c r="F372" s="22" t="s">
        <v>292</v>
      </c>
      <c r="G372" s="252">
        <v>64.5</v>
      </c>
      <c r="H372" s="1"/>
      <c r="I372" s="1">
        <f>COUNTIF(Tabela1[NF],Tabela1[[#This Row],[NF]])</f>
        <v>1</v>
      </c>
      <c r="K372" s="13">
        <f>Tabela1[[#This Row],[DT. VENCIMENTO]]</f>
        <v>45961</v>
      </c>
      <c r="N372" s="14" t="str" cm="1">
        <f t="array" ref="N372">_xlfn.XLOOKUP(TRIM(D372),TRIM(DFC!A:A),DFC!A:A,"NÃO ESTÁ NA DFC")</f>
        <v xml:space="preserve">          MATERIAL DE ESCRITÓRIO</v>
      </c>
    </row>
    <row r="373" spans="1:14" customFormat="1" ht="14.4" x14ac:dyDescent="0.3">
      <c r="A373" s="23">
        <v>45931</v>
      </c>
      <c r="B373" s="21">
        <v>45961</v>
      </c>
      <c r="C373" s="21" t="s">
        <v>15</v>
      </c>
      <c r="D373" s="21" t="s">
        <v>129</v>
      </c>
      <c r="E373" s="20"/>
      <c r="F373" s="22" t="s">
        <v>247</v>
      </c>
      <c r="G373" s="252">
        <v>1673.29</v>
      </c>
      <c r="H373" s="1"/>
      <c r="I373" s="1">
        <f>COUNTIF(Tabela1[NF],Tabela1[[#This Row],[NF]])</f>
        <v>23</v>
      </c>
      <c r="K373" s="13">
        <f>Tabela1[[#This Row],[DT. VENCIMENTO]]</f>
        <v>45961</v>
      </c>
      <c r="N373" s="14" t="str" cm="1">
        <f t="array" ref="N373">_xlfn.XLOOKUP(TRIM(D373),TRIM(DFC!A:A),DFC!A:A,"NÃO ESTÁ NA DFC")</f>
        <v xml:space="preserve">     SIMPLES NACIONAL</v>
      </c>
    </row>
    <row r="374" spans="1:14" customFormat="1" ht="14.4" x14ac:dyDescent="0.3">
      <c r="A374" s="24"/>
      <c r="B374" s="21">
        <v>45961</v>
      </c>
      <c r="C374" s="21" t="s">
        <v>15</v>
      </c>
      <c r="D374" s="21" t="s">
        <v>19</v>
      </c>
      <c r="E374" s="20"/>
      <c r="F374" s="22" t="s">
        <v>293</v>
      </c>
      <c r="G374" s="252">
        <v>390</v>
      </c>
      <c r="H374" s="1"/>
      <c r="I374" s="1">
        <f>COUNTIF(Tabela1[NF],Tabela1[[#This Row],[NF]])</f>
        <v>0</v>
      </c>
      <c r="K374" s="13">
        <f>Tabela1[[#This Row],[DT. VENCIMENTO]]</f>
        <v>45961</v>
      </c>
      <c r="N374" s="14" t="str" cm="1">
        <f t="array" ref="N374">_xlfn.XLOOKUP(TRIM(D374),TRIM(DFC!A:A),DFC!A:A,"NÃO ESTÁ NA DFC")</f>
        <v xml:space="preserve">      PEÇAS</v>
      </c>
    </row>
    <row r="375" spans="1:14" customFormat="1" ht="14.4" x14ac:dyDescent="0.3">
      <c r="A375" s="24"/>
      <c r="B375" s="21">
        <v>45961</v>
      </c>
      <c r="C375" s="21" t="s">
        <v>15</v>
      </c>
      <c r="D375" s="21" t="s">
        <v>139</v>
      </c>
      <c r="E375" s="20"/>
      <c r="F375" s="22" t="s">
        <v>294</v>
      </c>
      <c r="G375" s="252">
        <v>55</v>
      </c>
      <c r="H375" s="1"/>
      <c r="I375" s="1">
        <f>COUNTIF(Tabela1[NF],Tabela1[[#This Row],[NF]])</f>
        <v>0</v>
      </c>
      <c r="K375" s="13">
        <f>Tabela1[[#This Row],[DT. VENCIMENTO]]</f>
        <v>45961</v>
      </c>
      <c r="N375" s="14" t="str" cm="1">
        <f t="array" ref="N375">_xlfn.XLOOKUP(TRIM(D375),TRIM(DFC!A:A),DFC!A:A,"NÃO ESTÁ NA DFC")</f>
        <v xml:space="preserve">      TRANSPORTE - PAGAMENTO FRETE</v>
      </c>
    </row>
    <row r="376" spans="1:14" customFormat="1" ht="14.4" x14ac:dyDescent="0.3">
      <c r="A376" s="24"/>
      <c r="B376" s="21">
        <v>45961</v>
      </c>
      <c r="C376" s="21" t="s">
        <v>15</v>
      </c>
      <c r="D376" s="21" t="s">
        <v>98</v>
      </c>
      <c r="E376" s="20"/>
      <c r="F376" s="22" t="s">
        <v>295</v>
      </c>
      <c r="G376" s="252">
        <v>60</v>
      </c>
      <c r="H376" s="1"/>
      <c r="I376" s="1">
        <f>COUNTIF(Tabela1[NF],Tabela1[[#This Row],[NF]])</f>
        <v>0</v>
      </c>
      <c r="K376" s="13">
        <f>Tabela1[[#This Row],[DT. VENCIMENTO]]</f>
        <v>45961</v>
      </c>
      <c r="N376" s="14" t="str" cm="1">
        <f t="array" ref="N376">_xlfn.XLOOKUP(TRIM(D376),TRIM(DFC!A:A),DFC!A:A,"NÃO ESTÁ NA DFC")</f>
        <v xml:space="preserve">     REEMBOLSO SAC</v>
      </c>
    </row>
    <row r="377" spans="1:14" customFormat="1" ht="14.4" x14ac:dyDescent="0.3">
      <c r="A377" s="24"/>
      <c r="B377" s="21">
        <v>45961</v>
      </c>
      <c r="C377" s="21" t="s">
        <v>15</v>
      </c>
      <c r="D377" s="21" t="s">
        <v>138</v>
      </c>
      <c r="E377" s="20"/>
      <c r="F377" s="22" t="s">
        <v>168</v>
      </c>
      <c r="G377" s="252">
        <v>90</v>
      </c>
      <c r="H377" s="1"/>
      <c r="I377" s="1">
        <f>COUNTIF(Tabela1[NF],Tabela1[[#This Row],[NF]])</f>
        <v>0</v>
      </c>
      <c r="K377" s="13">
        <f>Tabela1[[#This Row],[DT. VENCIMENTO]]</f>
        <v>45961</v>
      </c>
      <c r="N377" s="14" t="str" cm="1">
        <f t="array" ref="N377">_xlfn.XLOOKUP(TRIM(D377),TRIM(DFC!A:A),DFC!A:A,"NÃO ESTÁ NA DFC")</f>
        <v xml:space="preserve">      TRANSPORTE - PAGAMENTO ENTREGA</v>
      </c>
    </row>
    <row r="378" spans="1:14" customFormat="1" ht="14.4" x14ac:dyDescent="0.3">
      <c r="A378" s="24"/>
      <c r="B378" s="21">
        <v>45961</v>
      </c>
      <c r="C378" s="21" t="s">
        <v>15</v>
      </c>
      <c r="D378" s="21" t="s">
        <v>40</v>
      </c>
      <c r="E378" s="20"/>
      <c r="F378" s="28" t="s">
        <v>296</v>
      </c>
      <c r="G378" s="252">
        <v>3000</v>
      </c>
      <c r="H378" s="1"/>
      <c r="I378" s="1">
        <f>COUNTIF(Tabela1[NF],Tabela1[[#This Row],[NF]])</f>
        <v>0</v>
      </c>
      <c r="K378" s="26">
        <f>Tabela1[[#This Row],[DT. VENCIMENTO]]</f>
        <v>45961</v>
      </c>
      <c r="N378" s="14" t="str" cm="1">
        <f t="array" ref="N378">_xlfn.XLOOKUP(TRIM(D378),TRIM(DFC!A:A),DFC!A:A,"NÃO ESTÁ NA DFC")</f>
        <v xml:space="preserve">         SERVIÇO TERCEIRIZADO</v>
      </c>
    </row>
    <row r="379" spans="1:14" customFormat="1" ht="14.4" x14ac:dyDescent="0.3">
      <c r="A379" s="19">
        <v>435665</v>
      </c>
      <c r="B379" s="21">
        <v>45961</v>
      </c>
      <c r="C379" s="21" t="s">
        <v>15</v>
      </c>
      <c r="D379" s="21" t="s">
        <v>19</v>
      </c>
      <c r="E379" s="20"/>
      <c r="F379" s="22" t="s">
        <v>20</v>
      </c>
      <c r="G379" s="252">
        <v>1300</v>
      </c>
      <c r="H379" s="1" t="s">
        <v>87</v>
      </c>
      <c r="I379" s="1">
        <f>COUNTIF(Tabela1[NF],Tabela1[[#This Row],[NF]])</f>
        <v>3</v>
      </c>
      <c r="K379" s="26">
        <f>Tabela1[[#This Row],[DT. VENCIMENTO]]</f>
        <v>45961</v>
      </c>
      <c r="N379" s="14" t="str" cm="1">
        <f t="array" ref="N379">_xlfn.XLOOKUP(TRIM(D379),TRIM(DFC!A:A),DFC!A:A,"NÃO ESTÁ NA DFC")</f>
        <v xml:space="preserve">      PEÇAS</v>
      </c>
    </row>
    <row r="380" spans="1:14" customFormat="1" ht="14.4" x14ac:dyDescent="0.3">
      <c r="A380" s="19">
        <v>442271</v>
      </c>
      <c r="B380" s="21">
        <v>45961</v>
      </c>
      <c r="C380" s="21" t="s">
        <v>15</v>
      </c>
      <c r="D380" s="21" t="s">
        <v>19</v>
      </c>
      <c r="E380" s="20"/>
      <c r="F380" s="22" t="s">
        <v>20</v>
      </c>
      <c r="G380" s="252">
        <v>2282</v>
      </c>
      <c r="H380" s="1" t="s">
        <v>93</v>
      </c>
      <c r="I380" s="1">
        <f>COUNTIF(Tabela1[NF],Tabela1[[#This Row],[NF]])</f>
        <v>4</v>
      </c>
      <c r="K380" s="26">
        <f>Tabela1[[#This Row],[DT. VENCIMENTO]]</f>
        <v>45961</v>
      </c>
      <c r="N380" s="14" t="str" cm="1">
        <f t="array" ref="N380">_xlfn.XLOOKUP(TRIM(D380),TRIM(DFC!A:A),DFC!A:A,"NÃO ESTÁ NA DFC")</f>
        <v xml:space="preserve">      PEÇAS</v>
      </c>
    </row>
    <row r="381" spans="1:14" customFormat="1" ht="14.4" x14ac:dyDescent="0.3">
      <c r="A381" s="24"/>
      <c r="B381" s="21">
        <v>45964</v>
      </c>
      <c r="C381" s="21" t="s">
        <v>15</v>
      </c>
      <c r="D381" s="21" t="s">
        <v>19</v>
      </c>
      <c r="E381" s="20"/>
      <c r="F381" s="22" t="s">
        <v>228</v>
      </c>
      <c r="G381" s="252">
        <v>4318.3</v>
      </c>
      <c r="H381" s="1"/>
      <c r="I381" s="1">
        <f>COUNTIF(Tabela1[NF],Tabela1[[#This Row],[NF]])</f>
        <v>0</v>
      </c>
      <c r="K381" s="26">
        <f>Tabela1[[#This Row],[DT. VENCIMENTO]]</f>
        <v>45964</v>
      </c>
      <c r="N381" s="14" t="str" cm="1">
        <f t="array" ref="N381">_xlfn.XLOOKUP(TRIM(D381),TRIM(DFC!A:A),DFC!A:A,"NÃO ESTÁ NA DFC")</f>
        <v xml:space="preserve">      PEÇAS</v>
      </c>
    </row>
    <row r="382" spans="1:14" customFormat="1" ht="14.4" x14ac:dyDescent="0.3">
      <c r="A382" s="24"/>
      <c r="B382" s="21">
        <v>45964</v>
      </c>
      <c r="C382" s="21" t="s">
        <v>15</v>
      </c>
      <c r="D382" s="21" t="s">
        <v>19</v>
      </c>
      <c r="E382" s="20"/>
      <c r="F382" s="22" t="s">
        <v>228</v>
      </c>
      <c r="G382" s="252">
        <v>2351.5700000000002</v>
      </c>
      <c r="H382" s="1"/>
      <c r="I382" s="1">
        <f>COUNTIF(Tabela1[NF],Tabela1[[#This Row],[NF]])</f>
        <v>0</v>
      </c>
      <c r="K382" s="26">
        <f>Tabela1[[#This Row],[DT. VENCIMENTO]]</f>
        <v>45964</v>
      </c>
      <c r="N382" s="14" t="str" cm="1">
        <f t="array" ref="N382">_xlfn.XLOOKUP(TRIM(D382),TRIM(DFC!A:A),DFC!A:A,"NÃO ESTÁ NA DFC")</f>
        <v xml:space="preserve">      PEÇAS</v>
      </c>
    </row>
    <row r="383" spans="1:14" customFormat="1" ht="14.4" x14ac:dyDescent="0.3">
      <c r="A383" s="24"/>
      <c r="B383" s="21">
        <v>45964</v>
      </c>
      <c r="C383" s="21" t="s">
        <v>15</v>
      </c>
      <c r="D383" s="21" t="s">
        <v>19</v>
      </c>
      <c r="E383" s="20"/>
      <c r="F383" s="22" t="s">
        <v>126</v>
      </c>
      <c r="G383" s="252">
        <v>1620</v>
      </c>
      <c r="H383" s="1"/>
      <c r="I383" s="1">
        <f>COUNTIF(Tabela1[NF],Tabela1[[#This Row],[NF]])</f>
        <v>0</v>
      </c>
      <c r="K383" s="26">
        <f>Tabela1[[#This Row],[DT. VENCIMENTO]]</f>
        <v>45964</v>
      </c>
      <c r="N383" s="14" t="str" cm="1">
        <f t="array" ref="N383">_xlfn.XLOOKUP(TRIM(D383),TRIM(DFC!A:A),DFC!A:A,"NÃO ESTÁ NA DFC")</f>
        <v xml:space="preserve">      PEÇAS</v>
      </c>
    </row>
    <row r="384" spans="1:14" customFormat="1" ht="14.4" x14ac:dyDescent="0.3">
      <c r="A384" s="24"/>
      <c r="B384" s="21">
        <v>45964</v>
      </c>
      <c r="C384" s="21" t="s">
        <v>15</v>
      </c>
      <c r="D384" s="21" t="s">
        <v>19</v>
      </c>
      <c r="E384" s="20"/>
      <c r="F384" s="22" t="s">
        <v>228</v>
      </c>
      <c r="G384" s="252">
        <v>6001.37</v>
      </c>
      <c r="H384" s="1"/>
      <c r="I384" s="1">
        <f>COUNTIF(Tabela1[NF],Tabela1[[#This Row],[NF]])</f>
        <v>0</v>
      </c>
      <c r="K384" s="26">
        <f>Tabela1[[#This Row],[DT. VENCIMENTO]]</f>
        <v>45964</v>
      </c>
      <c r="N384" s="14" t="str" cm="1">
        <f t="array" ref="N384">_xlfn.XLOOKUP(TRIM(D384),TRIM(DFC!A:A),DFC!A:A,"NÃO ESTÁ NA DFC")</f>
        <v xml:space="preserve">      PEÇAS</v>
      </c>
    </row>
    <row r="385" spans="1:14" customFormat="1" ht="14.4" x14ac:dyDescent="0.3">
      <c r="A385" s="24"/>
      <c r="B385" s="21">
        <v>45964</v>
      </c>
      <c r="C385" s="21" t="s">
        <v>15</v>
      </c>
      <c r="D385" s="21" t="s">
        <v>19</v>
      </c>
      <c r="E385" s="20"/>
      <c r="F385" s="22" t="s">
        <v>297</v>
      </c>
      <c r="G385" s="252">
        <v>579.88</v>
      </c>
      <c r="H385" s="1"/>
      <c r="I385" s="1">
        <f>COUNTIF(Tabela1[NF],Tabela1[[#This Row],[NF]])</f>
        <v>0</v>
      </c>
      <c r="K385" s="26">
        <f>Tabela1[[#This Row],[DT. VENCIMENTO]]</f>
        <v>45964</v>
      </c>
      <c r="N385" s="14" t="str" cm="1">
        <f t="array" ref="N385">_xlfn.XLOOKUP(TRIM(D385),TRIM(DFC!A:A),DFC!A:A,"NÃO ESTÁ NA DFC")</f>
        <v xml:space="preserve">      PEÇAS</v>
      </c>
    </row>
    <row r="386" spans="1:14" customFormat="1" ht="14.4" x14ac:dyDescent="0.3">
      <c r="A386" s="24"/>
      <c r="B386" s="21">
        <v>45964</v>
      </c>
      <c r="C386" s="21" t="s">
        <v>15</v>
      </c>
      <c r="D386" s="21" t="s">
        <v>19</v>
      </c>
      <c r="E386" s="20"/>
      <c r="F386" s="22" t="s">
        <v>298</v>
      </c>
      <c r="G386" s="252">
        <v>1416.76</v>
      </c>
      <c r="H386" s="1"/>
      <c r="I386" s="1">
        <f>COUNTIF(Tabela1[NF],Tabela1[[#This Row],[NF]])</f>
        <v>0</v>
      </c>
      <c r="K386" s="26">
        <f>Tabela1[[#This Row],[DT. VENCIMENTO]]</f>
        <v>45964</v>
      </c>
      <c r="N386" s="14" t="str" cm="1">
        <f t="array" ref="N386">_xlfn.XLOOKUP(TRIM(D386),TRIM(DFC!A:A),DFC!A:A,"NÃO ESTÁ NA DFC")</f>
        <v xml:space="preserve">      PEÇAS</v>
      </c>
    </row>
    <row r="387" spans="1:14" customFormat="1" ht="14.4" x14ac:dyDescent="0.3">
      <c r="A387" s="24"/>
      <c r="B387" s="21">
        <v>45964</v>
      </c>
      <c r="C387" s="21" t="s">
        <v>15</v>
      </c>
      <c r="D387" s="21" t="s">
        <v>154</v>
      </c>
      <c r="E387" s="20"/>
      <c r="F387" s="22" t="s">
        <v>299</v>
      </c>
      <c r="G387" s="252">
        <v>2689.39</v>
      </c>
      <c r="H387" s="1"/>
      <c r="I387" s="1">
        <f>COUNTIF(Tabela1[NF],Tabela1[[#This Row],[NF]])</f>
        <v>0</v>
      </c>
      <c r="K387" s="26">
        <f>Tabela1[[#This Row],[DT. VENCIMENTO]]</f>
        <v>45964</v>
      </c>
      <c r="N387" s="14" t="str" cm="1">
        <f t="array" ref="N387">_xlfn.XLOOKUP(TRIM(D387),TRIM(DFC!A:A),DFC!A:A,"NÃO ESTÁ NA DFC")</f>
        <v xml:space="preserve">      EMBALAGENS</v>
      </c>
    </row>
    <row r="388" spans="1:14" customFormat="1" ht="14.4" x14ac:dyDescent="0.3">
      <c r="A388" s="24"/>
      <c r="B388" s="21">
        <v>45964</v>
      </c>
      <c r="C388" s="21" t="s">
        <v>15</v>
      </c>
      <c r="D388" s="21" t="s">
        <v>19</v>
      </c>
      <c r="E388" s="20"/>
      <c r="F388" s="22" t="s">
        <v>300</v>
      </c>
      <c r="G388" s="252">
        <v>3438.86</v>
      </c>
      <c r="H388" s="1"/>
      <c r="I388" s="1">
        <f>COUNTIF(Tabela1[NF],Tabela1[[#This Row],[NF]])</f>
        <v>0</v>
      </c>
      <c r="K388" s="26">
        <f>Tabela1[[#This Row],[DT. VENCIMENTO]]</f>
        <v>45964</v>
      </c>
      <c r="N388" s="14" t="str" cm="1">
        <f t="array" ref="N388">_xlfn.XLOOKUP(TRIM(D388),TRIM(DFC!A:A),DFC!A:A,"NÃO ESTÁ NA DFC")</f>
        <v xml:space="preserve">      PEÇAS</v>
      </c>
    </row>
    <row r="389" spans="1:14" customFormat="1" ht="14.4" x14ac:dyDescent="0.3">
      <c r="A389" s="24"/>
      <c r="B389" s="21">
        <v>45964</v>
      </c>
      <c r="C389" s="21" t="s">
        <v>15</v>
      </c>
      <c r="D389" s="21" t="s">
        <v>19</v>
      </c>
      <c r="E389" s="20"/>
      <c r="F389" s="22" t="s">
        <v>228</v>
      </c>
      <c r="G389" s="252">
        <v>3568.59</v>
      </c>
      <c r="H389" s="1"/>
      <c r="I389" s="1">
        <f>COUNTIF(Tabela1[NF],Tabela1[[#This Row],[NF]])</f>
        <v>0</v>
      </c>
      <c r="K389" s="26">
        <f>Tabela1[[#This Row],[DT. VENCIMENTO]]</f>
        <v>45964</v>
      </c>
      <c r="N389" s="14" t="str" cm="1">
        <f t="array" ref="N389">_xlfn.XLOOKUP(TRIM(D389),TRIM(DFC!A:A),DFC!A:A,"NÃO ESTÁ NA DFC")</f>
        <v xml:space="preserve">      PEÇAS</v>
      </c>
    </row>
    <row r="390" spans="1:14" customFormat="1" ht="14.4" x14ac:dyDescent="0.3">
      <c r="A390" s="24"/>
      <c r="B390" s="21">
        <v>45964</v>
      </c>
      <c r="C390" s="21" t="s">
        <v>15</v>
      </c>
      <c r="D390" s="21" t="s">
        <v>19</v>
      </c>
      <c r="E390" s="20"/>
      <c r="F390" s="22" t="s">
        <v>301</v>
      </c>
      <c r="G390" s="252">
        <v>1705.19</v>
      </c>
      <c r="H390" s="1"/>
      <c r="I390" s="1">
        <f>COUNTIF(Tabela1[NF],Tabela1[[#This Row],[NF]])</f>
        <v>0</v>
      </c>
      <c r="K390" s="26">
        <f>Tabela1[[#This Row],[DT. VENCIMENTO]]</f>
        <v>45964</v>
      </c>
      <c r="N390" s="14" t="str" cm="1">
        <f t="array" ref="N390">_xlfn.XLOOKUP(TRIM(D390),TRIM(DFC!A:A),DFC!A:A,"NÃO ESTÁ NA DFC")</f>
        <v xml:space="preserve">      PEÇAS</v>
      </c>
    </row>
    <row r="391" spans="1:14" customFormat="1" ht="14.4" x14ac:dyDescent="0.3">
      <c r="A391" s="24"/>
      <c r="B391" s="21">
        <v>45964</v>
      </c>
      <c r="C391" s="21" t="s">
        <v>15</v>
      </c>
      <c r="D391" s="21" t="s">
        <v>154</v>
      </c>
      <c r="E391" s="20"/>
      <c r="F391" s="22" t="s">
        <v>130</v>
      </c>
      <c r="G391" s="252">
        <v>3501.99</v>
      </c>
      <c r="H391" s="1"/>
      <c r="I391" s="1">
        <f>COUNTIF(Tabela1[NF],Tabela1[[#This Row],[NF]])</f>
        <v>0</v>
      </c>
      <c r="K391" s="26">
        <f>Tabela1[[#This Row],[DT. VENCIMENTO]]</f>
        <v>45964</v>
      </c>
      <c r="N391" s="14" t="str" cm="1">
        <f t="array" ref="N391">_xlfn.XLOOKUP(TRIM(D391),TRIM(DFC!A:A),DFC!A:A,"NÃO ESTÁ NA DFC")</f>
        <v xml:space="preserve">      EMBALAGENS</v>
      </c>
    </row>
    <row r="392" spans="1:14" customFormat="1" ht="14.4" x14ac:dyDescent="0.3">
      <c r="A392" s="24"/>
      <c r="B392" s="21">
        <v>45964</v>
      </c>
      <c r="C392" s="21" t="s">
        <v>15</v>
      </c>
      <c r="D392" s="21" t="s">
        <v>19</v>
      </c>
      <c r="E392" s="20"/>
      <c r="F392" s="22" t="s">
        <v>228</v>
      </c>
      <c r="G392" s="252">
        <v>2588.6799999999998</v>
      </c>
      <c r="H392" s="1"/>
      <c r="I392" s="1">
        <f>COUNTIF(Tabela1[NF],Tabela1[[#This Row],[NF]])</f>
        <v>0</v>
      </c>
      <c r="K392" s="26">
        <f>Tabela1[[#This Row],[DT. VENCIMENTO]]</f>
        <v>45964</v>
      </c>
      <c r="N392" s="14" t="str" cm="1">
        <f t="array" ref="N392">_xlfn.XLOOKUP(TRIM(D392),TRIM(DFC!A:A),DFC!A:A,"NÃO ESTÁ NA DFC")</f>
        <v xml:space="preserve">      PEÇAS</v>
      </c>
    </row>
    <row r="393" spans="1:14" customFormat="1" ht="14.4" x14ac:dyDescent="0.3">
      <c r="A393" s="24"/>
      <c r="B393" s="21">
        <v>45964</v>
      </c>
      <c r="C393" s="21" t="s">
        <v>15</v>
      </c>
      <c r="D393" s="21" t="s">
        <v>19</v>
      </c>
      <c r="E393" s="20"/>
      <c r="F393" s="22" t="s">
        <v>228</v>
      </c>
      <c r="G393" s="252">
        <v>1526.93</v>
      </c>
      <c r="H393" s="1"/>
      <c r="I393" s="1">
        <f>COUNTIF(Tabela1[NF],Tabela1[[#This Row],[NF]])</f>
        <v>0</v>
      </c>
      <c r="K393" s="26">
        <f>Tabela1[[#This Row],[DT. VENCIMENTO]]</f>
        <v>45964</v>
      </c>
      <c r="N393" s="14" t="str" cm="1">
        <f t="array" ref="N393">_xlfn.XLOOKUP(TRIM(D393),TRIM(DFC!A:A),DFC!A:A,"NÃO ESTÁ NA DFC")</f>
        <v xml:space="preserve">      PEÇAS</v>
      </c>
    </row>
    <row r="394" spans="1:14" customFormat="1" ht="14.4" x14ac:dyDescent="0.3">
      <c r="A394" s="24"/>
      <c r="B394" s="21">
        <v>45964</v>
      </c>
      <c r="C394" s="21" t="s">
        <v>15</v>
      </c>
      <c r="D394" s="21" t="s">
        <v>154</v>
      </c>
      <c r="E394" s="20"/>
      <c r="F394" s="22" t="s">
        <v>302</v>
      </c>
      <c r="G394" s="252">
        <v>5932.75</v>
      </c>
      <c r="H394" s="1"/>
      <c r="I394" s="1">
        <f>COUNTIF(Tabela1[NF],Tabela1[[#This Row],[NF]])</f>
        <v>0</v>
      </c>
      <c r="K394" s="26">
        <f>Tabela1[[#This Row],[DT. VENCIMENTO]]</f>
        <v>45964</v>
      </c>
      <c r="N394" s="14" t="str" cm="1">
        <f t="array" ref="N394">_xlfn.XLOOKUP(TRIM(D394),TRIM(DFC!A:A),DFC!A:A,"NÃO ESTÁ NA DFC")</f>
        <v xml:space="preserve">      EMBALAGENS</v>
      </c>
    </row>
    <row r="395" spans="1:14" customFormat="1" ht="14.4" x14ac:dyDescent="0.3">
      <c r="A395" s="24"/>
      <c r="B395" s="21">
        <v>45964</v>
      </c>
      <c r="C395" s="21" t="s">
        <v>15</v>
      </c>
      <c r="D395" s="21" t="s">
        <v>19</v>
      </c>
      <c r="E395" s="20"/>
      <c r="F395" s="22" t="s">
        <v>298</v>
      </c>
      <c r="G395" s="252">
        <v>607.17999999999995</v>
      </c>
      <c r="H395" s="1"/>
      <c r="I395" s="1">
        <f>COUNTIF(Tabela1[NF],Tabela1[[#This Row],[NF]])</f>
        <v>0</v>
      </c>
      <c r="K395" s="26">
        <f>Tabela1[[#This Row],[DT. VENCIMENTO]]</f>
        <v>45964</v>
      </c>
      <c r="N395" s="14" t="str" cm="1">
        <f t="array" ref="N395">_xlfn.XLOOKUP(TRIM(D395),TRIM(DFC!A:A),DFC!A:A,"NÃO ESTÁ NA DFC")</f>
        <v xml:space="preserve">      PEÇAS</v>
      </c>
    </row>
    <row r="396" spans="1:14" customFormat="1" ht="14.4" x14ac:dyDescent="0.3">
      <c r="A396" s="24"/>
      <c r="B396" s="21">
        <v>45965</v>
      </c>
      <c r="C396" s="21" t="s">
        <v>15</v>
      </c>
      <c r="D396" s="21" t="s">
        <v>19</v>
      </c>
      <c r="E396" s="20"/>
      <c r="F396" s="22" t="s">
        <v>300</v>
      </c>
      <c r="G396" s="252">
        <v>5663.2</v>
      </c>
      <c r="H396" s="1"/>
      <c r="I396" s="1">
        <f>COUNTIF(Tabela1[NF],Tabela1[[#This Row],[NF]])</f>
        <v>0</v>
      </c>
      <c r="K396" s="26">
        <f>Tabela1[[#This Row],[DT. VENCIMENTO]]</f>
        <v>45965</v>
      </c>
      <c r="N396" s="14" t="str" cm="1">
        <f t="array" ref="N396">_xlfn.XLOOKUP(TRIM(D396),TRIM(DFC!A:A),DFC!A:A,"NÃO ESTÁ NA DFC")</f>
        <v xml:space="preserve">      PEÇAS</v>
      </c>
    </row>
    <row r="397" spans="1:14" customFormat="1" ht="14.4" x14ac:dyDescent="0.3">
      <c r="A397" s="24"/>
      <c r="B397" s="21">
        <v>45965</v>
      </c>
      <c r="C397" s="21" t="s">
        <v>15</v>
      </c>
      <c r="D397" s="21" t="s">
        <v>19</v>
      </c>
      <c r="E397" s="20"/>
      <c r="F397" s="22" t="s">
        <v>228</v>
      </c>
      <c r="G397" s="252">
        <v>714.8</v>
      </c>
      <c r="H397" s="1"/>
      <c r="I397" s="1">
        <f>COUNTIF(Tabela1[NF],Tabela1[[#This Row],[NF]])</f>
        <v>0</v>
      </c>
      <c r="K397" s="26">
        <f>Tabela1[[#This Row],[DT. VENCIMENTO]]</f>
        <v>45965</v>
      </c>
      <c r="N397" s="14" t="str" cm="1">
        <f t="array" ref="N397">_xlfn.XLOOKUP(TRIM(D397),TRIM(DFC!A:A),DFC!A:A,"NÃO ESTÁ NA DFC")</f>
        <v xml:space="preserve">      PEÇAS</v>
      </c>
    </row>
    <row r="398" spans="1:14" customFormat="1" ht="14.4" x14ac:dyDescent="0.3">
      <c r="A398" s="24"/>
      <c r="B398" s="21">
        <v>45965</v>
      </c>
      <c r="C398" s="21" t="s">
        <v>15</v>
      </c>
      <c r="D398" s="21" t="s">
        <v>19</v>
      </c>
      <c r="E398" s="20"/>
      <c r="F398" s="22" t="s">
        <v>300</v>
      </c>
      <c r="G398" s="252">
        <v>9376.7000000000007</v>
      </c>
      <c r="H398" s="1"/>
      <c r="I398" s="1">
        <f>COUNTIF(Tabela1[NF],Tabela1[[#This Row],[NF]])</f>
        <v>0</v>
      </c>
      <c r="K398" s="26">
        <f>Tabela1[[#This Row],[DT. VENCIMENTO]]</f>
        <v>45965</v>
      </c>
      <c r="N398" s="14" t="str" cm="1">
        <f t="array" ref="N398">_xlfn.XLOOKUP(TRIM(D398),TRIM(DFC!A:A),DFC!A:A,"NÃO ESTÁ NA DFC")</f>
        <v xml:space="preserve">      PEÇAS</v>
      </c>
    </row>
    <row r="399" spans="1:14" customFormat="1" ht="14.4" x14ac:dyDescent="0.3">
      <c r="A399" s="24"/>
      <c r="B399" s="21">
        <v>45965</v>
      </c>
      <c r="C399" s="21" t="s">
        <v>15</v>
      </c>
      <c r="D399" s="21" t="s">
        <v>154</v>
      </c>
      <c r="E399" s="20"/>
      <c r="F399" s="22" t="s">
        <v>303</v>
      </c>
      <c r="G399" s="252">
        <v>679.34</v>
      </c>
      <c r="H399" s="1"/>
      <c r="I399" s="1">
        <f>COUNTIF(Tabela1[NF],Tabela1[[#This Row],[NF]])</f>
        <v>0</v>
      </c>
      <c r="K399" s="26">
        <f>Tabela1[[#This Row],[DT. VENCIMENTO]]</f>
        <v>45965</v>
      </c>
      <c r="N399" s="14" t="str" cm="1">
        <f t="array" ref="N399">_xlfn.XLOOKUP(TRIM(D399),TRIM(DFC!A:A),DFC!A:A,"NÃO ESTÁ NA DFC")</f>
        <v xml:space="preserve">      EMBALAGENS</v>
      </c>
    </row>
    <row r="400" spans="1:14" customFormat="1" ht="14.4" x14ac:dyDescent="0.3">
      <c r="A400" s="24"/>
      <c r="B400" s="21">
        <v>45965</v>
      </c>
      <c r="C400" s="21" t="s">
        <v>15</v>
      </c>
      <c r="D400" s="21" t="s">
        <v>19</v>
      </c>
      <c r="E400" s="20"/>
      <c r="F400" s="22" t="s">
        <v>304</v>
      </c>
      <c r="G400" s="252">
        <v>4736.1899999999996</v>
      </c>
      <c r="H400" s="1"/>
      <c r="I400" s="1">
        <f>COUNTIF(Tabela1[NF],Tabela1[[#This Row],[NF]])</f>
        <v>0</v>
      </c>
      <c r="K400" s="26">
        <f>Tabela1[[#This Row],[DT. VENCIMENTO]]</f>
        <v>45965</v>
      </c>
      <c r="N400" s="14" t="str" cm="1">
        <f t="array" ref="N400">_xlfn.XLOOKUP(TRIM(D400),TRIM(DFC!A:A),DFC!A:A,"NÃO ESTÁ NA DFC")</f>
        <v xml:space="preserve">      PEÇAS</v>
      </c>
    </row>
    <row r="401" spans="1:14" customFormat="1" ht="14.4" x14ac:dyDescent="0.3">
      <c r="A401" s="24"/>
      <c r="B401" s="21">
        <v>45965</v>
      </c>
      <c r="C401" s="21" t="s">
        <v>15</v>
      </c>
      <c r="D401" s="21" t="s">
        <v>305</v>
      </c>
      <c r="E401" s="20"/>
      <c r="F401" s="22" t="s">
        <v>306</v>
      </c>
      <c r="G401" s="252">
        <v>60.27</v>
      </c>
      <c r="H401" s="1"/>
      <c r="I401" s="1">
        <f>COUNTIF(Tabela1[NF],Tabela1[[#This Row],[NF]])</f>
        <v>0</v>
      </c>
      <c r="K401" s="26">
        <f>Tabela1[[#This Row],[DT. VENCIMENTO]]</f>
        <v>45965</v>
      </c>
      <c r="N401" s="14" t="str" cm="1">
        <f t="array" ref="N401">_xlfn.XLOOKUP(TRIM(D401),TRIM(DFC!A:A),DFC!A:A,"NÃO ESTÁ NA DFC")</f>
        <v xml:space="preserve">      FRETE ENTRADA</v>
      </c>
    </row>
    <row r="402" spans="1:14" customFormat="1" ht="14.4" x14ac:dyDescent="0.3">
      <c r="A402" s="24">
        <v>430675</v>
      </c>
      <c r="B402" s="21">
        <v>45965</v>
      </c>
      <c r="C402" s="21" t="s">
        <v>15</v>
      </c>
      <c r="D402" s="21" t="s">
        <v>19</v>
      </c>
      <c r="E402" s="20"/>
      <c r="F402" s="22" t="s">
        <v>24</v>
      </c>
      <c r="G402" s="252">
        <v>744</v>
      </c>
      <c r="H402" s="1"/>
      <c r="I402" s="1">
        <f>COUNTIF(Tabela1[NF],Tabela1[[#This Row],[NF]])</f>
        <v>2</v>
      </c>
      <c r="K402" s="26">
        <f>Tabela1[[#This Row],[DT. VENCIMENTO]]</f>
        <v>45965</v>
      </c>
      <c r="N402" s="14" t="str" cm="1">
        <f t="array" ref="N402">_xlfn.XLOOKUP(TRIM(D402),TRIM(DFC!A:A),DFC!A:A,"NÃO ESTÁ NA DFC")</f>
        <v xml:space="preserve">      PEÇAS</v>
      </c>
    </row>
    <row r="403" spans="1:14" customFormat="1" ht="14.4" x14ac:dyDescent="0.3">
      <c r="A403" s="24"/>
      <c r="B403" s="21">
        <v>45965</v>
      </c>
      <c r="C403" s="21" t="s">
        <v>15</v>
      </c>
      <c r="D403" s="21" t="s">
        <v>98</v>
      </c>
      <c r="E403" s="20" t="s">
        <v>307</v>
      </c>
      <c r="F403" s="22" t="s">
        <v>308</v>
      </c>
      <c r="G403" s="252">
        <v>40</v>
      </c>
      <c r="H403" s="1"/>
      <c r="I403" s="1">
        <f>COUNTIF(Tabela1[NF],Tabela1[[#This Row],[NF]])</f>
        <v>0</v>
      </c>
      <c r="K403" s="26">
        <f>Tabela1[[#This Row],[DT. VENCIMENTO]]</f>
        <v>45965</v>
      </c>
      <c r="N403" s="14" t="str" cm="1">
        <f t="array" ref="N403">_xlfn.XLOOKUP(TRIM(D403),TRIM(DFC!A:A),DFC!A:A,"NÃO ESTÁ NA DFC")</f>
        <v xml:space="preserve">     REEMBOLSO SAC</v>
      </c>
    </row>
    <row r="404" spans="1:14" customFormat="1" ht="14.4" x14ac:dyDescent="0.3">
      <c r="A404" s="24"/>
      <c r="B404" s="21">
        <v>45965</v>
      </c>
      <c r="C404" s="21" t="s">
        <v>15</v>
      </c>
      <c r="D404" s="21" t="s">
        <v>19</v>
      </c>
      <c r="E404" s="20" t="s">
        <v>309</v>
      </c>
      <c r="F404" s="22" t="s">
        <v>103</v>
      </c>
      <c r="G404" s="252">
        <v>12966.66</v>
      </c>
      <c r="H404" s="1"/>
      <c r="I404" s="1">
        <f>COUNTIF(Tabela1[NF],Tabela1[[#This Row],[NF]])</f>
        <v>0</v>
      </c>
      <c r="K404" s="26">
        <f>Tabela1[[#This Row],[DT. VENCIMENTO]]</f>
        <v>45965</v>
      </c>
      <c r="N404" s="14" t="str" cm="1">
        <f t="array" ref="N404">_xlfn.XLOOKUP(TRIM(D404),TRIM(DFC!A:A),DFC!A:A,"NÃO ESTÁ NA DFC")</f>
        <v xml:space="preserve">      PEÇAS</v>
      </c>
    </row>
    <row r="405" spans="1:14" customFormat="1" ht="14.4" x14ac:dyDescent="0.3">
      <c r="A405" s="19">
        <v>436358</v>
      </c>
      <c r="B405" s="21">
        <v>45965</v>
      </c>
      <c r="C405" s="21" t="s">
        <v>15</v>
      </c>
      <c r="D405" s="21" t="s">
        <v>19</v>
      </c>
      <c r="E405" s="20"/>
      <c r="F405" s="22" t="s">
        <v>24</v>
      </c>
      <c r="G405" s="252">
        <v>6115</v>
      </c>
      <c r="H405" s="1"/>
      <c r="I405" s="1">
        <f>COUNTIF(Tabela1[NF],Tabela1[[#This Row],[NF]])</f>
        <v>5</v>
      </c>
      <c r="K405" s="26">
        <f>Tabela1[[#This Row],[DT. VENCIMENTO]]</f>
        <v>45965</v>
      </c>
      <c r="N405" s="14" t="str" cm="1">
        <f t="array" ref="N405">_xlfn.XLOOKUP(TRIM(D405),TRIM(DFC!A:A),DFC!A:A,"NÃO ESTÁ NA DFC")</f>
        <v xml:space="preserve">      PEÇAS</v>
      </c>
    </row>
    <row r="406" spans="1:14" customFormat="1" ht="14.4" x14ac:dyDescent="0.3">
      <c r="A406" s="19">
        <v>443343</v>
      </c>
      <c r="B406" s="21">
        <v>45965</v>
      </c>
      <c r="C406" s="21" t="s">
        <v>15</v>
      </c>
      <c r="D406" s="21" t="s">
        <v>19</v>
      </c>
      <c r="E406" s="20"/>
      <c r="F406" s="22" t="s">
        <v>310</v>
      </c>
      <c r="G406" s="252">
        <v>4824</v>
      </c>
      <c r="H406" s="1"/>
      <c r="I406" s="1">
        <f>COUNTIF(Tabela1[NF],Tabela1[[#This Row],[NF]])</f>
        <v>4</v>
      </c>
      <c r="K406" s="26">
        <f>Tabela1[[#This Row],[DT. VENCIMENTO]]</f>
        <v>45965</v>
      </c>
      <c r="N406" s="14" t="str" cm="1">
        <f t="array" ref="N406">_xlfn.XLOOKUP(TRIM(D406),TRIM(DFC!A:A),DFC!A:A,"NÃO ESTÁ NA DFC")</f>
        <v xml:space="preserve">      PEÇAS</v>
      </c>
    </row>
    <row r="407" spans="1:14" customFormat="1" ht="14.4" x14ac:dyDescent="0.3">
      <c r="A407" s="19">
        <v>443185</v>
      </c>
      <c r="B407" s="21">
        <v>45965</v>
      </c>
      <c r="C407" s="21" t="s">
        <v>15</v>
      </c>
      <c r="D407" s="21" t="s">
        <v>19</v>
      </c>
      <c r="E407" s="20"/>
      <c r="F407" s="22" t="s">
        <v>310</v>
      </c>
      <c r="G407" s="252">
        <v>4824</v>
      </c>
      <c r="H407" s="1"/>
      <c r="I407" s="1">
        <f>COUNTIF(Tabela1[NF],Tabela1[[#This Row],[NF]])</f>
        <v>4</v>
      </c>
      <c r="K407" s="26">
        <f>Tabela1[[#This Row],[DT. VENCIMENTO]]</f>
        <v>45965</v>
      </c>
      <c r="N407" s="14" t="str" cm="1">
        <f t="array" ref="N407">_xlfn.XLOOKUP(TRIM(D407),TRIM(DFC!A:A),DFC!A:A,"NÃO ESTÁ NA DFC")</f>
        <v xml:space="preserve">      PEÇAS</v>
      </c>
    </row>
    <row r="408" spans="1:14" customFormat="1" ht="14.4" x14ac:dyDescent="0.3">
      <c r="A408" s="19">
        <v>443246</v>
      </c>
      <c r="B408" s="21">
        <v>45965</v>
      </c>
      <c r="C408" s="21" t="s">
        <v>15</v>
      </c>
      <c r="D408" s="21" t="s">
        <v>19</v>
      </c>
      <c r="E408" s="20"/>
      <c r="F408" s="22" t="s">
        <v>24</v>
      </c>
      <c r="G408" s="252">
        <v>776</v>
      </c>
      <c r="H408" s="1"/>
      <c r="I408" s="1">
        <f>COUNTIF(Tabela1[NF],Tabela1[[#This Row],[NF]])</f>
        <v>3</v>
      </c>
      <c r="K408" s="26">
        <f>Tabela1[[#This Row],[DT. VENCIMENTO]]</f>
        <v>45965</v>
      </c>
      <c r="N408" s="14" t="str" cm="1">
        <f t="array" ref="N408">_xlfn.XLOOKUP(TRIM(D408),TRIM(DFC!A:A),DFC!A:A,"NÃO ESTÁ NA DFC")</f>
        <v xml:space="preserve">      PEÇAS</v>
      </c>
    </row>
    <row r="409" spans="1:14" customFormat="1" ht="14.4" x14ac:dyDescent="0.3">
      <c r="A409" s="19">
        <v>436412</v>
      </c>
      <c r="B409" s="21">
        <v>45965</v>
      </c>
      <c r="C409" s="21" t="s">
        <v>15</v>
      </c>
      <c r="D409" s="21" t="s">
        <v>19</v>
      </c>
      <c r="E409" s="20"/>
      <c r="F409" s="22" t="s">
        <v>24</v>
      </c>
      <c r="G409" s="252">
        <v>5157</v>
      </c>
      <c r="H409" s="1"/>
      <c r="I409" s="1">
        <f>COUNTIF(Tabela1[NF],Tabela1[[#This Row],[NF]])</f>
        <v>5</v>
      </c>
      <c r="K409" s="26">
        <f>Tabela1[[#This Row],[DT. VENCIMENTO]]</f>
        <v>45965</v>
      </c>
      <c r="N409" s="14" t="str" cm="1">
        <f t="array" ref="N409">_xlfn.XLOOKUP(TRIM(D409),TRIM(DFC!A:A),DFC!A:A,"NÃO ESTÁ NA DFC")</f>
        <v xml:space="preserve">      PEÇAS</v>
      </c>
    </row>
    <row r="410" spans="1:14" customFormat="1" ht="14.4" x14ac:dyDescent="0.3">
      <c r="A410" s="19">
        <v>436345</v>
      </c>
      <c r="B410" s="21">
        <v>45965</v>
      </c>
      <c r="C410" s="21" t="s">
        <v>15</v>
      </c>
      <c r="D410" s="21" t="s">
        <v>19</v>
      </c>
      <c r="E410" s="20"/>
      <c r="F410" s="22" t="s">
        <v>24</v>
      </c>
      <c r="G410" s="252">
        <v>51962</v>
      </c>
      <c r="H410" s="1"/>
      <c r="I410" s="1">
        <f>COUNTIF(Tabela1[NF],Tabela1[[#This Row],[NF]])</f>
        <v>6</v>
      </c>
      <c r="K410" s="26">
        <f>Tabela1[[#This Row],[DT. VENCIMENTO]]</f>
        <v>45965</v>
      </c>
      <c r="N410" s="14" t="str" cm="1">
        <f t="array" ref="N410">_xlfn.XLOOKUP(TRIM(D410),TRIM(DFC!A:A),DFC!A:A,"NÃO ESTÁ NA DFC")</f>
        <v xml:space="preserve">      PEÇAS</v>
      </c>
    </row>
    <row r="411" spans="1:14" customFormat="1" ht="14.4" x14ac:dyDescent="0.3">
      <c r="A411" s="19">
        <v>436424</v>
      </c>
      <c r="B411" s="21">
        <v>45965</v>
      </c>
      <c r="C411" s="21" t="s">
        <v>15</v>
      </c>
      <c r="D411" s="21" t="s">
        <v>19</v>
      </c>
      <c r="E411" s="20"/>
      <c r="F411" s="22" t="s">
        <v>24</v>
      </c>
      <c r="G411" s="252">
        <v>2959</v>
      </c>
      <c r="H411" s="1"/>
      <c r="I411" s="1">
        <f>COUNTIF(Tabela1[NF],Tabela1[[#This Row],[NF]])</f>
        <v>4</v>
      </c>
      <c r="K411" s="26">
        <f>Tabela1[[#This Row],[DT. VENCIMENTO]]</f>
        <v>45965</v>
      </c>
      <c r="N411" s="14" t="str" cm="1">
        <f t="array" ref="N411">_xlfn.XLOOKUP(TRIM(D411),TRIM(DFC!A:A),DFC!A:A,"NÃO ESTÁ NA DFC")</f>
        <v xml:space="preserve">      PEÇAS</v>
      </c>
    </row>
    <row r="412" spans="1:14" customFormat="1" ht="14.4" x14ac:dyDescent="0.3">
      <c r="A412" s="24"/>
      <c r="B412" s="21">
        <v>45966</v>
      </c>
      <c r="C412" s="21" t="s">
        <v>15</v>
      </c>
      <c r="D412" s="21" t="s">
        <v>111</v>
      </c>
      <c r="E412" s="20"/>
      <c r="F412" s="22" t="s">
        <v>114</v>
      </c>
      <c r="G412" s="252">
        <v>12.97</v>
      </c>
      <c r="H412" s="1"/>
      <c r="I412" s="1">
        <f>COUNTIF(Tabela1[NF],Tabela1[[#This Row],[NF]])</f>
        <v>0</v>
      </c>
      <c r="K412" s="26">
        <f>Tabela1[[#This Row],[DT. VENCIMENTO]]</f>
        <v>45966</v>
      </c>
      <c r="N412" s="14" t="str" cm="1">
        <f t="array" ref="N412">_xlfn.XLOOKUP(TRIM(D412),TRIM(DFC!A:A),DFC!A:A,"NÃO ESTÁ NA DFC")</f>
        <v xml:space="preserve">          TX. BANCÁRIA</v>
      </c>
    </row>
    <row r="413" spans="1:14" customFormat="1" ht="14.4" x14ac:dyDescent="0.3">
      <c r="A413" s="24"/>
      <c r="B413" s="21">
        <v>45966</v>
      </c>
      <c r="C413" s="21" t="s">
        <v>15</v>
      </c>
      <c r="D413" s="21" t="s">
        <v>40</v>
      </c>
      <c r="E413" s="20" t="s">
        <v>311</v>
      </c>
      <c r="F413" s="22" t="s">
        <v>312</v>
      </c>
      <c r="G413" s="252">
        <v>1000</v>
      </c>
      <c r="H413" s="1"/>
      <c r="I413" s="1">
        <f>COUNTIF(Tabela1[NF],Tabela1[[#This Row],[NF]])</f>
        <v>0</v>
      </c>
      <c r="K413" s="26">
        <f>Tabela1[[#This Row],[DT. VENCIMENTO]]</f>
        <v>45966</v>
      </c>
      <c r="N413" s="14" t="str" cm="1">
        <f t="array" ref="N413">_xlfn.XLOOKUP(TRIM(D413),TRIM(DFC!A:A),DFC!A:A,"NÃO ESTÁ NA DFC")</f>
        <v xml:space="preserve">         SERVIÇO TERCEIRIZADO</v>
      </c>
    </row>
    <row r="414" spans="1:14" customFormat="1" ht="14.4" x14ac:dyDescent="0.3">
      <c r="A414" s="24"/>
      <c r="B414" s="21">
        <v>45966</v>
      </c>
      <c r="C414" s="21" t="s">
        <v>15</v>
      </c>
      <c r="D414" s="21" t="s">
        <v>82</v>
      </c>
      <c r="E414" s="20" t="s">
        <v>164</v>
      </c>
      <c r="F414" s="22" t="s">
        <v>313</v>
      </c>
      <c r="G414" s="252">
        <v>130</v>
      </c>
      <c r="H414" s="1"/>
      <c r="I414" s="1">
        <f>COUNTIF(Tabela1[NF],Tabela1[[#This Row],[NF]])</f>
        <v>0</v>
      </c>
      <c r="K414" s="26">
        <f>Tabela1[[#This Row],[DT. VENCIMENTO]]</f>
        <v>45966</v>
      </c>
      <c r="N414" s="14" t="str" cm="1">
        <f t="array" ref="N414">_xlfn.XLOOKUP(TRIM(D414),TRIM(DFC!A:A),DFC!A:A,"NÃO ESTÁ NA DFC")</f>
        <v xml:space="preserve">          DIÁRIAS</v>
      </c>
    </row>
    <row r="415" spans="1:14" customFormat="1" ht="14.4" x14ac:dyDescent="0.3">
      <c r="A415" s="24"/>
      <c r="B415" s="21">
        <v>45966</v>
      </c>
      <c r="C415" s="21" t="s">
        <v>15</v>
      </c>
      <c r="D415" s="21" t="s">
        <v>156</v>
      </c>
      <c r="E415" s="20" t="s">
        <v>157</v>
      </c>
      <c r="F415" s="22" t="s">
        <v>314</v>
      </c>
      <c r="G415" s="252">
        <v>4485</v>
      </c>
      <c r="H415" s="1"/>
      <c r="I415" s="1">
        <f>COUNTIF(Tabela1[NF],Tabela1[[#This Row],[NF]])</f>
        <v>0</v>
      </c>
      <c r="K415" s="26">
        <f>Tabela1[[#This Row],[DT. VENCIMENTO]]</f>
        <v>45966</v>
      </c>
      <c r="N415" s="14" t="str" cm="1">
        <f t="array" ref="N415">_xlfn.XLOOKUP(TRIM(D415),TRIM(DFC!A:A),DFC!A:A,"NÃO ESTÁ NA DFC")</f>
        <v xml:space="preserve">      MONTAGEM DE RODAS</v>
      </c>
    </row>
    <row r="416" spans="1:14" customFormat="1" ht="14.4" x14ac:dyDescent="0.3">
      <c r="A416" s="24"/>
      <c r="B416" s="21">
        <v>45966</v>
      </c>
      <c r="C416" s="21" t="s">
        <v>15</v>
      </c>
      <c r="D416" s="21" t="s">
        <v>19</v>
      </c>
      <c r="E416" s="20"/>
      <c r="F416" s="22" t="s">
        <v>148</v>
      </c>
      <c r="G416" s="252">
        <v>1877.95</v>
      </c>
      <c r="H416" s="1"/>
      <c r="I416" s="1">
        <f>COUNTIF(Tabela1[NF],Tabela1[[#This Row],[NF]])</f>
        <v>0</v>
      </c>
      <c r="K416" s="26">
        <f>Tabela1[[#This Row],[DT. VENCIMENTO]]</f>
        <v>45966</v>
      </c>
      <c r="N416" s="14" t="str" cm="1">
        <f t="array" ref="N416">_xlfn.XLOOKUP(TRIM(D416),TRIM(DFC!A:A),DFC!A:A,"NÃO ESTÁ NA DFC")</f>
        <v xml:space="preserve">      PEÇAS</v>
      </c>
    </row>
    <row r="417" spans="1:14" customFormat="1" ht="14.4" x14ac:dyDescent="0.3">
      <c r="A417" s="24"/>
      <c r="B417" s="21">
        <v>45966</v>
      </c>
      <c r="C417" s="21" t="s">
        <v>15</v>
      </c>
      <c r="D417" s="21" t="s">
        <v>19</v>
      </c>
      <c r="E417" s="20"/>
      <c r="F417" s="22" t="s">
        <v>300</v>
      </c>
      <c r="G417" s="252">
        <v>4093.88</v>
      </c>
      <c r="H417" s="1"/>
      <c r="I417" s="1">
        <f>COUNTIF(Tabela1[NF],Tabela1[[#This Row],[NF]])</f>
        <v>0</v>
      </c>
      <c r="K417" s="26">
        <f>Tabela1[[#This Row],[DT. VENCIMENTO]]</f>
        <v>45966</v>
      </c>
      <c r="N417" s="14" t="str" cm="1">
        <f t="array" ref="N417">_xlfn.XLOOKUP(TRIM(D417),TRIM(DFC!A:A),DFC!A:A,"NÃO ESTÁ NA DFC")</f>
        <v xml:space="preserve">      PEÇAS</v>
      </c>
    </row>
    <row r="418" spans="1:14" customFormat="1" ht="14.4" x14ac:dyDescent="0.3">
      <c r="A418" s="24"/>
      <c r="B418" s="21">
        <v>45966</v>
      </c>
      <c r="C418" s="21" t="s">
        <v>15</v>
      </c>
      <c r="D418" s="21" t="s">
        <v>19</v>
      </c>
      <c r="E418" s="20"/>
      <c r="F418" s="22" t="s">
        <v>297</v>
      </c>
      <c r="G418" s="252">
        <v>591.08000000000004</v>
      </c>
      <c r="H418" s="1"/>
      <c r="I418" s="1">
        <f>COUNTIF(Tabela1[NF],Tabela1[[#This Row],[NF]])</f>
        <v>0</v>
      </c>
      <c r="K418" s="26">
        <f>Tabela1[[#This Row],[DT. VENCIMENTO]]</f>
        <v>45966</v>
      </c>
      <c r="N418" s="14" t="str" cm="1">
        <f t="array" ref="N418">_xlfn.XLOOKUP(TRIM(D418),TRIM(DFC!A:A),DFC!A:A,"NÃO ESTÁ NA DFC")</f>
        <v xml:space="preserve">      PEÇAS</v>
      </c>
    </row>
    <row r="419" spans="1:14" customFormat="1" ht="14.4" x14ac:dyDescent="0.3">
      <c r="A419" s="24"/>
      <c r="B419" s="21">
        <v>45966</v>
      </c>
      <c r="C419" s="21" t="s">
        <v>15</v>
      </c>
      <c r="D419" s="21" t="s">
        <v>19</v>
      </c>
      <c r="E419" s="20"/>
      <c r="F419" s="22" t="s">
        <v>304</v>
      </c>
      <c r="G419" s="252">
        <v>2403.44</v>
      </c>
      <c r="H419" s="1"/>
      <c r="I419" s="1">
        <f>COUNTIF(Tabela1[NF],Tabela1[[#This Row],[NF]])</f>
        <v>0</v>
      </c>
      <c r="K419" s="26">
        <f>Tabela1[[#This Row],[DT. VENCIMENTO]]</f>
        <v>45966</v>
      </c>
      <c r="N419" s="14" t="str" cm="1">
        <f t="array" ref="N419">_xlfn.XLOOKUP(TRIM(D419),TRIM(DFC!A:A),DFC!A:A,"NÃO ESTÁ NA DFC")</f>
        <v xml:space="preserve">      PEÇAS</v>
      </c>
    </row>
    <row r="420" spans="1:14" customFormat="1" ht="14.4" x14ac:dyDescent="0.3">
      <c r="A420" s="24"/>
      <c r="B420" s="21">
        <v>45966</v>
      </c>
      <c r="C420" s="21" t="s">
        <v>15</v>
      </c>
      <c r="D420" s="21" t="s">
        <v>19</v>
      </c>
      <c r="E420" s="20"/>
      <c r="F420" s="22" t="s">
        <v>300</v>
      </c>
      <c r="G420" s="252">
        <v>2242.21</v>
      </c>
      <c r="H420" s="1"/>
      <c r="I420" s="1">
        <f>COUNTIF(Tabela1[NF],Tabela1[[#This Row],[NF]])</f>
        <v>0</v>
      </c>
      <c r="K420" s="26">
        <f>Tabela1[[#This Row],[DT. VENCIMENTO]]</f>
        <v>45966</v>
      </c>
      <c r="N420" s="14" t="str" cm="1">
        <f t="array" ref="N420">_xlfn.XLOOKUP(TRIM(D420),TRIM(DFC!A:A),DFC!A:A,"NÃO ESTÁ NA DFC")</f>
        <v xml:space="preserve">      PEÇAS</v>
      </c>
    </row>
    <row r="421" spans="1:14" customFormat="1" ht="14.4" x14ac:dyDescent="0.3">
      <c r="A421" s="24"/>
      <c r="B421" s="21">
        <v>45966</v>
      </c>
      <c r="C421" s="21" t="s">
        <v>15</v>
      </c>
      <c r="D421" s="21" t="s">
        <v>19</v>
      </c>
      <c r="E421" s="20"/>
      <c r="F421" s="22" t="s">
        <v>315</v>
      </c>
      <c r="G421" s="252">
        <v>3816.66</v>
      </c>
      <c r="H421" s="1"/>
      <c r="I421" s="1">
        <f>COUNTIF(Tabela1[NF],Tabela1[[#This Row],[NF]])</f>
        <v>0</v>
      </c>
      <c r="K421" s="26">
        <f>Tabela1[[#This Row],[DT. VENCIMENTO]]</f>
        <v>45966</v>
      </c>
      <c r="N421" s="14" t="str" cm="1">
        <f t="array" ref="N421">_xlfn.XLOOKUP(TRIM(D421),TRIM(DFC!A:A),DFC!A:A,"NÃO ESTÁ NA DFC")</f>
        <v xml:space="preserve">      PEÇAS</v>
      </c>
    </row>
    <row r="422" spans="1:14" customFormat="1" ht="14.4" x14ac:dyDescent="0.3">
      <c r="A422" s="24"/>
      <c r="B422" s="21">
        <v>45966</v>
      </c>
      <c r="C422" s="21" t="s">
        <v>15</v>
      </c>
      <c r="D422" s="21" t="s">
        <v>19</v>
      </c>
      <c r="E422" s="20"/>
      <c r="F422" s="22" t="s">
        <v>315</v>
      </c>
      <c r="G422" s="252">
        <v>11449.99</v>
      </c>
      <c r="H422" s="1"/>
      <c r="I422" s="1">
        <f>COUNTIF(Tabela1[NF],Tabela1[[#This Row],[NF]])</f>
        <v>0</v>
      </c>
      <c r="K422" s="26">
        <f>Tabela1[[#This Row],[DT. VENCIMENTO]]</f>
        <v>45966</v>
      </c>
      <c r="N422" s="14" t="str" cm="1">
        <f t="array" ref="N422">_xlfn.XLOOKUP(TRIM(D422),TRIM(DFC!A:A),DFC!A:A,"NÃO ESTÁ NA DFC")</f>
        <v xml:space="preserve">      PEÇAS</v>
      </c>
    </row>
    <row r="423" spans="1:14" customFormat="1" ht="14.4" x14ac:dyDescent="0.3">
      <c r="A423" s="24"/>
      <c r="B423" s="21">
        <v>45966</v>
      </c>
      <c r="C423" s="21" t="s">
        <v>15</v>
      </c>
      <c r="D423" s="21" t="s">
        <v>19</v>
      </c>
      <c r="E423" s="20"/>
      <c r="F423" s="22" t="s">
        <v>149</v>
      </c>
      <c r="G423" s="252">
        <v>1904.91</v>
      </c>
      <c r="H423" s="1"/>
      <c r="I423" s="1">
        <f>COUNTIF(Tabela1[NF],Tabela1[[#This Row],[NF]])</f>
        <v>0</v>
      </c>
      <c r="K423" s="26">
        <f>Tabela1[[#This Row],[DT. VENCIMENTO]]</f>
        <v>45966</v>
      </c>
      <c r="N423" s="14" t="str" cm="1">
        <f t="array" ref="N423">_xlfn.XLOOKUP(TRIM(D423),TRIM(DFC!A:A),DFC!A:A,"NÃO ESTÁ NA DFC")</f>
        <v xml:space="preserve">      PEÇAS</v>
      </c>
    </row>
    <row r="424" spans="1:14" customFormat="1" ht="14.4" x14ac:dyDescent="0.3">
      <c r="A424" s="24"/>
      <c r="B424" s="21">
        <v>45966</v>
      </c>
      <c r="C424" s="21" t="s">
        <v>15</v>
      </c>
      <c r="D424" s="21" t="s">
        <v>19</v>
      </c>
      <c r="E424" s="20"/>
      <c r="F424" s="22" t="s">
        <v>228</v>
      </c>
      <c r="G424" s="252">
        <v>1396.92</v>
      </c>
      <c r="H424" s="1"/>
      <c r="I424" s="1">
        <f>COUNTIF(Tabela1[NF],Tabela1[[#This Row],[NF]])</f>
        <v>0</v>
      </c>
      <c r="K424" s="26">
        <f>Tabela1[[#This Row],[DT. VENCIMENTO]]</f>
        <v>45966</v>
      </c>
      <c r="N424" s="14" t="str" cm="1">
        <f t="array" ref="N424">_xlfn.XLOOKUP(TRIM(D424),TRIM(DFC!A:A),DFC!A:A,"NÃO ESTÁ NA DFC")</f>
        <v xml:space="preserve">      PEÇAS</v>
      </c>
    </row>
    <row r="425" spans="1:14" customFormat="1" ht="14.4" x14ac:dyDescent="0.3">
      <c r="A425" s="24"/>
      <c r="B425" s="21">
        <v>45966</v>
      </c>
      <c r="C425" s="21" t="s">
        <v>15</v>
      </c>
      <c r="D425" s="21" t="s">
        <v>19</v>
      </c>
      <c r="E425" s="20"/>
      <c r="F425" s="22" t="s">
        <v>228</v>
      </c>
      <c r="G425" s="252">
        <v>4663.76</v>
      </c>
      <c r="H425" s="1"/>
      <c r="I425" s="1">
        <f>COUNTIF(Tabela1[NF],Tabela1[[#This Row],[NF]])</f>
        <v>0</v>
      </c>
      <c r="K425" s="26">
        <f>Tabela1[[#This Row],[DT. VENCIMENTO]]</f>
        <v>45966</v>
      </c>
      <c r="N425" s="14" t="str" cm="1">
        <f t="array" ref="N425">_xlfn.XLOOKUP(TRIM(D425),TRIM(DFC!A:A),DFC!A:A,"NÃO ESTÁ NA DFC")</f>
        <v xml:space="preserve">      PEÇAS</v>
      </c>
    </row>
    <row r="426" spans="1:14" customFormat="1" ht="14.4" x14ac:dyDescent="0.3">
      <c r="A426" s="24"/>
      <c r="B426" s="21">
        <v>45966</v>
      </c>
      <c r="C426" s="21" t="s">
        <v>15</v>
      </c>
      <c r="D426" s="21" t="s">
        <v>19</v>
      </c>
      <c r="E426" s="20"/>
      <c r="F426" s="22" t="s">
        <v>210</v>
      </c>
      <c r="G426" s="252">
        <v>6996.9</v>
      </c>
      <c r="H426" s="1"/>
      <c r="I426" s="1">
        <f>COUNTIF(Tabela1[NF],Tabela1[[#This Row],[NF]])</f>
        <v>0</v>
      </c>
      <c r="K426" s="26">
        <f>Tabela1[[#This Row],[DT. VENCIMENTO]]</f>
        <v>45966</v>
      </c>
      <c r="N426" s="14" t="str" cm="1">
        <f t="array" ref="N426">_xlfn.XLOOKUP(TRIM(D426),TRIM(DFC!A:A),DFC!A:A,"NÃO ESTÁ NA DFC")</f>
        <v xml:space="preserve">      PEÇAS</v>
      </c>
    </row>
    <row r="427" spans="1:14" customFormat="1" ht="14.4" x14ac:dyDescent="0.3">
      <c r="A427" s="24"/>
      <c r="B427" s="21">
        <v>45966</v>
      </c>
      <c r="C427" s="21" t="s">
        <v>15</v>
      </c>
      <c r="D427" s="21" t="s">
        <v>19</v>
      </c>
      <c r="E427" s="20"/>
      <c r="F427" s="22" t="s">
        <v>300</v>
      </c>
      <c r="G427" s="252">
        <v>1876.37</v>
      </c>
      <c r="H427" s="1"/>
      <c r="I427" s="1">
        <f>COUNTIF(Tabela1[NF],Tabela1[[#This Row],[NF]])</f>
        <v>0</v>
      </c>
      <c r="K427" s="26">
        <f>Tabela1[[#This Row],[DT. VENCIMENTO]]</f>
        <v>45966</v>
      </c>
      <c r="N427" s="14" t="str" cm="1">
        <f t="array" ref="N427">_xlfn.XLOOKUP(TRIM(D427),TRIM(DFC!A:A),DFC!A:A,"NÃO ESTÁ NA DFC")</f>
        <v xml:space="preserve">      PEÇAS</v>
      </c>
    </row>
    <row r="428" spans="1:14" customFormat="1" ht="14.4" x14ac:dyDescent="0.3">
      <c r="A428" s="24"/>
      <c r="B428" s="21">
        <v>45966</v>
      </c>
      <c r="C428" s="21" t="s">
        <v>15</v>
      </c>
      <c r="D428" s="21" t="s">
        <v>19</v>
      </c>
      <c r="E428" s="20"/>
      <c r="F428" s="22" t="s">
        <v>301</v>
      </c>
      <c r="G428" s="252">
        <v>1453.2</v>
      </c>
      <c r="H428" s="1"/>
      <c r="I428" s="1">
        <f>COUNTIF(Tabela1[NF],Tabela1[[#This Row],[NF]])</f>
        <v>0</v>
      </c>
      <c r="K428" s="26">
        <f>Tabela1[[#This Row],[DT. VENCIMENTO]]</f>
        <v>45966</v>
      </c>
      <c r="N428" s="14" t="str" cm="1">
        <f t="array" ref="N428">_xlfn.XLOOKUP(TRIM(D428),TRIM(DFC!A:A),DFC!A:A,"NÃO ESTÁ NA DFC")</f>
        <v xml:space="preserve">      PEÇAS</v>
      </c>
    </row>
    <row r="429" spans="1:14" customFormat="1" ht="14.4" x14ac:dyDescent="0.3">
      <c r="A429" s="24"/>
      <c r="B429" s="21">
        <v>45966</v>
      </c>
      <c r="C429" s="21" t="s">
        <v>15</v>
      </c>
      <c r="D429" s="21" t="s">
        <v>60</v>
      </c>
      <c r="E429" s="20" t="s">
        <v>146</v>
      </c>
      <c r="F429" s="22" t="s">
        <v>147</v>
      </c>
      <c r="G429" s="252">
        <v>380</v>
      </c>
      <c r="H429" s="1"/>
      <c r="I429" s="1">
        <f>COUNTIF(Tabela1[NF],Tabela1[[#This Row],[NF]])</f>
        <v>0</v>
      </c>
      <c r="K429" s="26">
        <f>Tabela1[[#This Row],[DT. VENCIMENTO]]</f>
        <v>45966</v>
      </c>
      <c r="N429" s="14" t="str" cm="1">
        <f t="array" ref="N429">_xlfn.XLOOKUP(TRIM(D429),TRIM(DFC!A:A),DFC!A:A,"NÃO ESTÁ NA DFC")</f>
        <v xml:space="preserve">          ALUGUEL</v>
      </c>
    </row>
    <row r="430" spans="1:14" customFormat="1" ht="14.4" x14ac:dyDescent="0.3">
      <c r="A430" s="24"/>
      <c r="B430" s="21">
        <v>45966</v>
      </c>
      <c r="C430" s="21" t="s">
        <v>15</v>
      </c>
      <c r="D430" s="21" t="s">
        <v>19</v>
      </c>
      <c r="E430" s="20" t="s">
        <v>316</v>
      </c>
      <c r="F430" s="22" t="s">
        <v>103</v>
      </c>
      <c r="G430" s="252">
        <v>4400</v>
      </c>
      <c r="H430" s="1"/>
      <c r="I430" s="1">
        <f>COUNTIF(Tabela1[NF],Tabela1[[#This Row],[NF]])</f>
        <v>0</v>
      </c>
      <c r="K430" s="26">
        <f>Tabela1[[#This Row],[DT. VENCIMENTO]]</f>
        <v>45966</v>
      </c>
      <c r="N430" s="14" t="str" cm="1">
        <f t="array" ref="N430">_xlfn.XLOOKUP(TRIM(D430),TRIM(DFC!A:A),DFC!A:A,"NÃO ESTÁ NA DFC")</f>
        <v xml:space="preserve">      PEÇAS</v>
      </c>
    </row>
    <row r="431" spans="1:14" customFormat="1" ht="14.4" x14ac:dyDescent="0.3">
      <c r="A431" s="24"/>
      <c r="B431" s="21">
        <v>45966</v>
      </c>
      <c r="C431" s="21" t="s">
        <v>15</v>
      </c>
      <c r="D431" s="21" t="s">
        <v>85</v>
      </c>
      <c r="E431" s="20" t="s">
        <v>317</v>
      </c>
      <c r="F431" s="22" t="s">
        <v>103</v>
      </c>
      <c r="G431" s="252">
        <v>1750</v>
      </c>
      <c r="H431" s="1"/>
      <c r="I431" s="1">
        <f>COUNTIF(Tabela1[NF],Tabela1[[#This Row],[NF]])</f>
        <v>0</v>
      </c>
      <c r="K431" s="26">
        <f>Tabela1[[#This Row],[DT. VENCIMENTO]]</f>
        <v>45966</v>
      </c>
      <c r="N431" s="14" t="str" cm="1">
        <f t="array" ref="N431">_xlfn.XLOOKUP(TRIM(D431),TRIM(DFC!A:A),DFC!A:A,"NÃO ESTÁ NA DFC")</f>
        <v xml:space="preserve">         EQUIPAMENTOS DE INFORMÁTICA</v>
      </c>
    </row>
    <row r="432" spans="1:14" customFormat="1" ht="14.4" x14ac:dyDescent="0.3">
      <c r="A432" s="24">
        <v>431002</v>
      </c>
      <c r="B432" s="21">
        <v>45966</v>
      </c>
      <c r="C432" s="21" t="s">
        <v>15</v>
      </c>
      <c r="D432" s="21" t="s">
        <v>19</v>
      </c>
      <c r="E432" s="20"/>
      <c r="F432" s="22" t="s">
        <v>24</v>
      </c>
      <c r="G432" s="252">
        <v>2135</v>
      </c>
      <c r="H432" s="1"/>
      <c r="I432" s="1">
        <f>COUNTIF(Tabela1[NF],Tabela1[[#This Row],[NF]])</f>
        <v>2</v>
      </c>
      <c r="K432" s="26">
        <f>Tabela1[[#This Row],[DT. VENCIMENTO]]</f>
        <v>45966</v>
      </c>
      <c r="N432" s="14" t="str" cm="1">
        <f t="array" ref="N432">_xlfn.XLOOKUP(TRIM(D432),TRIM(DFC!A:A),DFC!A:A,"NÃO ESTÁ NA DFC")</f>
        <v xml:space="preserve">      PEÇAS</v>
      </c>
    </row>
    <row r="433" spans="1:14" customFormat="1" ht="14.4" x14ac:dyDescent="0.3">
      <c r="A433" s="19">
        <v>436655</v>
      </c>
      <c r="B433" s="21">
        <v>45966</v>
      </c>
      <c r="C433" s="21" t="s">
        <v>15</v>
      </c>
      <c r="D433" s="21" t="s">
        <v>19</v>
      </c>
      <c r="E433" s="20"/>
      <c r="F433" s="22" t="s">
        <v>30</v>
      </c>
      <c r="G433" s="252">
        <v>29409</v>
      </c>
      <c r="H433" s="1"/>
      <c r="I433" s="1">
        <f>COUNTIF(Tabela1[NF],Tabela1[[#This Row],[NF]])</f>
        <v>5</v>
      </c>
      <c r="K433" s="26">
        <f>Tabela1[[#This Row],[DT. VENCIMENTO]]</f>
        <v>45966</v>
      </c>
      <c r="N433" s="14" t="str" cm="1">
        <f t="array" ref="N433">_xlfn.XLOOKUP(TRIM(D433),TRIM(DFC!A:A),DFC!A:A,"NÃO ESTÁ NA DFC")</f>
        <v xml:space="preserve">      PEÇAS</v>
      </c>
    </row>
    <row r="434" spans="1:14" customFormat="1" ht="14.4" x14ac:dyDescent="0.3">
      <c r="A434" s="24"/>
      <c r="B434" s="21">
        <v>45967</v>
      </c>
      <c r="C434" s="21" t="s">
        <v>15</v>
      </c>
      <c r="D434" s="21" t="s">
        <v>19</v>
      </c>
      <c r="E434" s="20"/>
      <c r="F434" s="22" t="s">
        <v>301</v>
      </c>
      <c r="G434" s="252">
        <v>2864.41</v>
      </c>
      <c r="H434" s="1"/>
      <c r="I434" s="1">
        <f>COUNTIF(Tabela1[NF],Tabela1[[#This Row],[NF]])</f>
        <v>0</v>
      </c>
      <c r="K434" s="26">
        <f>Tabela1[[#This Row],[DT. VENCIMENTO]]</f>
        <v>45967</v>
      </c>
      <c r="N434" s="14" t="str" cm="1">
        <f t="array" ref="N434">_xlfn.XLOOKUP(TRIM(D434),TRIM(DFC!A:A),DFC!A:A,"NÃO ESTÁ NA DFC")</f>
        <v xml:space="preserve">      PEÇAS</v>
      </c>
    </row>
    <row r="435" spans="1:14" customFormat="1" ht="14.4" x14ac:dyDescent="0.3">
      <c r="A435" s="24"/>
      <c r="B435" s="21">
        <v>45967</v>
      </c>
      <c r="C435" s="21" t="s">
        <v>15</v>
      </c>
      <c r="D435" s="21" t="s">
        <v>19</v>
      </c>
      <c r="E435" s="20"/>
      <c r="F435" s="22" t="s">
        <v>297</v>
      </c>
      <c r="G435" s="252">
        <v>1773.23</v>
      </c>
      <c r="H435" s="1"/>
      <c r="I435" s="1">
        <f>COUNTIF(Tabela1[NF],Tabela1[[#This Row],[NF]])</f>
        <v>0</v>
      </c>
      <c r="K435" s="26">
        <f>Tabela1[[#This Row],[DT. VENCIMENTO]]</f>
        <v>45967</v>
      </c>
      <c r="N435" s="14" t="str" cm="1">
        <f t="array" ref="N435">_xlfn.XLOOKUP(TRIM(D435),TRIM(DFC!A:A),DFC!A:A,"NÃO ESTÁ NA DFC")</f>
        <v xml:space="preserve">      PEÇAS</v>
      </c>
    </row>
    <row r="436" spans="1:14" customFormat="1" ht="14.4" x14ac:dyDescent="0.3">
      <c r="A436" s="24"/>
      <c r="B436" s="21">
        <v>45967</v>
      </c>
      <c r="C436" s="21" t="s">
        <v>15</v>
      </c>
      <c r="D436" s="21" t="s">
        <v>19</v>
      </c>
      <c r="E436" s="20"/>
      <c r="F436" s="22" t="s">
        <v>122</v>
      </c>
      <c r="G436" s="252">
        <v>640.54999999999995</v>
      </c>
      <c r="H436" s="1"/>
      <c r="I436" s="1">
        <f>COUNTIF(Tabela1[NF],Tabela1[[#This Row],[NF]])</f>
        <v>0</v>
      </c>
      <c r="K436" s="26">
        <f>Tabela1[[#This Row],[DT. VENCIMENTO]]</f>
        <v>45967</v>
      </c>
      <c r="N436" s="14" t="str" cm="1">
        <f t="array" ref="N436">_xlfn.XLOOKUP(TRIM(D436),TRIM(DFC!A:A),DFC!A:A,"NÃO ESTÁ NA DFC")</f>
        <v xml:space="preserve">      PEÇAS</v>
      </c>
    </row>
    <row r="437" spans="1:14" customFormat="1" ht="14.4" x14ac:dyDescent="0.3">
      <c r="A437" s="24"/>
      <c r="B437" s="21">
        <v>45967</v>
      </c>
      <c r="C437" s="21" t="s">
        <v>15</v>
      </c>
      <c r="D437" s="21" t="s">
        <v>19</v>
      </c>
      <c r="E437" s="20"/>
      <c r="F437" s="22" t="s">
        <v>300</v>
      </c>
      <c r="G437" s="252">
        <v>4921.3900000000003</v>
      </c>
      <c r="H437" s="1"/>
      <c r="I437" s="1">
        <f>COUNTIF(Tabela1[NF],Tabela1[[#This Row],[NF]])</f>
        <v>0</v>
      </c>
      <c r="K437" s="26">
        <f>Tabela1[[#This Row],[DT. VENCIMENTO]]</f>
        <v>45967</v>
      </c>
      <c r="N437" s="14" t="str" cm="1">
        <f t="array" ref="N437">_xlfn.XLOOKUP(TRIM(D437),TRIM(DFC!A:A),DFC!A:A,"NÃO ESTÁ NA DFC")</f>
        <v xml:space="preserve">      PEÇAS</v>
      </c>
    </row>
    <row r="438" spans="1:14" customFormat="1" ht="14.4" x14ac:dyDescent="0.3">
      <c r="A438" s="24"/>
      <c r="B438" s="21">
        <v>45967</v>
      </c>
      <c r="C438" s="21" t="s">
        <v>15</v>
      </c>
      <c r="D438" s="21" t="s">
        <v>19</v>
      </c>
      <c r="E438" s="20"/>
      <c r="F438" s="22" t="s">
        <v>318</v>
      </c>
      <c r="G438" s="252">
        <v>144.82</v>
      </c>
      <c r="H438" s="1"/>
      <c r="I438" s="1">
        <f>COUNTIF(Tabela1[NF],Tabela1[[#This Row],[NF]])</f>
        <v>0</v>
      </c>
      <c r="K438" s="26">
        <f>Tabela1[[#This Row],[DT. VENCIMENTO]]</f>
        <v>45967</v>
      </c>
      <c r="N438" s="14" t="str" cm="1">
        <f t="array" ref="N438">_xlfn.XLOOKUP(TRIM(D438),TRIM(DFC!A:A),DFC!A:A,"NÃO ESTÁ NA DFC")</f>
        <v xml:space="preserve">      PEÇAS</v>
      </c>
    </row>
    <row r="439" spans="1:14" customFormat="1" ht="14.4" x14ac:dyDescent="0.3">
      <c r="A439" s="24"/>
      <c r="B439" s="21">
        <v>45967</v>
      </c>
      <c r="C439" s="21" t="s">
        <v>15</v>
      </c>
      <c r="D439" s="21" t="s">
        <v>117</v>
      </c>
      <c r="E439" s="20"/>
      <c r="F439" s="22" t="s">
        <v>319</v>
      </c>
      <c r="G439" s="252">
        <v>1479.46</v>
      </c>
      <c r="H439" s="1"/>
      <c r="I439" s="1">
        <f>COUNTIF(Tabela1[NF],Tabela1[[#This Row],[NF]])</f>
        <v>0</v>
      </c>
      <c r="K439" s="26">
        <f>Tabela1[[#This Row],[DT. VENCIMENTO]]</f>
        <v>45967</v>
      </c>
      <c r="N439" s="14" t="str" cm="1">
        <f t="array" ref="N439">_xlfn.XLOOKUP(TRIM(D439),TRIM(DFC!A:A),DFC!A:A,"NÃO ESTÁ NA DFC")</f>
        <v xml:space="preserve">          SALÁRIOS</v>
      </c>
    </row>
    <row r="440" spans="1:14" customFormat="1" ht="14.4" x14ac:dyDescent="0.3">
      <c r="A440" s="24"/>
      <c r="B440" s="21">
        <v>45967</v>
      </c>
      <c r="C440" s="21" t="s">
        <v>15</v>
      </c>
      <c r="D440" s="21" t="s">
        <v>117</v>
      </c>
      <c r="E440" s="20"/>
      <c r="F440" s="22" t="s">
        <v>320</v>
      </c>
      <c r="G440" s="252">
        <v>1655.27</v>
      </c>
      <c r="H440" s="1"/>
      <c r="I440" s="1">
        <f>COUNTIF(Tabela1[NF],Tabela1[[#This Row],[NF]])</f>
        <v>0</v>
      </c>
      <c r="K440" s="26">
        <f>Tabela1[[#This Row],[DT. VENCIMENTO]]</f>
        <v>45967</v>
      </c>
      <c r="N440" s="14" t="str" cm="1">
        <f t="array" ref="N440">_xlfn.XLOOKUP(TRIM(D440),TRIM(DFC!A:A),DFC!A:A,"NÃO ESTÁ NA DFC")</f>
        <v xml:space="preserve">          SALÁRIOS</v>
      </c>
    </row>
    <row r="441" spans="1:14" customFormat="1" ht="14.4" x14ac:dyDescent="0.3">
      <c r="A441" s="24"/>
      <c r="B441" s="21">
        <v>45967</v>
      </c>
      <c r="C441" s="21" t="s">
        <v>15</v>
      </c>
      <c r="D441" s="21" t="s">
        <v>117</v>
      </c>
      <c r="E441" s="20"/>
      <c r="F441" s="22" t="s">
        <v>321</v>
      </c>
      <c r="G441" s="252">
        <v>3075.03</v>
      </c>
      <c r="H441" s="1"/>
      <c r="I441" s="1">
        <f>COUNTIF(Tabela1[NF],Tabela1[[#This Row],[NF]])</f>
        <v>0</v>
      </c>
      <c r="K441" s="26">
        <f>Tabela1[[#This Row],[DT. VENCIMENTO]]</f>
        <v>45967</v>
      </c>
      <c r="N441" s="14" t="str" cm="1">
        <f t="array" ref="N441">_xlfn.XLOOKUP(TRIM(D441),TRIM(DFC!A:A),DFC!A:A,"NÃO ESTÁ NA DFC")</f>
        <v xml:space="preserve">          SALÁRIOS</v>
      </c>
    </row>
    <row r="442" spans="1:14" customFormat="1" ht="14.4" x14ac:dyDescent="0.3">
      <c r="A442" s="24"/>
      <c r="B442" s="21">
        <v>45967</v>
      </c>
      <c r="C442" s="21" t="s">
        <v>15</v>
      </c>
      <c r="D442" s="21" t="s">
        <v>117</v>
      </c>
      <c r="E442" s="20"/>
      <c r="F442" s="22" t="s">
        <v>322</v>
      </c>
      <c r="G442" s="252">
        <v>1755.61</v>
      </c>
      <c r="H442" s="1"/>
      <c r="I442" s="1">
        <f>COUNTIF(Tabela1[NF],Tabela1[[#This Row],[NF]])</f>
        <v>0</v>
      </c>
      <c r="K442" s="26">
        <f>Tabela1[[#This Row],[DT. VENCIMENTO]]</f>
        <v>45967</v>
      </c>
      <c r="N442" s="14" t="str" cm="1">
        <f t="array" ref="N442">_xlfn.XLOOKUP(TRIM(D442),TRIM(DFC!A:A),DFC!A:A,"NÃO ESTÁ NA DFC")</f>
        <v xml:space="preserve">          SALÁRIOS</v>
      </c>
    </row>
    <row r="443" spans="1:14" customFormat="1" ht="14.4" x14ac:dyDescent="0.3">
      <c r="A443" s="24"/>
      <c r="B443" s="21">
        <v>45967</v>
      </c>
      <c r="C443" s="21" t="s">
        <v>15</v>
      </c>
      <c r="D443" s="21" t="s">
        <v>137</v>
      </c>
      <c r="E443" s="20"/>
      <c r="F443" s="22" t="s">
        <v>323</v>
      </c>
      <c r="G443" s="252">
        <v>1680</v>
      </c>
      <c r="H443" s="1"/>
      <c r="I443" s="1">
        <f>COUNTIF(Tabela1[NF],Tabela1[[#This Row],[NF]])</f>
        <v>0</v>
      </c>
      <c r="K443" s="26">
        <f>Tabela1[[#This Row],[DT. VENCIMENTO]]</f>
        <v>45967</v>
      </c>
      <c r="N443" s="14" t="str" cm="1">
        <f t="array" ref="N443">_xlfn.XLOOKUP(TRIM(D443),TRIM(DFC!A:A),DFC!A:A,"NÃO ESTÁ NA DFC")</f>
        <v xml:space="preserve">          TICKET ALIMENTAÇÃO</v>
      </c>
    </row>
    <row r="444" spans="1:14" customFormat="1" ht="14.4" x14ac:dyDescent="0.3">
      <c r="A444" s="24"/>
      <c r="B444" s="21">
        <v>45967</v>
      </c>
      <c r="C444" s="21" t="s">
        <v>15</v>
      </c>
      <c r="D444" s="21" t="s">
        <v>117</v>
      </c>
      <c r="E444" s="20"/>
      <c r="F444" s="22" t="s">
        <v>324</v>
      </c>
      <c r="G444" s="252">
        <v>2248.7800000000002</v>
      </c>
      <c r="H444" s="1"/>
      <c r="I444" s="1">
        <f>COUNTIF(Tabela1[NF],Tabela1[[#This Row],[NF]])</f>
        <v>0</v>
      </c>
      <c r="K444" s="26">
        <f>Tabela1[[#This Row],[DT. VENCIMENTO]]</f>
        <v>45967</v>
      </c>
      <c r="N444" s="14" t="str" cm="1">
        <f t="array" ref="N444">_xlfn.XLOOKUP(TRIM(D444),TRIM(DFC!A:A),DFC!A:A,"NÃO ESTÁ NA DFC")</f>
        <v xml:space="preserve">          SALÁRIOS</v>
      </c>
    </row>
    <row r="445" spans="1:14" customFormat="1" ht="14.4" x14ac:dyDescent="0.3">
      <c r="A445" s="24"/>
      <c r="B445" s="21">
        <v>45967</v>
      </c>
      <c r="C445" s="21" t="s">
        <v>15</v>
      </c>
      <c r="D445" s="21" t="s">
        <v>117</v>
      </c>
      <c r="E445" s="20"/>
      <c r="F445" s="22" t="s">
        <v>325</v>
      </c>
      <c r="G445" s="252">
        <v>712.91</v>
      </c>
      <c r="H445" s="1"/>
      <c r="I445" s="1">
        <f>COUNTIF(Tabela1[NF],Tabela1[[#This Row],[NF]])</f>
        <v>0</v>
      </c>
      <c r="K445" s="26">
        <f>Tabela1[[#This Row],[DT. VENCIMENTO]]</f>
        <v>45967</v>
      </c>
      <c r="N445" s="14" t="str" cm="1">
        <f t="array" ref="N445">_xlfn.XLOOKUP(TRIM(D445),TRIM(DFC!A:A),DFC!A:A,"NÃO ESTÁ NA DFC")</f>
        <v xml:space="preserve">          SALÁRIOS</v>
      </c>
    </row>
    <row r="446" spans="1:14" customFormat="1" ht="14.4" x14ac:dyDescent="0.3">
      <c r="A446" s="24"/>
      <c r="B446" s="21">
        <v>45967</v>
      </c>
      <c r="C446" s="21" t="s">
        <v>15</v>
      </c>
      <c r="D446" s="21" t="s">
        <v>117</v>
      </c>
      <c r="E446" s="20"/>
      <c r="F446" s="22" t="s">
        <v>326</v>
      </c>
      <c r="G446" s="252">
        <v>2490.42</v>
      </c>
      <c r="H446" s="1"/>
      <c r="I446" s="1">
        <f>COUNTIF(Tabela1[NF],Tabela1[[#This Row],[NF]])</f>
        <v>0</v>
      </c>
      <c r="K446" s="26">
        <f>Tabela1[[#This Row],[DT. VENCIMENTO]]</f>
        <v>45967</v>
      </c>
      <c r="N446" s="14" t="str" cm="1">
        <f t="array" ref="N446">_xlfn.XLOOKUP(TRIM(D446),TRIM(DFC!A:A),DFC!A:A,"NÃO ESTÁ NA DFC")</f>
        <v xml:space="preserve">          SALÁRIOS</v>
      </c>
    </row>
    <row r="447" spans="1:14" customFormat="1" ht="14.4" x14ac:dyDescent="0.3">
      <c r="A447" s="24"/>
      <c r="B447" s="21">
        <v>45967</v>
      </c>
      <c r="C447" s="21" t="s">
        <v>15</v>
      </c>
      <c r="D447" s="21" t="s">
        <v>117</v>
      </c>
      <c r="E447" s="20"/>
      <c r="F447" s="22" t="s">
        <v>327</v>
      </c>
      <c r="G447" s="252">
        <v>2257.66</v>
      </c>
      <c r="H447" s="1"/>
      <c r="I447" s="1">
        <f>COUNTIF(Tabela1[NF],Tabela1[[#This Row],[NF]])</f>
        <v>0</v>
      </c>
      <c r="K447" s="26">
        <f>Tabela1[[#This Row],[DT. VENCIMENTO]]</f>
        <v>45967</v>
      </c>
      <c r="N447" s="14" t="str" cm="1">
        <f t="array" ref="N447">_xlfn.XLOOKUP(TRIM(D447),TRIM(DFC!A:A),DFC!A:A,"NÃO ESTÁ NA DFC")</f>
        <v xml:space="preserve">          SALÁRIOS</v>
      </c>
    </row>
    <row r="448" spans="1:14" customFormat="1" ht="14.4" x14ac:dyDescent="0.3">
      <c r="A448" s="19">
        <v>449811</v>
      </c>
      <c r="B448" s="21">
        <v>45967</v>
      </c>
      <c r="C448" s="21" t="s">
        <v>15</v>
      </c>
      <c r="D448" s="21" t="s">
        <v>19</v>
      </c>
      <c r="E448" s="20"/>
      <c r="F448" s="22" t="s">
        <v>310</v>
      </c>
      <c r="G448" s="252">
        <v>7885.66</v>
      </c>
      <c r="H448" s="1"/>
      <c r="I448" s="1">
        <f>COUNTIF(Tabela1[NF],Tabela1[[#This Row],[NF]])</f>
        <v>3</v>
      </c>
      <c r="K448" s="26">
        <f>Tabela1[[#This Row],[DT. VENCIMENTO]]</f>
        <v>45967</v>
      </c>
      <c r="N448" s="14" t="str" cm="1">
        <f t="array" ref="N448">_xlfn.XLOOKUP(TRIM(D448),TRIM(DFC!A:A),DFC!A:A,"NÃO ESTÁ NA DFC")</f>
        <v xml:space="preserve">      PEÇAS</v>
      </c>
    </row>
    <row r="449" spans="1:14" customFormat="1" ht="14.4" x14ac:dyDescent="0.3">
      <c r="A449" s="24"/>
      <c r="B449" s="21">
        <v>45968</v>
      </c>
      <c r="C449" s="21" t="s">
        <v>15</v>
      </c>
      <c r="D449" s="21" t="s">
        <v>117</v>
      </c>
      <c r="E449" s="20"/>
      <c r="F449" s="22" t="s">
        <v>159</v>
      </c>
      <c r="G449" s="252">
        <v>2000</v>
      </c>
      <c r="H449" s="1"/>
      <c r="I449" s="1">
        <f>COUNTIF(Tabela1[NF],Tabela1[[#This Row],[NF]])</f>
        <v>0</v>
      </c>
      <c r="K449" s="26">
        <f>Tabela1[[#This Row],[DT. VENCIMENTO]]</f>
        <v>45968</v>
      </c>
      <c r="N449" s="14" t="str" cm="1">
        <f t="array" ref="N449">_xlfn.XLOOKUP(TRIM(D449),TRIM(DFC!A:A),DFC!A:A,"NÃO ESTÁ NA DFC")</f>
        <v xml:space="preserve">          SALÁRIOS</v>
      </c>
    </row>
    <row r="450" spans="1:14" customFormat="1" ht="14.4" x14ac:dyDescent="0.3">
      <c r="A450" s="24"/>
      <c r="B450" s="21">
        <v>45968</v>
      </c>
      <c r="C450" s="21" t="s">
        <v>15</v>
      </c>
      <c r="D450" s="21" t="s">
        <v>19</v>
      </c>
      <c r="E450" s="20"/>
      <c r="F450" s="22" t="s">
        <v>328</v>
      </c>
      <c r="G450" s="252">
        <v>563.03</v>
      </c>
      <c r="H450" s="1"/>
      <c r="I450" s="1">
        <f>COUNTIF(Tabela1[NF],Tabela1[[#This Row],[NF]])</f>
        <v>0</v>
      </c>
      <c r="K450" s="26">
        <f>Tabela1[[#This Row],[DT. VENCIMENTO]]</f>
        <v>45968</v>
      </c>
      <c r="N450" s="14" t="str" cm="1">
        <f t="array" ref="N450">_xlfn.XLOOKUP(TRIM(D450),TRIM(DFC!A:A),DFC!A:A,"NÃO ESTÁ NA DFC")</f>
        <v xml:space="preserve">      PEÇAS</v>
      </c>
    </row>
    <row r="451" spans="1:14" customFormat="1" ht="14.4" x14ac:dyDescent="0.3">
      <c r="A451" s="24"/>
      <c r="B451" s="21">
        <v>45968</v>
      </c>
      <c r="C451" s="21" t="s">
        <v>15</v>
      </c>
      <c r="D451" s="21" t="s">
        <v>19</v>
      </c>
      <c r="E451" s="20"/>
      <c r="F451" s="22" t="s">
        <v>301</v>
      </c>
      <c r="G451" s="252">
        <v>5445.79</v>
      </c>
      <c r="H451" s="1"/>
      <c r="I451" s="1">
        <f>COUNTIF(Tabela1[NF],Tabela1[[#This Row],[NF]])</f>
        <v>0</v>
      </c>
      <c r="K451" s="26">
        <f>Tabela1[[#This Row],[DT. VENCIMENTO]]</f>
        <v>45968</v>
      </c>
      <c r="N451" s="14" t="str" cm="1">
        <f t="array" ref="N451">_xlfn.XLOOKUP(TRIM(D451),TRIM(DFC!A:A),DFC!A:A,"NÃO ESTÁ NA DFC")</f>
        <v xml:space="preserve">      PEÇAS</v>
      </c>
    </row>
    <row r="452" spans="1:14" customFormat="1" ht="14.4" x14ac:dyDescent="0.3">
      <c r="A452" s="24"/>
      <c r="B452" s="21">
        <v>45968</v>
      </c>
      <c r="C452" s="21" t="s">
        <v>15</v>
      </c>
      <c r="D452" s="21" t="s">
        <v>19</v>
      </c>
      <c r="E452" s="20"/>
      <c r="F452" s="22" t="s">
        <v>304</v>
      </c>
      <c r="G452" s="252">
        <v>2403.44</v>
      </c>
      <c r="H452" s="1"/>
      <c r="I452" s="1">
        <f>COUNTIF(Tabela1[NF],Tabela1[[#This Row],[NF]])</f>
        <v>0</v>
      </c>
      <c r="K452" s="26">
        <f>Tabela1[[#This Row],[DT. VENCIMENTO]]</f>
        <v>45968</v>
      </c>
      <c r="N452" s="14" t="str" cm="1">
        <f t="array" ref="N452">_xlfn.XLOOKUP(TRIM(D452),TRIM(DFC!A:A),DFC!A:A,"NÃO ESTÁ NA DFC")</f>
        <v xml:space="preserve">      PEÇAS</v>
      </c>
    </row>
    <row r="453" spans="1:14" customFormat="1" ht="14.4" x14ac:dyDescent="0.3">
      <c r="A453" s="24"/>
      <c r="B453" s="21">
        <v>45968</v>
      </c>
      <c r="C453" s="21" t="s">
        <v>15</v>
      </c>
      <c r="D453" s="21" t="s">
        <v>19</v>
      </c>
      <c r="E453" s="20"/>
      <c r="F453" s="22" t="s">
        <v>329</v>
      </c>
      <c r="G453" s="252">
        <v>880</v>
      </c>
      <c r="H453" s="1"/>
      <c r="I453" s="1">
        <f>COUNTIF(Tabela1[NF],Tabela1[[#This Row],[NF]])</f>
        <v>0</v>
      </c>
      <c r="K453" s="26">
        <f>Tabela1[[#This Row],[DT. VENCIMENTO]]</f>
        <v>45968</v>
      </c>
      <c r="N453" s="14" t="str" cm="1">
        <f t="array" ref="N453">_xlfn.XLOOKUP(TRIM(D453),TRIM(DFC!A:A),DFC!A:A,"NÃO ESTÁ NA DFC")</f>
        <v xml:space="preserve">      PEÇAS</v>
      </c>
    </row>
    <row r="454" spans="1:14" customFormat="1" ht="14.4" x14ac:dyDescent="0.3">
      <c r="A454" s="24"/>
      <c r="B454" s="21">
        <v>45968</v>
      </c>
      <c r="C454" s="21" t="s">
        <v>15</v>
      </c>
      <c r="D454" s="21" t="s">
        <v>57</v>
      </c>
      <c r="E454" s="20" t="s">
        <v>330</v>
      </c>
      <c r="F454" s="22" t="s">
        <v>331</v>
      </c>
      <c r="G454" s="252">
        <v>225</v>
      </c>
      <c r="H454" s="1"/>
      <c r="I454" s="1">
        <f>COUNTIF(Tabela1[NF],Tabela1[[#This Row],[NF]])</f>
        <v>0</v>
      </c>
      <c r="K454" s="26">
        <f>Tabela1[[#This Row],[DT. VENCIMENTO]]</f>
        <v>45968</v>
      </c>
      <c r="N454" s="14" t="str" cm="1">
        <f t="array" ref="N454">_xlfn.XLOOKUP(TRIM(D454),TRIM(DFC!A:A),DFC!A:A,"NÃO ESTÁ NA DFC")</f>
        <v xml:space="preserve">          ALIMENTAÇÃO</v>
      </c>
    </row>
    <row r="455" spans="1:14" customFormat="1" ht="14.4" x14ac:dyDescent="0.3">
      <c r="A455" s="24"/>
      <c r="B455" s="21">
        <v>45968</v>
      </c>
      <c r="C455" s="21" t="s">
        <v>15</v>
      </c>
      <c r="D455" s="21" t="s">
        <v>57</v>
      </c>
      <c r="E455" s="20" t="s">
        <v>330</v>
      </c>
      <c r="F455" s="22" t="s">
        <v>331</v>
      </c>
      <c r="G455" s="252">
        <v>30</v>
      </c>
      <c r="H455" s="1"/>
      <c r="I455" s="1">
        <f>COUNTIF(Tabela1[NF],Tabela1[[#This Row],[NF]])</f>
        <v>0</v>
      </c>
      <c r="K455" s="26">
        <f>Tabela1[[#This Row],[DT. VENCIMENTO]]</f>
        <v>45968</v>
      </c>
      <c r="N455" s="14" t="str" cm="1">
        <f t="array" ref="N455">_xlfn.XLOOKUP(TRIM(D455),TRIM(DFC!A:A),DFC!A:A,"NÃO ESTÁ NA DFC")</f>
        <v xml:space="preserve">          ALIMENTAÇÃO</v>
      </c>
    </row>
    <row r="456" spans="1:14" customFormat="1" ht="14.4" x14ac:dyDescent="0.3">
      <c r="A456" s="19">
        <v>619680</v>
      </c>
      <c r="B456" s="21">
        <v>45968</v>
      </c>
      <c r="C456" s="21" t="s">
        <v>15</v>
      </c>
      <c r="D456" s="21" t="s">
        <v>19</v>
      </c>
      <c r="E456" s="20"/>
      <c r="F456" s="22" t="s">
        <v>24</v>
      </c>
      <c r="G456" s="252">
        <v>1971.2</v>
      </c>
      <c r="H456" s="1"/>
      <c r="I456" s="1">
        <f>COUNTIF(Tabela1[NF],Tabela1[[#This Row],[NF]])</f>
        <v>3</v>
      </c>
      <c r="K456" s="26">
        <f>Tabela1[[#This Row],[DT. VENCIMENTO]]</f>
        <v>45968</v>
      </c>
      <c r="N456" s="14" t="str" cm="1">
        <f t="array" ref="N456">_xlfn.XLOOKUP(TRIM(D456),TRIM(DFC!A:A),DFC!A:A,"NÃO ESTÁ NA DFC")</f>
        <v xml:space="preserve">      PEÇAS</v>
      </c>
    </row>
    <row r="457" spans="1:14" customFormat="1" ht="14.4" x14ac:dyDescent="0.3">
      <c r="A457" s="24"/>
      <c r="B457" s="21">
        <v>45971</v>
      </c>
      <c r="C457" s="21" t="s">
        <v>15</v>
      </c>
      <c r="D457" s="21" t="s">
        <v>57</v>
      </c>
      <c r="E457" s="20" t="s">
        <v>332</v>
      </c>
      <c r="F457" s="22" t="s">
        <v>333</v>
      </c>
      <c r="G457" s="252">
        <v>206</v>
      </c>
      <c r="H457" s="1"/>
      <c r="I457" s="1">
        <f>COUNTIF(Tabela1[NF],Tabela1[[#This Row],[NF]])</f>
        <v>0</v>
      </c>
      <c r="K457" s="26">
        <f>Tabela1[[#This Row],[DT. VENCIMENTO]]</f>
        <v>45971</v>
      </c>
      <c r="N457" s="14" t="str" cm="1">
        <f t="array" ref="N457">_xlfn.XLOOKUP(TRIM(D457),TRIM(DFC!A:A),DFC!A:A,"NÃO ESTÁ NA DFC")</f>
        <v xml:space="preserve">          ALIMENTAÇÃO</v>
      </c>
    </row>
    <row r="458" spans="1:14" customFormat="1" ht="14.4" x14ac:dyDescent="0.3">
      <c r="A458" s="24"/>
      <c r="B458" s="21">
        <v>45971</v>
      </c>
      <c r="C458" s="21" t="s">
        <v>15</v>
      </c>
      <c r="D458" s="21" t="s">
        <v>104</v>
      </c>
      <c r="E458" s="20" t="s">
        <v>334</v>
      </c>
      <c r="F458" s="22" t="s">
        <v>335</v>
      </c>
      <c r="G458" s="252">
        <v>2900</v>
      </c>
      <c r="H458" s="1"/>
      <c r="I458" s="1">
        <f>COUNTIF(Tabela1[NF],Tabela1[[#This Row],[NF]])</f>
        <v>0</v>
      </c>
      <c r="K458" s="26">
        <f>Tabela1[[#This Row],[DT. VENCIMENTO]]</f>
        <v>45971</v>
      </c>
      <c r="N458" s="14" t="str" cm="1">
        <f t="array" ref="N458">_xlfn.XLOOKUP(TRIM(D458),TRIM(DFC!A:A),DFC!A:A,"NÃO ESTÁ NA DFC")</f>
        <v xml:space="preserve">          OUTRAS DESPESAS ADMINISTRATIVAS</v>
      </c>
    </row>
    <row r="459" spans="1:14" customFormat="1" ht="14.4" x14ac:dyDescent="0.3">
      <c r="A459" s="24"/>
      <c r="B459" s="21">
        <v>45971</v>
      </c>
      <c r="C459" s="21" t="s">
        <v>15</v>
      </c>
      <c r="D459" s="21" t="s">
        <v>19</v>
      </c>
      <c r="E459" s="20"/>
      <c r="F459" s="22" t="s">
        <v>336</v>
      </c>
      <c r="G459" s="252">
        <v>980</v>
      </c>
      <c r="H459" s="1"/>
      <c r="I459" s="1">
        <f>COUNTIF(Tabela1[NF],Tabela1[[#This Row],[NF]])</f>
        <v>0</v>
      </c>
      <c r="K459" s="26">
        <f>Tabela1[[#This Row],[DT. VENCIMENTO]]</f>
        <v>45971</v>
      </c>
      <c r="N459" s="14" t="str" cm="1">
        <f t="array" ref="N459">_xlfn.XLOOKUP(TRIM(D459),TRIM(DFC!A:A),DFC!A:A,"NÃO ESTÁ NA DFC")</f>
        <v xml:space="preserve">      PEÇAS</v>
      </c>
    </row>
    <row r="460" spans="1:14" customFormat="1" ht="14.4" x14ac:dyDescent="0.3">
      <c r="A460" s="24"/>
      <c r="B460" s="21">
        <v>45971</v>
      </c>
      <c r="C460" s="21" t="s">
        <v>15</v>
      </c>
      <c r="D460" s="21" t="s">
        <v>123</v>
      </c>
      <c r="E460" s="20" t="s">
        <v>337</v>
      </c>
      <c r="F460" s="22" t="s">
        <v>338</v>
      </c>
      <c r="G460" s="252">
        <v>165.2</v>
      </c>
      <c r="H460" s="1"/>
      <c r="I460" s="1">
        <f>COUNTIF(Tabela1[NF],Tabela1[[#This Row],[NF]])</f>
        <v>0</v>
      </c>
      <c r="K460" s="26">
        <f>Tabela1[[#This Row],[DT. VENCIMENTO]]</f>
        <v>45971</v>
      </c>
      <c r="N460" s="14" t="str" cm="1">
        <f t="array" ref="N460">_xlfn.XLOOKUP(TRIM(D460),TRIM(DFC!A:A),DFC!A:A,"NÃO ESTÁ NA DFC")</f>
        <v xml:space="preserve">          SEGURO DE VIDA</v>
      </c>
    </row>
    <row r="461" spans="1:14" customFormat="1" ht="14.4" x14ac:dyDescent="0.3">
      <c r="A461" s="24"/>
      <c r="B461" s="21">
        <v>45971</v>
      </c>
      <c r="C461" s="21" t="s">
        <v>15</v>
      </c>
      <c r="D461" s="21" t="s">
        <v>111</v>
      </c>
      <c r="E461" s="20"/>
      <c r="F461" s="22" t="s">
        <v>339</v>
      </c>
      <c r="G461" s="252">
        <v>53.76</v>
      </c>
      <c r="H461" s="1"/>
      <c r="I461" s="1">
        <f>COUNTIF(Tabela1[NF],Tabela1[[#This Row],[NF]])</f>
        <v>0</v>
      </c>
      <c r="K461" s="26">
        <f>Tabela1[[#This Row],[DT. VENCIMENTO]]</f>
        <v>45971</v>
      </c>
      <c r="N461" s="14" t="str" cm="1">
        <f t="array" ref="N461">_xlfn.XLOOKUP(TRIM(D461),TRIM(DFC!A:A),DFC!A:A,"NÃO ESTÁ NA DFC")</f>
        <v xml:space="preserve">          TX. BANCÁRIA</v>
      </c>
    </row>
    <row r="462" spans="1:14" customFormat="1" ht="14.4" x14ac:dyDescent="0.3">
      <c r="A462" s="24"/>
      <c r="B462" s="21">
        <v>45971</v>
      </c>
      <c r="C462" s="21" t="s">
        <v>15</v>
      </c>
      <c r="D462" s="21" t="s">
        <v>19</v>
      </c>
      <c r="E462" s="20"/>
      <c r="F462" s="22" t="s">
        <v>172</v>
      </c>
      <c r="G462" s="252">
        <v>24397.56</v>
      </c>
      <c r="H462" s="1"/>
      <c r="I462" s="1">
        <f>COUNTIF(Tabela1[NF],Tabela1[[#This Row],[NF]])</f>
        <v>0</v>
      </c>
      <c r="K462" s="26">
        <f>Tabela1[[#This Row],[DT. VENCIMENTO]]</f>
        <v>45971</v>
      </c>
      <c r="N462" s="14" t="str" cm="1">
        <f t="array" ref="N462">_xlfn.XLOOKUP(TRIM(D462),TRIM(DFC!A:A),DFC!A:A,"NÃO ESTÁ NA DFC")</f>
        <v xml:space="preserve">      PEÇAS</v>
      </c>
    </row>
    <row r="463" spans="1:14" customFormat="1" ht="14.4" x14ac:dyDescent="0.3">
      <c r="A463" s="24"/>
      <c r="B463" s="21">
        <v>45971</v>
      </c>
      <c r="C463" s="21" t="s">
        <v>15</v>
      </c>
      <c r="D463" s="21" t="s">
        <v>19</v>
      </c>
      <c r="E463" s="20"/>
      <c r="F463" s="22" t="s">
        <v>172</v>
      </c>
      <c r="G463" s="252">
        <v>8132.52</v>
      </c>
      <c r="H463" s="1"/>
      <c r="I463" s="1">
        <f>COUNTIF(Tabela1[NF],Tabela1[[#This Row],[NF]])</f>
        <v>0</v>
      </c>
      <c r="K463" s="26">
        <f>Tabela1[[#This Row],[DT. VENCIMENTO]]</f>
        <v>45971</v>
      </c>
      <c r="N463" s="14" t="str" cm="1">
        <f t="array" ref="N463">_xlfn.XLOOKUP(TRIM(D463),TRIM(DFC!A:A),DFC!A:A,"NÃO ESTÁ NA DFC")</f>
        <v xml:space="preserve">      PEÇAS</v>
      </c>
    </row>
    <row r="464" spans="1:14" customFormat="1" ht="14.4" x14ac:dyDescent="0.3">
      <c r="A464" s="24"/>
      <c r="B464" s="21">
        <v>45971</v>
      </c>
      <c r="C464" s="21" t="s">
        <v>15</v>
      </c>
      <c r="D464" s="21" t="s">
        <v>19</v>
      </c>
      <c r="E464" s="20"/>
      <c r="F464" s="22" t="s">
        <v>340</v>
      </c>
      <c r="G464" s="252">
        <v>12499.99</v>
      </c>
      <c r="H464" s="1"/>
      <c r="I464" s="1">
        <f>COUNTIF(Tabela1[NF],Tabela1[[#This Row],[NF]])</f>
        <v>0</v>
      </c>
      <c r="K464" s="26">
        <f>Tabela1[[#This Row],[DT. VENCIMENTO]]</f>
        <v>45971</v>
      </c>
      <c r="N464" s="14" t="str" cm="1">
        <f t="array" ref="N464">_xlfn.XLOOKUP(TRIM(D464),TRIM(DFC!A:A),DFC!A:A,"NÃO ESTÁ NA DFC")</f>
        <v xml:space="preserve">      PEÇAS</v>
      </c>
    </row>
    <row r="465" spans="1:14" customFormat="1" ht="14.4" x14ac:dyDescent="0.3">
      <c r="A465" s="24"/>
      <c r="B465" s="21">
        <v>45971</v>
      </c>
      <c r="C465" s="21" t="s">
        <v>15</v>
      </c>
      <c r="D465" s="84" t="s">
        <v>37</v>
      </c>
      <c r="E465" s="20"/>
      <c r="F465" s="22" t="s">
        <v>341</v>
      </c>
      <c r="G465" s="252">
        <v>33.26</v>
      </c>
      <c r="H465" s="1"/>
      <c r="I465" s="1">
        <f>COUNTIF(Tabela1[NF],Tabela1[[#This Row],[NF]])</f>
        <v>0</v>
      </c>
      <c r="K465" s="26">
        <f>Tabela1[[#This Row],[DT. VENCIMENTO]]</f>
        <v>45971</v>
      </c>
      <c r="N465" s="14" t="str" cm="1">
        <f t="array" ref="N465">_xlfn.XLOOKUP(TRIM(D465),TRIM(DFC!A:A),DFC!A:A,"NÃO ESTÁ NA DFC")</f>
        <v xml:space="preserve">          MATERIAL DE ESCRITÓRIO</v>
      </c>
    </row>
    <row r="466" spans="1:14" customFormat="1" ht="14.4" x14ac:dyDescent="0.3">
      <c r="A466" s="24"/>
      <c r="B466" s="21">
        <v>45971</v>
      </c>
      <c r="C466" s="21" t="s">
        <v>15</v>
      </c>
      <c r="D466" s="21" t="s">
        <v>19</v>
      </c>
      <c r="E466" s="20"/>
      <c r="F466" s="22" t="s">
        <v>300</v>
      </c>
      <c r="G466" s="252">
        <v>1447.47</v>
      </c>
      <c r="H466" s="1"/>
      <c r="I466" s="1">
        <f>COUNTIF(Tabela1[NF],Tabela1[[#This Row],[NF]])</f>
        <v>0</v>
      </c>
      <c r="K466" s="26">
        <f>Tabela1[[#This Row],[DT. VENCIMENTO]]</f>
        <v>45971</v>
      </c>
      <c r="N466" s="14" t="str" cm="1">
        <f t="array" ref="N466">_xlfn.XLOOKUP(TRIM(D466),TRIM(DFC!A:A),DFC!A:A,"NÃO ESTÁ NA DFC")</f>
        <v xml:space="preserve">      PEÇAS</v>
      </c>
    </row>
    <row r="467" spans="1:14" customFormat="1" ht="14.4" x14ac:dyDescent="0.3">
      <c r="A467" s="24"/>
      <c r="B467" s="21">
        <v>45971</v>
      </c>
      <c r="C467" s="21" t="s">
        <v>15</v>
      </c>
      <c r="D467" s="21" t="s">
        <v>19</v>
      </c>
      <c r="E467" s="20"/>
      <c r="F467" s="22" t="s">
        <v>148</v>
      </c>
      <c r="G467" s="252">
        <v>1275.76</v>
      </c>
      <c r="H467" s="1"/>
      <c r="I467" s="1">
        <f>COUNTIF(Tabela1[NF],Tabela1[[#This Row],[NF]])</f>
        <v>0</v>
      </c>
      <c r="K467" s="26">
        <f>Tabela1[[#This Row],[DT. VENCIMENTO]]</f>
        <v>45971</v>
      </c>
      <c r="N467" s="14" t="str" cm="1">
        <f t="array" ref="N467">_xlfn.XLOOKUP(TRIM(D467),TRIM(DFC!A:A),DFC!A:A,"NÃO ESTÁ NA DFC")</f>
        <v xml:space="preserve">      PEÇAS</v>
      </c>
    </row>
    <row r="468" spans="1:14" customFormat="1" ht="14.4" x14ac:dyDescent="0.3">
      <c r="A468" s="24"/>
      <c r="B468" s="21">
        <v>45971</v>
      </c>
      <c r="C468" s="21" t="s">
        <v>15</v>
      </c>
      <c r="D468" s="21" t="s">
        <v>40</v>
      </c>
      <c r="E468" s="20" t="s">
        <v>181</v>
      </c>
      <c r="F468" s="22" t="s">
        <v>342</v>
      </c>
      <c r="G468" s="252">
        <v>120</v>
      </c>
      <c r="H468" s="1"/>
      <c r="I468" s="1">
        <f>COUNTIF(Tabela1[NF],Tabela1[[#This Row],[NF]])</f>
        <v>0</v>
      </c>
      <c r="K468" s="26">
        <f>Tabela1[[#This Row],[DT. VENCIMENTO]]</f>
        <v>45971</v>
      </c>
      <c r="N468" s="14" t="str" cm="1">
        <f t="array" ref="N468">_xlfn.XLOOKUP(TRIM(D468),TRIM(DFC!A:A),DFC!A:A,"NÃO ESTÁ NA DFC")</f>
        <v xml:space="preserve">         SERVIÇO TERCEIRIZADO</v>
      </c>
    </row>
    <row r="469" spans="1:14" customFormat="1" ht="14.4" x14ac:dyDescent="0.3">
      <c r="A469" s="24"/>
      <c r="B469" s="21">
        <v>45971</v>
      </c>
      <c r="C469" s="21" t="s">
        <v>15</v>
      </c>
      <c r="D469" s="21" t="s">
        <v>19</v>
      </c>
      <c r="E469" s="20"/>
      <c r="F469" s="22" t="s">
        <v>343</v>
      </c>
      <c r="G469" s="252">
        <v>888.36</v>
      </c>
      <c r="H469" s="1"/>
      <c r="I469" s="1">
        <f>COUNTIF(Tabela1[NF],Tabela1[[#This Row],[NF]])</f>
        <v>0</v>
      </c>
      <c r="K469" s="26">
        <f>Tabela1[[#This Row],[DT. VENCIMENTO]]</f>
        <v>45971</v>
      </c>
      <c r="N469" s="14" t="str" cm="1">
        <f t="array" ref="N469">_xlfn.XLOOKUP(TRIM(D469),TRIM(DFC!A:A),DFC!A:A,"NÃO ESTÁ NA DFC")</f>
        <v xml:space="preserve">      PEÇAS</v>
      </c>
    </row>
    <row r="470" spans="1:14" customFormat="1" ht="14.4" x14ac:dyDescent="0.3">
      <c r="A470" s="24"/>
      <c r="B470" s="21">
        <v>45971</v>
      </c>
      <c r="C470" s="21" t="s">
        <v>15</v>
      </c>
      <c r="D470" s="21" t="s">
        <v>19</v>
      </c>
      <c r="E470" s="20"/>
      <c r="F470" s="22" t="s">
        <v>298</v>
      </c>
      <c r="G470" s="252">
        <v>926.21</v>
      </c>
      <c r="H470" s="1"/>
      <c r="I470" s="1">
        <f>COUNTIF(Tabela1[NF],Tabela1[[#This Row],[NF]])</f>
        <v>0</v>
      </c>
      <c r="K470" s="26">
        <f>Tabela1[[#This Row],[DT. VENCIMENTO]]</f>
        <v>45971</v>
      </c>
      <c r="N470" s="14" t="str" cm="1">
        <f t="array" ref="N470">_xlfn.XLOOKUP(TRIM(D470),TRIM(DFC!A:A),DFC!A:A,"NÃO ESTÁ NA DFC")</f>
        <v xml:space="preserve">      PEÇAS</v>
      </c>
    </row>
    <row r="471" spans="1:14" customFormat="1" ht="14.4" x14ac:dyDescent="0.3">
      <c r="A471" s="24"/>
      <c r="B471" s="21">
        <v>45971</v>
      </c>
      <c r="C471" s="21" t="s">
        <v>15</v>
      </c>
      <c r="D471" s="21" t="s">
        <v>19</v>
      </c>
      <c r="E471" s="20"/>
      <c r="F471" s="22" t="s">
        <v>187</v>
      </c>
      <c r="G471" s="252">
        <v>387.9</v>
      </c>
      <c r="H471" s="1"/>
      <c r="I471" s="1">
        <f>COUNTIF(Tabela1[NF],Tabela1[[#This Row],[NF]])</f>
        <v>0</v>
      </c>
      <c r="K471" s="26">
        <f>Tabela1[[#This Row],[DT. VENCIMENTO]]</f>
        <v>45971</v>
      </c>
      <c r="N471" s="14" t="str" cm="1">
        <f t="array" ref="N471">_xlfn.XLOOKUP(TRIM(D471),TRIM(DFC!A:A),DFC!A:A,"NÃO ESTÁ NA DFC")</f>
        <v xml:space="preserve">      PEÇAS</v>
      </c>
    </row>
    <row r="472" spans="1:14" customFormat="1" ht="14.4" x14ac:dyDescent="0.3">
      <c r="A472" s="24"/>
      <c r="B472" s="21">
        <v>45971</v>
      </c>
      <c r="C472" s="21" t="s">
        <v>15</v>
      </c>
      <c r="D472" s="21" t="s">
        <v>27</v>
      </c>
      <c r="E472" s="20"/>
      <c r="F472" s="22" t="s">
        <v>227</v>
      </c>
      <c r="G472" s="252">
        <v>2093.3200000000002</v>
      </c>
      <c r="H472" s="1"/>
      <c r="I472" s="1">
        <f>COUNTIF(Tabela1[NF],Tabela1[[#This Row],[NF]])</f>
        <v>0</v>
      </c>
      <c r="K472" s="26">
        <f>Tabela1[[#This Row],[DT. VENCIMENTO]]</f>
        <v>45971</v>
      </c>
      <c r="N472" s="14" t="str" cm="1">
        <f t="array" ref="N472">_xlfn.XLOOKUP(TRIM(D472),TRIM(DFC!A:A),DFC!A:A,"NÃO ESTÁ NA DFC")</f>
        <v xml:space="preserve">         ERP</v>
      </c>
    </row>
    <row r="473" spans="1:14" customFormat="1" ht="14.4" x14ac:dyDescent="0.3">
      <c r="A473" s="24"/>
      <c r="B473" s="21">
        <v>45971</v>
      </c>
      <c r="C473" s="21" t="s">
        <v>15</v>
      </c>
      <c r="D473" s="21" t="s">
        <v>19</v>
      </c>
      <c r="E473" s="20"/>
      <c r="F473" s="22" t="s">
        <v>344</v>
      </c>
      <c r="G473" s="252">
        <v>4166.66</v>
      </c>
      <c r="H473" s="1"/>
      <c r="I473" s="1">
        <f>COUNTIF(Tabela1[NF],Tabela1[[#This Row],[NF]])</f>
        <v>0</v>
      </c>
      <c r="K473" s="26">
        <f>Tabela1[[#This Row],[DT. VENCIMENTO]]</f>
        <v>45971</v>
      </c>
      <c r="N473" s="14" t="str" cm="1">
        <f t="array" ref="N473">_xlfn.XLOOKUP(TRIM(D473),TRIM(DFC!A:A),DFC!A:A,"NÃO ESTÁ NA DFC")</f>
        <v xml:space="preserve">      PEÇAS</v>
      </c>
    </row>
    <row r="474" spans="1:14" customFormat="1" ht="14.4" x14ac:dyDescent="0.3">
      <c r="A474" s="24"/>
      <c r="B474" s="21">
        <v>45971</v>
      </c>
      <c r="C474" s="21" t="s">
        <v>15</v>
      </c>
      <c r="D474" s="21" t="s">
        <v>19</v>
      </c>
      <c r="E474" s="20"/>
      <c r="F474" s="22" t="s">
        <v>228</v>
      </c>
      <c r="G474" s="252">
        <v>1326.5</v>
      </c>
      <c r="H474" s="1"/>
      <c r="I474" s="1">
        <f>COUNTIF(Tabela1[NF],Tabela1[[#This Row],[NF]])</f>
        <v>0</v>
      </c>
      <c r="K474" s="26">
        <f>Tabela1[[#This Row],[DT. VENCIMENTO]]</f>
        <v>45971</v>
      </c>
      <c r="N474" s="14" t="str" cm="1">
        <f t="array" ref="N474">_xlfn.XLOOKUP(TRIM(D474),TRIM(DFC!A:A),DFC!A:A,"NÃO ESTÁ NA DFC")</f>
        <v xml:space="preserve">      PEÇAS</v>
      </c>
    </row>
    <row r="475" spans="1:14" customFormat="1" ht="14.4" x14ac:dyDescent="0.3">
      <c r="A475" s="24"/>
      <c r="B475" s="21">
        <v>45971</v>
      </c>
      <c r="C475" s="21" t="s">
        <v>15</v>
      </c>
      <c r="D475" s="21" t="s">
        <v>19</v>
      </c>
      <c r="E475" s="20"/>
      <c r="F475" s="22" t="s">
        <v>228</v>
      </c>
      <c r="G475" s="252">
        <v>3464.23</v>
      </c>
      <c r="H475" s="1"/>
      <c r="I475" s="1">
        <f>COUNTIF(Tabela1[NF],Tabela1[[#This Row],[NF]])</f>
        <v>0</v>
      </c>
      <c r="K475" s="26">
        <f>Tabela1[[#This Row],[DT. VENCIMENTO]]</f>
        <v>45971</v>
      </c>
      <c r="N475" s="14" t="str" cm="1">
        <f t="array" ref="N475">_xlfn.XLOOKUP(TRIM(D475),TRIM(DFC!A:A),DFC!A:A,"NÃO ESTÁ NA DFC")</f>
        <v xml:space="preserve">      PEÇAS</v>
      </c>
    </row>
    <row r="476" spans="1:14" customFormat="1" ht="14.4" x14ac:dyDescent="0.3">
      <c r="A476" s="24"/>
      <c r="B476" s="21">
        <v>45971</v>
      </c>
      <c r="C476" s="21" t="s">
        <v>15</v>
      </c>
      <c r="D476" s="21" t="s">
        <v>19</v>
      </c>
      <c r="E476" s="20"/>
      <c r="F476" s="22" t="s">
        <v>186</v>
      </c>
      <c r="G476" s="252">
        <v>280.33</v>
      </c>
      <c r="H476" s="1"/>
      <c r="I476" s="1">
        <f>COUNTIF(Tabela1[NF],Tabela1[[#This Row],[NF]])</f>
        <v>0</v>
      </c>
      <c r="K476" s="26">
        <f>Tabela1[[#This Row],[DT. VENCIMENTO]]</f>
        <v>45971</v>
      </c>
      <c r="N476" s="14" t="str" cm="1">
        <f t="array" ref="N476">_xlfn.XLOOKUP(TRIM(D476),TRIM(DFC!A:A),DFC!A:A,"NÃO ESTÁ NA DFC")</f>
        <v xml:space="preserve">      PEÇAS</v>
      </c>
    </row>
    <row r="477" spans="1:14" customFormat="1" ht="14.4" x14ac:dyDescent="0.3">
      <c r="A477" s="24"/>
      <c r="B477" s="21">
        <v>45971</v>
      </c>
      <c r="C477" s="21" t="s">
        <v>15</v>
      </c>
      <c r="D477" s="21" t="s">
        <v>53</v>
      </c>
      <c r="E477" s="20"/>
      <c r="F477" s="22" t="s">
        <v>327</v>
      </c>
      <c r="G477" s="252">
        <v>1800</v>
      </c>
      <c r="H477" s="1"/>
      <c r="I477" s="1">
        <f>COUNTIF(Tabela1[NF],Tabela1[[#This Row],[NF]])</f>
        <v>0</v>
      </c>
      <c r="K477" s="26">
        <f>Tabela1[[#This Row],[DT. VENCIMENTO]]</f>
        <v>45971</v>
      </c>
      <c r="N477" s="14" t="str" cm="1">
        <f t="array" ref="N477">_xlfn.XLOOKUP(TRIM(D477),TRIM(DFC!A:A),DFC!A:A,"NÃO ESTÁ NA DFC")</f>
        <v xml:space="preserve">          ADIANTAMENTO SALARIAL</v>
      </c>
    </row>
    <row r="478" spans="1:14" customFormat="1" ht="14.4" x14ac:dyDescent="0.3">
      <c r="A478" s="24"/>
      <c r="B478" s="21">
        <v>45971</v>
      </c>
      <c r="C478" s="21" t="s">
        <v>15</v>
      </c>
      <c r="D478" s="21" t="s">
        <v>19</v>
      </c>
      <c r="E478" s="20"/>
      <c r="F478" s="22" t="s">
        <v>298</v>
      </c>
      <c r="G478" s="252">
        <v>2161.15</v>
      </c>
      <c r="H478" s="1"/>
      <c r="I478" s="1">
        <f>COUNTIF(Tabela1[NF],Tabela1[[#This Row],[NF]])</f>
        <v>0</v>
      </c>
      <c r="K478" s="26">
        <f>Tabela1[[#This Row],[DT. VENCIMENTO]]</f>
        <v>45971</v>
      </c>
      <c r="N478" s="14" t="str" cm="1">
        <f t="array" ref="N478">_xlfn.XLOOKUP(TRIM(D478),TRIM(DFC!A:A),DFC!A:A,"NÃO ESTÁ NA DFC")</f>
        <v xml:space="preserve">      PEÇAS</v>
      </c>
    </row>
    <row r="479" spans="1:14" customFormat="1" ht="14.4" x14ac:dyDescent="0.3">
      <c r="A479" s="24"/>
      <c r="B479" s="21">
        <v>45971</v>
      </c>
      <c r="C479" s="21" t="s">
        <v>15</v>
      </c>
      <c r="D479" s="21" t="s">
        <v>41</v>
      </c>
      <c r="E479" s="20"/>
      <c r="F479" s="22" t="s">
        <v>345</v>
      </c>
      <c r="G479" s="252">
        <v>76.5</v>
      </c>
      <c r="H479" s="1"/>
      <c r="I479" s="1">
        <f>COUNTIF(Tabela1[NF],Tabela1[[#This Row],[NF]])</f>
        <v>0</v>
      </c>
      <c r="K479" s="26">
        <f>Tabela1[[#This Row],[DT. VENCIMENTO]]</f>
        <v>45971</v>
      </c>
      <c r="N479" s="14" t="str" cm="1">
        <f t="array" ref="N479">_xlfn.XLOOKUP(TRIM(D479),TRIM(DFC!A:A),DFC!A:A,"NÃO ESTÁ NA DFC")</f>
        <v xml:space="preserve">         T.I</v>
      </c>
    </row>
    <row r="480" spans="1:14" customFormat="1" ht="14.4" x14ac:dyDescent="0.3">
      <c r="A480" s="24"/>
      <c r="B480" s="21">
        <v>45971</v>
      </c>
      <c r="C480" s="21" t="s">
        <v>15</v>
      </c>
      <c r="D480" s="21" t="s">
        <v>19</v>
      </c>
      <c r="E480" s="20"/>
      <c r="F480" s="22" t="s">
        <v>195</v>
      </c>
      <c r="G480" s="252">
        <v>689.91</v>
      </c>
      <c r="H480" s="1"/>
      <c r="I480" s="1">
        <f>COUNTIF(Tabela1[NF],Tabela1[[#This Row],[NF]])</f>
        <v>0</v>
      </c>
      <c r="K480" s="26">
        <f>Tabela1[[#This Row],[DT. VENCIMENTO]]</f>
        <v>45971</v>
      </c>
      <c r="N480" s="14" t="str" cm="1">
        <f t="array" ref="N480">_xlfn.XLOOKUP(TRIM(D480),TRIM(DFC!A:A),DFC!A:A,"NÃO ESTÁ NA DFC")</f>
        <v xml:space="preserve">      PEÇAS</v>
      </c>
    </row>
    <row r="481" spans="1:14" customFormat="1" ht="14.4" x14ac:dyDescent="0.3">
      <c r="A481" s="24"/>
      <c r="B481" s="21">
        <v>45971</v>
      </c>
      <c r="C481" s="21" t="s">
        <v>15</v>
      </c>
      <c r="D481" s="21" t="s">
        <v>156</v>
      </c>
      <c r="E481" s="20" t="s">
        <v>157</v>
      </c>
      <c r="F481" s="22" t="s">
        <v>314</v>
      </c>
      <c r="G481" s="252">
        <v>4950</v>
      </c>
      <c r="H481" s="1"/>
      <c r="I481" s="1">
        <f>COUNTIF(Tabela1[NF],Tabela1[[#This Row],[NF]])</f>
        <v>0</v>
      </c>
      <c r="K481" s="26">
        <f>Tabela1[[#This Row],[DT. VENCIMENTO]]</f>
        <v>45971</v>
      </c>
      <c r="N481" s="14" t="str" cm="1">
        <f t="array" ref="N481">_xlfn.XLOOKUP(TRIM(D481),TRIM(DFC!A:A),DFC!A:A,"NÃO ESTÁ NA DFC")</f>
        <v xml:space="preserve">      MONTAGEM DE RODAS</v>
      </c>
    </row>
    <row r="482" spans="1:14" customFormat="1" ht="14.4" x14ac:dyDescent="0.3">
      <c r="A482" s="24"/>
      <c r="B482" s="21">
        <v>45971</v>
      </c>
      <c r="C482" s="21" t="s">
        <v>15</v>
      </c>
      <c r="D482" s="21" t="s">
        <v>111</v>
      </c>
      <c r="E482" s="20"/>
      <c r="F482" s="22" t="s">
        <v>346</v>
      </c>
      <c r="G482" s="252">
        <v>16.03</v>
      </c>
      <c r="H482" s="1"/>
      <c r="I482" s="1">
        <f>COUNTIF(Tabela1[NF],Tabela1[[#This Row],[NF]])</f>
        <v>0</v>
      </c>
      <c r="K482" s="26">
        <f>Tabela1[[#This Row],[DT. VENCIMENTO]]</f>
        <v>45971</v>
      </c>
      <c r="N482" s="14" t="str" cm="1">
        <f t="array" ref="N482">_xlfn.XLOOKUP(TRIM(D482),TRIM(DFC!A:A),DFC!A:A,"NÃO ESTÁ NA DFC")</f>
        <v xml:space="preserve">          TX. BANCÁRIA</v>
      </c>
    </row>
    <row r="483" spans="1:14" customFormat="1" ht="14.4" x14ac:dyDescent="0.3">
      <c r="A483" s="19">
        <v>450711</v>
      </c>
      <c r="B483" s="21">
        <v>45971</v>
      </c>
      <c r="C483" s="21" t="s">
        <v>15</v>
      </c>
      <c r="D483" s="21" t="s">
        <v>19</v>
      </c>
      <c r="E483" s="20"/>
      <c r="F483" s="22" t="s">
        <v>310</v>
      </c>
      <c r="G483" s="252">
        <v>29854.36</v>
      </c>
      <c r="H483" s="1"/>
      <c r="I483" s="1">
        <f>COUNTIF(Tabela1[NF],Tabela1[[#This Row],[NF]])</f>
        <v>3</v>
      </c>
      <c r="K483" s="26">
        <f>Tabela1[[#This Row],[DT. VENCIMENTO]]</f>
        <v>45971</v>
      </c>
      <c r="N483" s="14" t="str" cm="1">
        <f t="array" ref="N483">_xlfn.XLOOKUP(TRIM(D483),TRIM(DFC!A:A),DFC!A:A,"NÃO ESTÁ NA DFC")</f>
        <v xml:space="preserve">      PEÇAS</v>
      </c>
    </row>
    <row r="484" spans="1:14" customFormat="1" ht="14.4" x14ac:dyDescent="0.3">
      <c r="A484" s="19">
        <v>450697</v>
      </c>
      <c r="B484" s="21">
        <v>45971</v>
      </c>
      <c r="C484" s="21" t="s">
        <v>15</v>
      </c>
      <c r="D484" s="21" t="s">
        <v>19</v>
      </c>
      <c r="E484" s="20"/>
      <c r="F484" s="22" t="s">
        <v>310</v>
      </c>
      <c r="G484" s="252">
        <v>4371.22</v>
      </c>
      <c r="H484" s="1"/>
      <c r="I484" s="1">
        <f>COUNTIF(Tabela1[NF],Tabela1[[#This Row],[NF]])</f>
        <v>3</v>
      </c>
      <c r="K484" s="26">
        <f>Tabela1[[#This Row],[DT. VENCIMENTO]]</f>
        <v>45971</v>
      </c>
      <c r="N484" s="14" t="str" cm="1">
        <f t="array" ref="N484">_xlfn.XLOOKUP(TRIM(D484),TRIM(DFC!A:A),DFC!A:A,"NÃO ESTÁ NA DFC")</f>
        <v xml:space="preserve">      PEÇAS</v>
      </c>
    </row>
    <row r="485" spans="1:14" customFormat="1" ht="14.4" x14ac:dyDescent="0.3">
      <c r="A485" s="24"/>
      <c r="B485" s="21">
        <v>45972</v>
      </c>
      <c r="C485" s="21" t="s">
        <v>15</v>
      </c>
      <c r="D485" s="21" t="s">
        <v>196</v>
      </c>
      <c r="E485" s="20" t="s">
        <v>197</v>
      </c>
      <c r="F485" s="22" t="s">
        <v>335</v>
      </c>
      <c r="G485" s="252">
        <v>300</v>
      </c>
      <c r="H485" s="1"/>
      <c r="I485" s="1">
        <f>COUNTIF(Tabela1[NF],Tabela1[[#This Row],[NF]])</f>
        <v>0</v>
      </c>
      <c r="K485" s="26">
        <f>Tabela1[[#This Row],[DT. VENCIMENTO]]</f>
        <v>45972</v>
      </c>
      <c r="N485" s="14" t="str" cm="1">
        <f t="array" ref="N485">_xlfn.XLOOKUP(TRIM(D485),TRIM(DFC!A:A),DFC!A:A,"NÃO ESTÁ NA DFC")</f>
        <v xml:space="preserve">          EMPILHADEIRA</v>
      </c>
    </row>
    <row r="486" spans="1:14" customFormat="1" ht="14.4" x14ac:dyDescent="0.3">
      <c r="A486" s="24"/>
      <c r="B486" s="21">
        <v>45972</v>
      </c>
      <c r="C486" s="21" t="s">
        <v>15</v>
      </c>
      <c r="D486" s="21" t="s">
        <v>82</v>
      </c>
      <c r="E486" s="20"/>
      <c r="F486" s="22" t="s">
        <v>347</v>
      </c>
      <c r="G486" s="252">
        <v>447</v>
      </c>
      <c r="H486" s="1"/>
      <c r="I486" s="1">
        <f>COUNTIF(Tabela1[NF],Tabela1[[#This Row],[NF]])</f>
        <v>0</v>
      </c>
      <c r="K486" s="26">
        <f>Tabela1[[#This Row],[DT. VENCIMENTO]]</f>
        <v>45972</v>
      </c>
      <c r="N486" s="14" t="str" cm="1">
        <f t="array" ref="N486">_xlfn.XLOOKUP(TRIM(D486),TRIM(DFC!A:A),DFC!A:A,"NÃO ESTÁ NA DFC")</f>
        <v xml:space="preserve">          DIÁRIAS</v>
      </c>
    </row>
    <row r="487" spans="1:14" customFormat="1" ht="14.4" x14ac:dyDescent="0.3">
      <c r="A487" s="24"/>
      <c r="B487" s="21">
        <v>45972</v>
      </c>
      <c r="C487" s="21" t="s">
        <v>15</v>
      </c>
      <c r="D487" s="21" t="s">
        <v>82</v>
      </c>
      <c r="E487" s="20"/>
      <c r="F487" s="22" t="s">
        <v>348</v>
      </c>
      <c r="G487" s="252">
        <v>575</v>
      </c>
      <c r="H487" s="1"/>
      <c r="I487" s="1">
        <f>COUNTIF(Tabela1[NF],Tabela1[[#This Row],[NF]])</f>
        <v>0</v>
      </c>
      <c r="K487" s="26">
        <f>Tabela1[[#This Row],[DT. VENCIMENTO]]</f>
        <v>45972</v>
      </c>
      <c r="N487" s="14" t="str" cm="1">
        <f t="array" ref="N487">_xlfn.XLOOKUP(TRIM(D487),TRIM(DFC!A:A),DFC!A:A,"NÃO ESTÁ NA DFC")</f>
        <v xml:space="preserve">          DIÁRIAS</v>
      </c>
    </row>
    <row r="488" spans="1:14" customFormat="1" ht="14.4" x14ac:dyDescent="0.3">
      <c r="A488" s="24"/>
      <c r="B488" s="21">
        <v>45972</v>
      </c>
      <c r="C488" s="21" t="s">
        <v>15</v>
      </c>
      <c r="D488" s="21" t="s">
        <v>82</v>
      </c>
      <c r="E488" s="20"/>
      <c r="F488" s="22" t="s">
        <v>349</v>
      </c>
      <c r="G488" s="252">
        <v>518.79999999999995</v>
      </c>
      <c r="H488" s="1"/>
      <c r="I488" s="1">
        <f>COUNTIF(Tabela1[NF],Tabela1[[#This Row],[NF]])</f>
        <v>0</v>
      </c>
      <c r="K488" s="26">
        <f>Tabela1[[#This Row],[DT. VENCIMENTO]]</f>
        <v>45972</v>
      </c>
      <c r="N488" s="14" t="str" cm="1">
        <f t="array" ref="N488">_xlfn.XLOOKUP(TRIM(D488),TRIM(DFC!A:A),DFC!A:A,"NÃO ESTÁ NA DFC")</f>
        <v xml:space="preserve">          DIÁRIAS</v>
      </c>
    </row>
    <row r="489" spans="1:14" customFormat="1" ht="14.4" x14ac:dyDescent="0.3">
      <c r="A489" s="24"/>
      <c r="B489" s="21">
        <v>45972</v>
      </c>
      <c r="C489" s="21" t="s">
        <v>15</v>
      </c>
      <c r="D489" s="21" t="s">
        <v>82</v>
      </c>
      <c r="E489" s="20"/>
      <c r="F489" s="22" t="s">
        <v>350</v>
      </c>
      <c r="G489" s="252">
        <v>112.5</v>
      </c>
      <c r="H489" s="1"/>
      <c r="I489" s="1">
        <f>COUNTIF(Tabela1[NF],Tabela1[[#This Row],[NF]])</f>
        <v>0</v>
      </c>
      <c r="K489" s="26">
        <f>Tabela1[[#This Row],[DT. VENCIMENTO]]</f>
        <v>45972</v>
      </c>
      <c r="N489" s="14" t="str" cm="1">
        <f t="array" ref="N489">_xlfn.XLOOKUP(TRIM(D489),TRIM(DFC!A:A),DFC!A:A,"NÃO ESTÁ NA DFC")</f>
        <v xml:space="preserve">          DIÁRIAS</v>
      </c>
    </row>
    <row r="490" spans="1:14" customFormat="1" ht="14.4" x14ac:dyDescent="0.3">
      <c r="A490" s="24"/>
      <c r="B490" s="21">
        <v>45972</v>
      </c>
      <c r="C490" s="21" t="s">
        <v>15</v>
      </c>
      <c r="D490" s="21" t="s">
        <v>82</v>
      </c>
      <c r="E490" s="20"/>
      <c r="F490" s="22" t="s">
        <v>351</v>
      </c>
      <c r="G490" s="252">
        <v>150</v>
      </c>
      <c r="H490" s="1"/>
      <c r="I490" s="1">
        <f>COUNTIF(Tabela1[NF],Tabela1[[#This Row],[NF]])</f>
        <v>0</v>
      </c>
      <c r="K490" s="26">
        <f>Tabela1[[#This Row],[DT. VENCIMENTO]]</f>
        <v>45972</v>
      </c>
      <c r="N490" s="14" t="str" cm="1">
        <f t="array" ref="N490">_xlfn.XLOOKUP(TRIM(D490),TRIM(DFC!A:A),DFC!A:A,"NÃO ESTÁ NA DFC")</f>
        <v xml:space="preserve">          DIÁRIAS</v>
      </c>
    </row>
    <row r="491" spans="1:14" customFormat="1" ht="14.4" x14ac:dyDescent="0.3">
      <c r="A491" s="24"/>
      <c r="B491" s="21">
        <v>45972</v>
      </c>
      <c r="C491" s="21" t="s">
        <v>15</v>
      </c>
      <c r="D491" s="21" t="s">
        <v>82</v>
      </c>
      <c r="E491" s="20"/>
      <c r="F491" s="22" t="s">
        <v>352</v>
      </c>
      <c r="G491" s="252">
        <v>100</v>
      </c>
      <c r="H491" s="1"/>
      <c r="I491" s="1">
        <f>COUNTIF(Tabela1[NF],Tabela1[[#This Row],[NF]])</f>
        <v>0</v>
      </c>
      <c r="K491" s="26">
        <f>Tabela1[[#This Row],[DT. VENCIMENTO]]</f>
        <v>45972</v>
      </c>
      <c r="N491" s="14" t="str" cm="1">
        <f t="array" ref="N491">_xlfn.XLOOKUP(TRIM(D491),TRIM(DFC!A:A),DFC!A:A,"NÃO ESTÁ NA DFC")</f>
        <v xml:space="preserve">          DIÁRIAS</v>
      </c>
    </row>
    <row r="492" spans="1:14" customFormat="1" ht="14.4" x14ac:dyDescent="0.3">
      <c r="A492" s="24"/>
      <c r="B492" s="21">
        <v>45972</v>
      </c>
      <c r="C492" s="21" t="s">
        <v>15</v>
      </c>
      <c r="D492" s="21" t="s">
        <v>82</v>
      </c>
      <c r="E492" s="20"/>
      <c r="F492" s="22" t="s">
        <v>353</v>
      </c>
      <c r="G492" s="252">
        <v>700</v>
      </c>
      <c r="H492" s="1"/>
      <c r="I492" s="1">
        <f>COUNTIF(Tabela1[NF],Tabela1[[#This Row],[NF]])</f>
        <v>0</v>
      </c>
      <c r="K492" s="26">
        <f>Tabela1[[#This Row],[DT. VENCIMENTO]]</f>
        <v>45972</v>
      </c>
      <c r="N492" s="14" t="str" cm="1">
        <f t="array" ref="N492">_xlfn.XLOOKUP(TRIM(D492),TRIM(DFC!A:A),DFC!A:A,"NÃO ESTÁ NA DFC")</f>
        <v xml:space="preserve">          DIÁRIAS</v>
      </c>
    </row>
    <row r="493" spans="1:14" customFormat="1" ht="14.4" x14ac:dyDescent="0.3">
      <c r="A493" s="24"/>
      <c r="B493" s="21">
        <v>45972</v>
      </c>
      <c r="C493" s="21" t="s">
        <v>15</v>
      </c>
      <c r="D493" s="21" t="s">
        <v>82</v>
      </c>
      <c r="E493" s="20"/>
      <c r="F493" s="22" t="s">
        <v>354</v>
      </c>
      <c r="G493" s="252">
        <v>125</v>
      </c>
      <c r="H493" s="1"/>
      <c r="I493" s="1">
        <f>COUNTIF(Tabela1[NF],Tabela1[[#This Row],[NF]])</f>
        <v>0</v>
      </c>
      <c r="K493" s="26">
        <f>Tabela1[[#This Row],[DT. VENCIMENTO]]</f>
        <v>45972</v>
      </c>
      <c r="N493" s="14" t="str" cm="1">
        <f t="array" ref="N493">_xlfn.XLOOKUP(TRIM(D493),TRIM(DFC!A:A),DFC!A:A,"NÃO ESTÁ NA DFC")</f>
        <v xml:space="preserve">          DIÁRIAS</v>
      </c>
    </row>
    <row r="494" spans="1:14" customFormat="1" ht="14.4" x14ac:dyDescent="0.3">
      <c r="A494" s="24"/>
      <c r="B494" s="21">
        <v>45972</v>
      </c>
      <c r="C494" s="21" t="s">
        <v>15</v>
      </c>
      <c r="D494" s="21" t="s">
        <v>97</v>
      </c>
      <c r="E494" s="20" t="s">
        <v>355</v>
      </c>
      <c r="F494" s="22" t="s">
        <v>356</v>
      </c>
      <c r="G494" s="252">
        <v>117.5</v>
      </c>
      <c r="H494" s="1"/>
      <c r="I494" s="1">
        <f>COUNTIF(Tabela1[NF],Tabela1[[#This Row],[NF]])</f>
        <v>0</v>
      </c>
      <c r="K494" s="26">
        <f>Tabela1[[#This Row],[DT. VENCIMENTO]]</f>
        <v>45972</v>
      </c>
      <c r="N494" s="14" t="str" cm="1">
        <f t="array" ref="N494">_xlfn.XLOOKUP(TRIM(D494),TRIM(DFC!A:A),DFC!A:A,"NÃO ESTÁ NA DFC")</f>
        <v xml:space="preserve">          MANUTENÇÃO PREDIAL</v>
      </c>
    </row>
    <row r="495" spans="1:14" customFormat="1" ht="14.4" x14ac:dyDescent="0.3">
      <c r="A495" s="24"/>
      <c r="B495" s="21">
        <v>45972</v>
      </c>
      <c r="C495" s="21" t="s">
        <v>15</v>
      </c>
      <c r="D495" s="21" t="s">
        <v>79</v>
      </c>
      <c r="E495" s="20" t="s">
        <v>357</v>
      </c>
      <c r="F495" s="22" t="s">
        <v>358</v>
      </c>
      <c r="G495" s="252">
        <v>340.38</v>
      </c>
      <c r="H495" s="1"/>
      <c r="I495" s="1">
        <f>COUNTIF(Tabela1[NF],Tabela1[[#This Row],[NF]])</f>
        <v>0</v>
      </c>
      <c r="K495" s="26">
        <f>Tabela1[[#This Row],[DT. VENCIMENTO]]</f>
        <v>45972</v>
      </c>
      <c r="N495" s="14" t="str" cm="1">
        <f t="array" ref="N495">_xlfn.XLOOKUP(TRIM(D495),TRIM(DFC!A:A),DFC!A:A,"NÃO ESTÁ NA DFC")</f>
        <v xml:space="preserve">     DESP DE MARKETING E PROPAGANDA</v>
      </c>
    </row>
    <row r="496" spans="1:14" customFormat="1" ht="14.4" x14ac:dyDescent="0.3">
      <c r="A496" s="24"/>
      <c r="B496" s="21">
        <v>45972</v>
      </c>
      <c r="C496" s="21" t="s">
        <v>15</v>
      </c>
      <c r="D496" s="21" t="s">
        <v>19</v>
      </c>
      <c r="E496" s="20"/>
      <c r="F496" s="22" t="s">
        <v>300</v>
      </c>
      <c r="G496" s="252">
        <v>5970.25</v>
      </c>
      <c r="H496" s="1"/>
      <c r="I496" s="1">
        <f>COUNTIF(Tabela1[NF],Tabela1[[#This Row],[NF]])</f>
        <v>0</v>
      </c>
      <c r="K496" s="26">
        <f>Tabela1[[#This Row],[DT. VENCIMENTO]]</f>
        <v>45972</v>
      </c>
      <c r="N496" s="14" t="str" cm="1">
        <f t="array" ref="N496">_xlfn.XLOOKUP(TRIM(D496),TRIM(DFC!A:A),DFC!A:A,"NÃO ESTÁ NA DFC")</f>
        <v xml:space="preserve">      PEÇAS</v>
      </c>
    </row>
    <row r="497" spans="1:14" customFormat="1" ht="14.4" x14ac:dyDescent="0.3">
      <c r="A497" s="24"/>
      <c r="B497" s="21">
        <v>45972</v>
      </c>
      <c r="C497" s="21" t="s">
        <v>15</v>
      </c>
      <c r="D497" s="21" t="s">
        <v>19</v>
      </c>
      <c r="E497" s="20"/>
      <c r="F497" s="22" t="s">
        <v>300</v>
      </c>
      <c r="G497" s="252">
        <v>3438.86</v>
      </c>
      <c r="H497" s="1"/>
      <c r="I497" s="1">
        <f>COUNTIF(Tabela1[NF],Tabela1[[#This Row],[NF]])</f>
        <v>0</v>
      </c>
      <c r="K497" s="26">
        <f>Tabela1[[#This Row],[DT. VENCIMENTO]]</f>
        <v>45972</v>
      </c>
      <c r="N497" s="14" t="str" cm="1">
        <f t="array" ref="N497">_xlfn.XLOOKUP(TRIM(D497),TRIM(DFC!A:A),DFC!A:A,"NÃO ESTÁ NA DFC")</f>
        <v xml:space="preserve">      PEÇAS</v>
      </c>
    </row>
    <row r="498" spans="1:14" customFormat="1" ht="14.4" x14ac:dyDescent="0.3">
      <c r="A498" s="24"/>
      <c r="B498" s="21">
        <v>45972</v>
      </c>
      <c r="C498" s="21" t="s">
        <v>15</v>
      </c>
      <c r="D498" s="21" t="s">
        <v>154</v>
      </c>
      <c r="E498" s="20"/>
      <c r="F498" s="22" t="s">
        <v>303</v>
      </c>
      <c r="G498" s="252">
        <v>713.87</v>
      </c>
      <c r="H498" s="1"/>
      <c r="I498" s="1">
        <f>COUNTIF(Tabela1[NF],Tabela1[[#This Row],[NF]])</f>
        <v>0</v>
      </c>
      <c r="K498" s="26">
        <f>Tabela1[[#This Row],[DT. VENCIMENTO]]</f>
        <v>45972</v>
      </c>
      <c r="N498" s="14" t="str" cm="1">
        <f t="array" ref="N498">_xlfn.XLOOKUP(TRIM(D498),TRIM(DFC!A:A),DFC!A:A,"NÃO ESTÁ NA DFC")</f>
        <v xml:space="preserve">      EMBALAGENS</v>
      </c>
    </row>
    <row r="499" spans="1:14" customFormat="1" ht="14.4" x14ac:dyDescent="0.3">
      <c r="A499" s="19">
        <v>438008</v>
      </c>
      <c r="B499" s="21">
        <v>45972</v>
      </c>
      <c r="C499" s="21" t="s">
        <v>15</v>
      </c>
      <c r="D499" s="21" t="s">
        <v>19</v>
      </c>
      <c r="E499" s="20"/>
      <c r="F499" s="22" t="s">
        <v>24</v>
      </c>
      <c r="G499" s="252">
        <v>2850</v>
      </c>
      <c r="H499" s="1"/>
      <c r="I499" s="1">
        <f>COUNTIF(Tabela1[NF],Tabela1[[#This Row],[NF]])</f>
        <v>4</v>
      </c>
      <c r="K499" s="26">
        <f>Tabela1[[#This Row],[DT. VENCIMENTO]]</f>
        <v>45972</v>
      </c>
      <c r="N499" s="14" t="str" cm="1">
        <f t="array" ref="N499">_xlfn.XLOOKUP(TRIM(D499),TRIM(DFC!A:A),DFC!A:A,"NÃO ESTÁ NA DFC")</f>
        <v xml:space="preserve">      PEÇAS</v>
      </c>
    </row>
    <row r="500" spans="1:14" customFormat="1" ht="14.4" x14ac:dyDescent="0.3">
      <c r="A500" s="24">
        <v>432061</v>
      </c>
      <c r="B500" s="21">
        <v>45972</v>
      </c>
      <c r="C500" s="21" t="s">
        <v>15</v>
      </c>
      <c r="D500" s="21" t="s">
        <v>19</v>
      </c>
      <c r="E500" s="20"/>
      <c r="F500" s="22" t="s">
        <v>24</v>
      </c>
      <c r="G500" s="252">
        <v>10029</v>
      </c>
      <c r="H500" s="1"/>
      <c r="I500" s="1">
        <f>COUNTIF(Tabela1[NF],Tabela1[[#This Row],[NF]])</f>
        <v>2</v>
      </c>
      <c r="K500" s="26">
        <f>Tabela1[[#This Row],[DT. VENCIMENTO]]</f>
        <v>45972</v>
      </c>
      <c r="N500" s="14" t="str" cm="1">
        <f t="array" ref="N500">_xlfn.XLOOKUP(TRIM(D500),TRIM(DFC!A:A),DFC!A:A,"NÃO ESTÁ NA DFC")</f>
        <v xml:space="preserve">      PEÇAS</v>
      </c>
    </row>
    <row r="501" spans="1:14" customFormat="1" ht="14.4" x14ac:dyDescent="0.3">
      <c r="A501" s="19">
        <v>444777</v>
      </c>
      <c r="B501" s="21">
        <v>45972</v>
      </c>
      <c r="C501" s="21" t="s">
        <v>15</v>
      </c>
      <c r="D501" s="21" t="s">
        <v>19</v>
      </c>
      <c r="E501" s="20"/>
      <c r="F501" s="22" t="s">
        <v>24</v>
      </c>
      <c r="G501" s="252">
        <v>2945</v>
      </c>
      <c r="H501" s="1"/>
      <c r="I501" s="1">
        <f>COUNTIF(Tabela1[NF],Tabela1[[#This Row],[NF]])</f>
        <v>4</v>
      </c>
      <c r="K501" s="26">
        <f>Tabela1[[#This Row],[DT. VENCIMENTO]]</f>
        <v>45972</v>
      </c>
      <c r="N501" s="14" t="str" cm="1">
        <f t="array" ref="N501">_xlfn.XLOOKUP(TRIM(D501),TRIM(DFC!A:A),DFC!A:A,"NÃO ESTÁ NA DFC")</f>
        <v xml:space="preserve">      PEÇAS</v>
      </c>
    </row>
    <row r="502" spans="1:14" customFormat="1" ht="14.4" x14ac:dyDescent="0.3">
      <c r="A502" s="24"/>
      <c r="B502" s="21">
        <v>45973</v>
      </c>
      <c r="C502" s="21" t="s">
        <v>15</v>
      </c>
      <c r="D502" s="21" t="s">
        <v>19</v>
      </c>
      <c r="E502" s="20"/>
      <c r="F502" s="22" t="s">
        <v>228</v>
      </c>
      <c r="G502" s="252">
        <v>1278</v>
      </c>
      <c r="H502" s="1"/>
      <c r="I502" s="1">
        <f>COUNTIF(Tabela1[NF],Tabela1[[#This Row],[NF]])</f>
        <v>0</v>
      </c>
      <c r="K502" s="26">
        <f>Tabela1[[#This Row],[DT. VENCIMENTO]]</f>
        <v>45973</v>
      </c>
      <c r="N502" s="14" t="str" cm="1">
        <f t="array" ref="N502">_xlfn.XLOOKUP(TRIM(D502),TRIM(DFC!A:A),DFC!A:A,"NÃO ESTÁ NA DFC")</f>
        <v xml:space="preserve">      PEÇAS</v>
      </c>
    </row>
    <row r="503" spans="1:14" customFormat="1" ht="14.4" x14ac:dyDescent="0.3">
      <c r="A503" s="24"/>
      <c r="B503" s="21">
        <v>45973</v>
      </c>
      <c r="C503" s="21" t="s">
        <v>15</v>
      </c>
      <c r="D503" s="21" t="s">
        <v>19</v>
      </c>
      <c r="E503" s="20"/>
      <c r="F503" s="22" t="s">
        <v>300</v>
      </c>
      <c r="G503" s="252">
        <v>7134.4</v>
      </c>
      <c r="H503" s="1"/>
      <c r="I503" s="1">
        <f>COUNTIF(Tabela1[NF],Tabela1[[#This Row],[NF]])</f>
        <v>0</v>
      </c>
      <c r="K503" s="26">
        <f>Tabela1[[#This Row],[DT. VENCIMENTO]]</f>
        <v>45973</v>
      </c>
      <c r="N503" s="14" t="str" cm="1">
        <f t="array" ref="N503">_xlfn.XLOOKUP(TRIM(D503),TRIM(DFC!A:A),DFC!A:A,"NÃO ESTÁ NA DFC")</f>
        <v xml:space="preserve">      PEÇAS</v>
      </c>
    </row>
    <row r="504" spans="1:14" customFormat="1" ht="14.4" x14ac:dyDescent="0.3">
      <c r="A504" s="24"/>
      <c r="B504" s="21">
        <v>45973</v>
      </c>
      <c r="C504" s="21" t="s">
        <v>15</v>
      </c>
      <c r="D504" s="21" t="s">
        <v>19</v>
      </c>
      <c r="E504" s="20"/>
      <c r="F504" s="22" t="s">
        <v>228</v>
      </c>
      <c r="G504" s="252">
        <v>2496</v>
      </c>
      <c r="H504" s="1"/>
      <c r="I504" s="1">
        <f>COUNTIF(Tabela1[NF],Tabela1[[#This Row],[NF]])</f>
        <v>0</v>
      </c>
      <c r="K504" s="26">
        <f>Tabela1[[#This Row],[DT. VENCIMENTO]]</f>
        <v>45973</v>
      </c>
      <c r="N504" s="14" t="str" cm="1">
        <f t="array" ref="N504">_xlfn.XLOOKUP(TRIM(D504),TRIM(DFC!A:A),DFC!A:A,"NÃO ESTÁ NA DFC")</f>
        <v xml:space="preserve">      PEÇAS</v>
      </c>
    </row>
    <row r="505" spans="1:14" customFormat="1" ht="14.4" x14ac:dyDescent="0.3">
      <c r="A505" s="24"/>
      <c r="B505" s="21">
        <v>45973</v>
      </c>
      <c r="C505" s="21" t="s">
        <v>15</v>
      </c>
      <c r="D505" s="21" t="s">
        <v>19</v>
      </c>
      <c r="E505" s="20"/>
      <c r="F505" s="22" t="s">
        <v>228</v>
      </c>
      <c r="G505" s="252">
        <v>6543.04</v>
      </c>
      <c r="H505" s="1"/>
      <c r="I505" s="1">
        <f>COUNTIF(Tabela1[NF],Tabela1[[#This Row],[NF]])</f>
        <v>0</v>
      </c>
      <c r="K505" s="26">
        <f>Tabela1[[#This Row],[DT. VENCIMENTO]]</f>
        <v>45973</v>
      </c>
      <c r="N505" s="14" t="str" cm="1">
        <f t="array" ref="N505">_xlfn.XLOOKUP(TRIM(D505),TRIM(DFC!A:A),DFC!A:A,"NÃO ESTÁ NA DFC")</f>
        <v xml:space="preserve">      PEÇAS</v>
      </c>
    </row>
    <row r="506" spans="1:14" customFormat="1" ht="14.4" x14ac:dyDescent="0.3">
      <c r="A506" s="24"/>
      <c r="B506" s="21">
        <v>45973</v>
      </c>
      <c r="C506" s="21" t="s">
        <v>15</v>
      </c>
      <c r="D506" s="21" t="s">
        <v>127</v>
      </c>
      <c r="E506" s="20" t="s">
        <v>152</v>
      </c>
      <c r="F506" s="22" t="s">
        <v>359</v>
      </c>
      <c r="G506" s="252">
        <v>150</v>
      </c>
      <c r="H506" s="1"/>
      <c r="I506" s="1">
        <f>COUNTIF(Tabela1[NF],Tabela1[[#This Row],[NF]])</f>
        <v>0</v>
      </c>
      <c r="K506" s="26">
        <f>Tabela1[[#This Row],[DT. VENCIMENTO]]</f>
        <v>45973</v>
      </c>
      <c r="N506" s="14" t="str" cm="1">
        <f t="array" ref="N506">_xlfn.XLOOKUP(TRIM(D506),TRIM(DFC!A:A),DFC!A:A,"NÃO ESTÁ NA DFC")</f>
        <v xml:space="preserve">          SERVIÇOS DE SEGURANÇA</v>
      </c>
    </row>
    <row r="507" spans="1:14" customFormat="1" ht="14.4" x14ac:dyDescent="0.3">
      <c r="A507" s="24"/>
      <c r="B507" s="21">
        <v>45973</v>
      </c>
      <c r="C507" s="21" t="s">
        <v>15</v>
      </c>
      <c r="D507" s="21" t="s">
        <v>106</v>
      </c>
      <c r="E507" s="20" t="s">
        <v>360</v>
      </c>
      <c r="F507" s="22" t="s">
        <v>361</v>
      </c>
      <c r="G507" s="252">
        <v>63000</v>
      </c>
      <c r="H507" s="1"/>
      <c r="I507" s="1">
        <f>COUNTIF(Tabela1[NF],Tabela1[[#This Row],[NF]])</f>
        <v>0</v>
      </c>
      <c r="K507" s="26">
        <f>Tabela1[[#This Row],[DT. VENCIMENTO]]</f>
        <v>45973</v>
      </c>
      <c r="N507" s="14" t="str" cm="1">
        <f t="array" ref="N507">_xlfn.XLOOKUP(TRIM(D507),TRIM(DFC!A:A),DFC!A:A,"NÃO ESTÁ NA DFC")</f>
        <v xml:space="preserve">          PAGAMENTO DE EMPRÉSTIMOS </v>
      </c>
    </row>
    <row r="508" spans="1:14" customFormat="1" ht="14.4" x14ac:dyDescent="0.3">
      <c r="A508" s="24"/>
      <c r="B508" s="21">
        <v>45973</v>
      </c>
      <c r="C508" s="21" t="s">
        <v>15</v>
      </c>
      <c r="D508" s="21" t="s">
        <v>19</v>
      </c>
      <c r="E508" s="20" t="s">
        <v>362</v>
      </c>
      <c r="F508" s="22" t="s">
        <v>103</v>
      </c>
      <c r="G508" s="252">
        <v>8766.66</v>
      </c>
      <c r="H508" s="1"/>
      <c r="I508" s="1">
        <f>COUNTIF(Tabela1[NF],Tabela1[[#This Row],[NF]])</f>
        <v>0</v>
      </c>
      <c r="K508" s="26">
        <f>Tabela1[[#This Row],[DT. VENCIMENTO]]</f>
        <v>45973</v>
      </c>
      <c r="N508" s="14" t="str" cm="1">
        <f t="array" ref="N508">_xlfn.XLOOKUP(TRIM(D508),TRIM(DFC!A:A),DFC!A:A,"NÃO ESTÁ NA DFC")</f>
        <v xml:space="preserve">      PEÇAS</v>
      </c>
    </row>
    <row r="509" spans="1:14" customFormat="1" ht="14.4" x14ac:dyDescent="0.3">
      <c r="A509" s="24"/>
      <c r="B509" s="21">
        <v>45973</v>
      </c>
      <c r="C509" s="21" t="s">
        <v>15</v>
      </c>
      <c r="D509" s="21" t="s">
        <v>19</v>
      </c>
      <c r="E509" s="20" t="s">
        <v>363</v>
      </c>
      <c r="F509" s="22" t="s">
        <v>103</v>
      </c>
      <c r="G509" s="252">
        <v>7333.34</v>
      </c>
      <c r="H509" s="1"/>
      <c r="I509" s="1">
        <f>COUNTIF(Tabela1[NF],Tabela1[[#This Row],[NF]])</f>
        <v>0</v>
      </c>
      <c r="K509" s="26">
        <f>Tabela1[[#This Row],[DT. VENCIMENTO]]</f>
        <v>45973</v>
      </c>
      <c r="N509" s="14" t="str" cm="1">
        <f t="array" ref="N509">_xlfn.XLOOKUP(TRIM(D509),TRIM(DFC!A:A),DFC!A:A,"NÃO ESTÁ NA DFC")</f>
        <v xml:space="preserve">      PEÇAS</v>
      </c>
    </row>
    <row r="510" spans="1:14" customFormat="1" ht="14.4" x14ac:dyDescent="0.3">
      <c r="A510" s="24"/>
      <c r="B510" s="21">
        <v>45974</v>
      </c>
      <c r="C510" s="21" t="s">
        <v>15</v>
      </c>
      <c r="D510" s="21" t="s">
        <v>111</v>
      </c>
      <c r="E510" s="20" t="s">
        <v>364</v>
      </c>
      <c r="F510" s="22" t="s">
        <v>114</v>
      </c>
      <c r="G510" s="252">
        <v>8.77</v>
      </c>
      <c r="H510" s="1"/>
      <c r="I510" s="1">
        <f>COUNTIF(Tabela1[NF],Tabela1[[#This Row],[NF]])</f>
        <v>0</v>
      </c>
      <c r="K510" s="26">
        <f>Tabela1[[#This Row],[DT. VENCIMENTO]]</f>
        <v>45974</v>
      </c>
      <c r="N510" s="14" t="str" cm="1">
        <f t="array" ref="N510">_xlfn.XLOOKUP(TRIM(D510),TRIM(DFC!A:A),DFC!A:A,"NÃO ESTÁ NA DFC")</f>
        <v xml:space="preserve">          TX. BANCÁRIA</v>
      </c>
    </row>
    <row r="511" spans="1:14" customFormat="1" ht="14.4" x14ac:dyDescent="0.3">
      <c r="A511" s="24"/>
      <c r="B511" s="21">
        <v>45974</v>
      </c>
      <c r="C511" s="21" t="s">
        <v>15</v>
      </c>
      <c r="D511" s="21" t="s">
        <v>111</v>
      </c>
      <c r="E511" s="20" t="s">
        <v>364</v>
      </c>
      <c r="F511" s="22" t="s">
        <v>114</v>
      </c>
      <c r="G511" s="252">
        <v>7.33</v>
      </c>
      <c r="H511" s="1"/>
      <c r="I511" s="1">
        <f>COUNTIF(Tabela1[NF],Tabela1[[#This Row],[NF]])</f>
        <v>0</v>
      </c>
      <c r="K511" s="26">
        <f>Tabela1[[#This Row],[DT. VENCIMENTO]]</f>
        <v>45974</v>
      </c>
      <c r="N511" s="14" t="str" cm="1">
        <f t="array" ref="N511">_xlfn.XLOOKUP(TRIM(D511),TRIM(DFC!A:A),DFC!A:A,"NÃO ESTÁ NA DFC")</f>
        <v xml:space="preserve">          TX. BANCÁRIA</v>
      </c>
    </row>
    <row r="512" spans="1:14" customFormat="1" ht="14.4" x14ac:dyDescent="0.3">
      <c r="A512" s="24"/>
      <c r="B512" s="21">
        <v>45974</v>
      </c>
      <c r="C512" s="21" t="s">
        <v>15</v>
      </c>
      <c r="D512" s="21" t="s">
        <v>104</v>
      </c>
      <c r="E512" s="20"/>
      <c r="F512" s="22" t="s">
        <v>201</v>
      </c>
      <c r="G512" s="252">
        <v>0</v>
      </c>
      <c r="H512" s="1"/>
      <c r="I512" s="1">
        <f>COUNTIF(Tabela1[NF],Tabela1[[#This Row],[NF]])</f>
        <v>0</v>
      </c>
      <c r="K512" s="26">
        <f>Tabela1[[#This Row],[DT. VENCIMENTO]]</f>
        <v>45974</v>
      </c>
      <c r="N512" s="14" t="str" cm="1">
        <f t="array" ref="N512">_xlfn.XLOOKUP(TRIM(D512),TRIM(DFC!A:A),DFC!A:A,"NÃO ESTÁ NA DFC")</f>
        <v xml:space="preserve">          OUTRAS DESPESAS ADMINISTRATIVAS</v>
      </c>
    </row>
    <row r="513" spans="1:14" customFormat="1" ht="14.4" x14ac:dyDescent="0.3">
      <c r="A513" s="24"/>
      <c r="B513" s="21">
        <v>45974</v>
      </c>
      <c r="C513" s="21" t="s">
        <v>15</v>
      </c>
      <c r="D513" s="21" t="s">
        <v>19</v>
      </c>
      <c r="E513" s="20"/>
      <c r="F513" s="22" t="s">
        <v>315</v>
      </c>
      <c r="G513" s="252">
        <v>2183.33</v>
      </c>
      <c r="H513" s="1"/>
      <c r="I513" s="1">
        <f>COUNTIF(Tabela1[NF],Tabela1[[#This Row],[NF]])</f>
        <v>0</v>
      </c>
      <c r="K513" s="26">
        <f>Tabela1[[#This Row],[DT. VENCIMENTO]]</f>
        <v>45974</v>
      </c>
      <c r="N513" s="14" t="str" cm="1">
        <f t="array" ref="N513">_xlfn.XLOOKUP(TRIM(D513),TRIM(DFC!A:A),DFC!A:A,"NÃO ESTÁ NA DFC")</f>
        <v xml:space="preserve">      PEÇAS</v>
      </c>
    </row>
    <row r="514" spans="1:14" customFormat="1" ht="14.4" x14ac:dyDescent="0.3">
      <c r="A514" s="24"/>
      <c r="B514" s="21">
        <v>45974</v>
      </c>
      <c r="C514" s="21" t="s">
        <v>15</v>
      </c>
      <c r="D514" s="21" t="s">
        <v>60</v>
      </c>
      <c r="E514" s="20"/>
      <c r="F514" s="22" t="s">
        <v>200</v>
      </c>
      <c r="G514" s="252">
        <v>6391.57</v>
      </c>
      <c r="H514" s="1"/>
      <c r="I514" s="1">
        <f>COUNTIF(Tabela1[NF],Tabela1[[#This Row],[NF]])</f>
        <v>0</v>
      </c>
      <c r="K514" s="26">
        <f>Tabela1[[#This Row],[DT. VENCIMENTO]]</f>
        <v>45974</v>
      </c>
      <c r="N514" s="14" t="str" cm="1">
        <f t="array" ref="N514">_xlfn.XLOOKUP(TRIM(D514),TRIM(DFC!A:A),DFC!A:A,"NÃO ESTÁ NA DFC")</f>
        <v xml:space="preserve">          ALUGUEL</v>
      </c>
    </row>
    <row r="515" spans="1:14" customFormat="1" ht="14.4" x14ac:dyDescent="0.3">
      <c r="A515" s="24"/>
      <c r="B515" s="21">
        <v>45974</v>
      </c>
      <c r="C515" s="21" t="s">
        <v>15</v>
      </c>
      <c r="D515" s="21" t="s">
        <v>19</v>
      </c>
      <c r="E515" s="20"/>
      <c r="F515" s="22" t="s">
        <v>298</v>
      </c>
      <c r="G515" s="252">
        <v>1180.6400000000001</v>
      </c>
      <c r="H515" s="1"/>
      <c r="I515" s="1">
        <f>COUNTIF(Tabela1[NF],Tabela1[[#This Row],[NF]])</f>
        <v>0</v>
      </c>
      <c r="K515" s="26">
        <f>Tabela1[[#This Row],[DT. VENCIMENTO]]</f>
        <v>45974</v>
      </c>
      <c r="N515" s="14" t="str" cm="1">
        <f t="array" ref="N515">_xlfn.XLOOKUP(TRIM(D515),TRIM(DFC!A:A),DFC!A:A,"NÃO ESTÁ NA DFC")</f>
        <v xml:space="preserve">      PEÇAS</v>
      </c>
    </row>
    <row r="516" spans="1:14" customFormat="1" ht="14.4" x14ac:dyDescent="0.3">
      <c r="A516" s="24"/>
      <c r="B516" s="21">
        <v>45974</v>
      </c>
      <c r="C516" s="21" t="s">
        <v>15</v>
      </c>
      <c r="D516" s="21" t="s">
        <v>19</v>
      </c>
      <c r="E516" s="20"/>
      <c r="F516" s="22" t="s">
        <v>298</v>
      </c>
      <c r="G516" s="252">
        <v>505.99</v>
      </c>
      <c r="H516" s="1"/>
      <c r="I516" s="1">
        <f>COUNTIF(Tabela1[NF],Tabela1[[#This Row],[NF]])</f>
        <v>0</v>
      </c>
      <c r="K516" s="26">
        <f>Tabela1[[#This Row],[DT. VENCIMENTO]]</f>
        <v>45974</v>
      </c>
      <c r="N516" s="14" t="str" cm="1">
        <f t="array" ref="N516">_xlfn.XLOOKUP(TRIM(D516),TRIM(DFC!A:A),DFC!A:A,"NÃO ESTÁ NA DFC")</f>
        <v xml:space="preserve">      PEÇAS</v>
      </c>
    </row>
    <row r="517" spans="1:14" customFormat="1" ht="14.4" x14ac:dyDescent="0.3">
      <c r="A517" s="24"/>
      <c r="B517" s="21">
        <v>45974</v>
      </c>
      <c r="C517" s="21" t="s">
        <v>15</v>
      </c>
      <c r="D517" s="21" t="s">
        <v>19</v>
      </c>
      <c r="E517" s="20"/>
      <c r="F517" s="22" t="s">
        <v>210</v>
      </c>
      <c r="G517" s="252">
        <v>3879.82</v>
      </c>
      <c r="H517" s="1"/>
      <c r="I517" s="1">
        <f>COUNTIF(Tabela1[NF],Tabela1[[#This Row],[NF]])</f>
        <v>0</v>
      </c>
      <c r="K517" s="26">
        <f>Tabela1[[#This Row],[DT. VENCIMENTO]]</f>
        <v>45974</v>
      </c>
      <c r="N517" s="14" t="str" cm="1">
        <f t="array" ref="N517">_xlfn.XLOOKUP(TRIM(D517),TRIM(DFC!A:A),DFC!A:A,"NÃO ESTÁ NA DFC")</f>
        <v xml:space="preserve">      PEÇAS</v>
      </c>
    </row>
    <row r="518" spans="1:14" customFormat="1" ht="14.4" x14ac:dyDescent="0.3">
      <c r="A518" s="24"/>
      <c r="B518" s="21">
        <v>45974</v>
      </c>
      <c r="C518" s="21" t="s">
        <v>15</v>
      </c>
      <c r="D518" s="21" t="s">
        <v>19</v>
      </c>
      <c r="E518" s="20"/>
      <c r="F518" s="22" t="s">
        <v>315</v>
      </c>
      <c r="G518" s="252">
        <v>1050</v>
      </c>
      <c r="H518" s="1"/>
      <c r="I518" s="1">
        <f>COUNTIF(Tabela1[NF],Tabela1[[#This Row],[NF]])</f>
        <v>0</v>
      </c>
      <c r="K518" s="26">
        <f>Tabela1[[#This Row],[DT. VENCIMENTO]]</f>
        <v>45974</v>
      </c>
      <c r="N518" s="14" t="str" cm="1">
        <f t="array" ref="N518">_xlfn.XLOOKUP(TRIM(D518),TRIM(DFC!A:A),DFC!A:A,"NÃO ESTÁ NA DFC")</f>
        <v xml:space="preserve">      PEÇAS</v>
      </c>
    </row>
    <row r="519" spans="1:14" customFormat="1" ht="14.4" x14ac:dyDescent="0.3">
      <c r="A519" s="24"/>
      <c r="B519" s="21">
        <v>45974</v>
      </c>
      <c r="C519" s="21" t="s">
        <v>15</v>
      </c>
      <c r="D519" s="21" t="s">
        <v>19</v>
      </c>
      <c r="E519" s="20"/>
      <c r="F519" s="22" t="s">
        <v>315</v>
      </c>
      <c r="G519" s="252">
        <v>6549.99</v>
      </c>
      <c r="H519" s="1"/>
      <c r="I519" s="1">
        <f>COUNTIF(Tabela1[NF],Tabela1[[#This Row],[NF]])</f>
        <v>0</v>
      </c>
      <c r="K519" s="26">
        <f>Tabela1[[#This Row],[DT. VENCIMENTO]]</f>
        <v>45974</v>
      </c>
      <c r="N519" s="14" t="str" cm="1">
        <f t="array" ref="N519">_xlfn.XLOOKUP(TRIM(D519),TRIM(DFC!A:A),DFC!A:A,"NÃO ESTÁ NA DFC")</f>
        <v xml:space="preserve">      PEÇAS</v>
      </c>
    </row>
    <row r="520" spans="1:14" customFormat="1" ht="14.4" x14ac:dyDescent="0.3">
      <c r="A520" s="24"/>
      <c r="B520" s="21">
        <v>45974</v>
      </c>
      <c r="C520" s="21" t="s">
        <v>15</v>
      </c>
      <c r="D520" s="21" t="s">
        <v>154</v>
      </c>
      <c r="E520" s="20"/>
      <c r="F520" s="22" t="s">
        <v>303</v>
      </c>
      <c r="G520" s="252">
        <v>314.85000000000002</v>
      </c>
      <c r="H520" s="1"/>
      <c r="I520" s="1">
        <f>COUNTIF(Tabela1[NF],Tabela1[[#This Row],[NF]])</f>
        <v>0</v>
      </c>
      <c r="K520" s="26">
        <f>Tabela1[[#This Row],[DT. VENCIMENTO]]</f>
        <v>45974</v>
      </c>
      <c r="N520" s="14" t="str" cm="1">
        <f t="array" ref="N520">_xlfn.XLOOKUP(TRIM(D520),TRIM(DFC!A:A),DFC!A:A,"NÃO ESTÁ NA DFC")</f>
        <v xml:space="preserve">      EMBALAGENS</v>
      </c>
    </row>
    <row r="521" spans="1:14" customFormat="1" ht="14.4" x14ac:dyDescent="0.3">
      <c r="A521" s="24"/>
      <c r="B521" s="21">
        <v>45974</v>
      </c>
      <c r="C521" s="21" t="s">
        <v>15</v>
      </c>
      <c r="D521" s="21" t="s">
        <v>19</v>
      </c>
      <c r="E521" s="20"/>
      <c r="F521" s="22" t="s">
        <v>315</v>
      </c>
      <c r="G521" s="252">
        <v>350</v>
      </c>
      <c r="H521" s="1"/>
      <c r="I521" s="1">
        <f>COUNTIF(Tabela1[NF],Tabela1[[#This Row],[NF]])</f>
        <v>0</v>
      </c>
      <c r="K521" s="26">
        <f>Tabela1[[#This Row],[DT. VENCIMENTO]]</f>
        <v>45974</v>
      </c>
      <c r="N521" s="14" t="str" cm="1">
        <f t="array" ref="N521">_xlfn.XLOOKUP(TRIM(D521),TRIM(DFC!A:A),DFC!A:A,"NÃO ESTÁ NA DFC")</f>
        <v xml:space="preserve">      PEÇAS</v>
      </c>
    </row>
    <row r="522" spans="1:14" customFormat="1" ht="14.4" x14ac:dyDescent="0.3">
      <c r="A522" s="24"/>
      <c r="B522" s="21">
        <v>45974</v>
      </c>
      <c r="C522" s="21" t="s">
        <v>15</v>
      </c>
      <c r="D522" s="21" t="s">
        <v>19</v>
      </c>
      <c r="E522" s="20"/>
      <c r="F522" s="22" t="s">
        <v>365</v>
      </c>
      <c r="G522" s="252">
        <v>180</v>
      </c>
      <c r="H522" s="1"/>
      <c r="I522" s="1">
        <f>COUNTIF(Tabela1[NF],Tabela1[[#This Row],[NF]])</f>
        <v>0</v>
      </c>
      <c r="K522" s="26">
        <f>Tabela1[[#This Row],[DT. VENCIMENTO]]</f>
        <v>45974</v>
      </c>
      <c r="N522" s="14" t="str" cm="1">
        <f t="array" ref="N522">_xlfn.XLOOKUP(TRIM(D522),TRIM(DFC!A:A),DFC!A:A,"NÃO ESTÁ NA DFC")</f>
        <v xml:space="preserve">      PEÇAS</v>
      </c>
    </row>
    <row r="523" spans="1:14" customFormat="1" ht="14.4" x14ac:dyDescent="0.3">
      <c r="A523" s="24"/>
      <c r="B523" s="21">
        <v>45974</v>
      </c>
      <c r="C523" s="21" t="s">
        <v>15</v>
      </c>
      <c r="D523" s="21" t="s">
        <v>19</v>
      </c>
      <c r="E523" s="20"/>
      <c r="F523" s="22" t="s">
        <v>366</v>
      </c>
      <c r="G523" s="252">
        <v>1500</v>
      </c>
      <c r="H523" s="1"/>
      <c r="I523" s="1">
        <f>COUNTIF(Tabela1[NF],Tabela1[[#This Row],[NF]])</f>
        <v>0</v>
      </c>
      <c r="K523" s="26">
        <f>Tabela1[[#This Row],[DT. VENCIMENTO]]</f>
        <v>45974</v>
      </c>
      <c r="N523" s="14" t="str" cm="1">
        <f t="array" ref="N523">_xlfn.XLOOKUP(TRIM(D523),TRIM(DFC!A:A),DFC!A:A,"NÃO ESTÁ NA DFC")</f>
        <v xml:space="preserve">      PEÇAS</v>
      </c>
    </row>
    <row r="524" spans="1:14" customFormat="1" ht="14.4" x14ac:dyDescent="0.3">
      <c r="A524" s="24"/>
      <c r="B524" s="21">
        <v>45974</v>
      </c>
      <c r="C524" s="21" t="s">
        <v>15</v>
      </c>
      <c r="D524" s="21" t="s">
        <v>305</v>
      </c>
      <c r="E524" s="20" t="s">
        <v>367</v>
      </c>
      <c r="F524" s="22" t="s">
        <v>236</v>
      </c>
      <c r="G524" s="252">
        <v>50</v>
      </c>
      <c r="H524" s="1"/>
      <c r="I524" s="1">
        <f>COUNTIF(Tabela1[NF],Tabela1[[#This Row],[NF]])</f>
        <v>0</v>
      </c>
      <c r="K524" s="26">
        <f>Tabela1[[#This Row],[DT. VENCIMENTO]]</f>
        <v>45974</v>
      </c>
      <c r="N524" s="14" t="str" cm="1">
        <f t="array" ref="N524">_xlfn.XLOOKUP(TRIM(D524),TRIM(DFC!A:A),DFC!A:A,"NÃO ESTÁ NA DFC")</f>
        <v xml:space="preserve">      FRETE ENTRADA</v>
      </c>
    </row>
    <row r="525" spans="1:14" customFormat="1" ht="14.4" x14ac:dyDescent="0.3">
      <c r="A525" s="24"/>
      <c r="B525" s="21">
        <v>45974</v>
      </c>
      <c r="C525" s="21" t="s">
        <v>15</v>
      </c>
      <c r="D525" s="21" t="s">
        <v>305</v>
      </c>
      <c r="E525" s="20" t="s">
        <v>367</v>
      </c>
      <c r="F525" s="22" t="s">
        <v>294</v>
      </c>
      <c r="G525" s="252">
        <v>55</v>
      </c>
      <c r="H525" s="1"/>
      <c r="I525" s="1">
        <f>COUNTIF(Tabela1[NF],Tabela1[[#This Row],[NF]])</f>
        <v>0</v>
      </c>
      <c r="K525" s="26">
        <f>Tabela1[[#This Row],[DT. VENCIMENTO]]</f>
        <v>45974</v>
      </c>
      <c r="N525" s="14" t="str" cm="1">
        <f t="array" ref="N525">_xlfn.XLOOKUP(TRIM(D525),TRIM(DFC!A:A),DFC!A:A,"NÃO ESTÁ NA DFC")</f>
        <v xml:space="preserve">      FRETE ENTRADA</v>
      </c>
    </row>
    <row r="526" spans="1:14" customFormat="1" ht="14.4" x14ac:dyDescent="0.3">
      <c r="A526" s="24"/>
      <c r="B526" s="21">
        <v>45974</v>
      </c>
      <c r="C526" s="21" t="s">
        <v>15</v>
      </c>
      <c r="D526" s="21" t="s">
        <v>305</v>
      </c>
      <c r="E526" s="20" t="s">
        <v>367</v>
      </c>
      <c r="F526" s="22" t="s">
        <v>368</v>
      </c>
      <c r="G526" s="252">
        <v>90</v>
      </c>
      <c r="H526" s="1"/>
      <c r="I526" s="1">
        <f>COUNTIF(Tabela1[NF],Tabela1[[#This Row],[NF]])</f>
        <v>0</v>
      </c>
      <c r="K526" s="26">
        <f>Tabela1[[#This Row],[DT. VENCIMENTO]]</f>
        <v>45974</v>
      </c>
      <c r="N526" s="14" t="str" cm="1">
        <f t="array" ref="N526">_xlfn.XLOOKUP(TRIM(D526),TRIM(DFC!A:A),DFC!A:A,"NÃO ESTÁ NA DFC")</f>
        <v xml:space="preserve">      FRETE ENTRADA</v>
      </c>
    </row>
    <row r="527" spans="1:14" customFormat="1" ht="14.4" x14ac:dyDescent="0.3">
      <c r="A527" s="24"/>
      <c r="B527" s="21">
        <v>45974</v>
      </c>
      <c r="C527" s="21" t="s">
        <v>15</v>
      </c>
      <c r="D527" s="21" t="s">
        <v>305</v>
      </c>
      <c r="E527" s="20" t="s">
        <v>367</v>
      </c>
      <c r="F527" s="22" t="s">
        <v>168</v>
      </c>
      <c r="G527" s="252">
        <v>169.85</v>
      </c>
      <c r="H527" s="1"/>
      <c r="I527" s="1">
        <f>COUNTIF(Tabela1[NF],Tabela1[[#This Row],[NF]])</f>
        <v>0</v>
      </c>
      <c r="K527" s="26">
        <f>Tabela1[[#This Row],[DT. VENCIMENTO]]</f>
        <v>45974</v>
      </c>
      <c r="N527" s="14" t="str" cm="1">
        <f t="array" ref="N527">_xlfn.XLOOKUP(TRIM(D527),TRIM(DFC!A:A),DFC!A:A,"NÃO ESTÁ NA DFC")</f>
        <v xml:space="preserve">      FRETE ENTRADA</v>
      </c>
    </row>
    <row r="528" spans="1:14" customFormat="1" ht="14.4" x14ac:dyDescent="0.3">
      <c r="A528" s="24"/>
      <c r="B528" s="21">
        <v>45974</v>
      </c>
      <c r="C528" s="21" t="s">
        <v>15</v>
      </c>
      <c r="D528" s="21" t="s">
        <v>305</v>
      </c>
      <c r="E528" s="20" t="s">
        <v>367</v>
      </c>
      <c r="F528" s="22" t="s">
        <v>168</v>
      </c>
      <c r="G528" s="252">
        <v>48</v>
      </c>
      <c r="H528" s="1"/>
      <c r="I528" s="1">
        <f>COUNTIF(Tabela1[NF],Tabela1[[#This Row],[NF]])</f>
        <v>0</v>
      </c>
      <c r="K528" s="26">
        <f>Tabela1[[#This Row],[DT. VENCIMENTO]]</f>
        <v>45974</v>
      </c>
      <c r="N528" s="14" t="str" cm="1">
        <f t="array" ref="N528">_xlfn.XLOOKUP(TRIM(D528),TRIM(DFC!A:A),DFC!A:A,"NÃO ESTÁ NA DFC")</f>
        <v xml:space="preserve">      FRETE ENTRADA</v>
      </c>
    </row>
    <row r="529" spans="1:14" customFormat="1" ht="14.4" x14ac:dyDescent="0.3">
      <c r="A529" s="24"/>
      <c r="B529" s="21">
        <v>45974</v>
      </c>
      <c r="C529" s="21" t="s">
        <v>15</v>
      </c>
      <c r="D529" s="21" t="s">
        <v>57</v>
      </c>
      <c r="E529" s="20" t="s">
        <v>332</v>
      </c>
      <c r="F529" s="22" t="s">
        <v>369</v>
      </c>
      <c r="G529" s="252">
        <v>180</v>
      </c>
      <c r="H529" s="1"/>
      <c r="I529" s="1">
        <f>COUNTIF(Tabela1[NF],Tabela1[[#This Row],[NF]])</f>
        <v>0</v>
      </c>
      <c r="K529" s="26">
        <f>Tabela1[[#This Row],[DT. VENCIMENTO]]</f>
        <v>45974</v>
      </c>
      <c r="N529" s="14" t="str" cm="1">
        <f t="array" ref="N529">_xlfn.XLOOKUP(TRIM(D529),TRIM(DFC!A:A),DFC!A:A,"NÃO ESTÁ NA DFC")</f>
        <v xml:space="preserve">          ALIMENTAÇÃO</v>
      </c>
    </row>
    <row r="530" spans="1:14" customFormat="1" ht="28.8" x14ac:dyDescent="0.3">
      <c r="A530" s="19"/>
      <c r="B530" s="21">
        <v>45974</v>
      </c>
      <c r="C530" s="280" t="s">
        <v>202</v>
      </c>
      <c r="D530" s="21" t="s">
        <v>57</v>
      </c>
      <c r="E530" s="20"/>
      <c r="F530" s="22" t="s">
        <v>204</v>
      </c>
      <c r="G530" s="252">
        <v>1602.9499999999998</v>
      </c>
      <c r="H530" s="1"/>
      <c r="I530" s="1">
        <f>COUNTIF(Tabela1[NF],Tabela1[[#This Row],[NF]])</f>
        <v>0</v>
      </c>
      <c r="K530" s="26">
        <v>45974</v>
      </c>
      <c r="N530" s="14" t="str" cm="1">
        <f t="array" ref="N530">_xlfn.XLOOKUP(TRIM(D530),TRIM(DFC!A:A),DFC!A:A,"NÃO ESTÁ NA DFC")</f>
        <v xml:space="preserve">          ALIMENTAÇÃO</v>
      </c>
    </row>
    <row r="531" spans="1:14" customFormat="1" ht="28.8" x14ac:dyDescent="0.3">
      <c r="A531" s="19"/>
      <c r="B531" s="21">
        <v>45974</v>
      </c>
      <c r="C531" s="280" t="s">
        <v>202</v>
      </c>
      <c r="D531" s="21" t="s">
        <v>203</v>
      </c>
      <c r="E531" s="20"/>
      <c r="F531" s="22" t="s">
        <v>204</v>
      </c>
      <c r="G531" s="252">
        <v>3789.82</v>
      </c>
      <c r="H531" s="1"/>
      <c r="I531" s="1">
        <f>COUNTIF(Tabela1[NF],Tabela1[[#This Row],[NF]])</f>
        <v>0</v>
      </c>
      <c r="K531" s="26">
        <v>45974</v>
      </c>
      <c r="N531" s="14" t="str" cm="1">
        <f t="array" ref="N531">_xlfn.XLOOKUP(TRIM(D531),TRIM(DFC!A:A),DFC!A:A,"NÃO ESTÁ NA DFC")</f>
        <v xml:space="preserve">         ASSINATURAS</v>
      </c>
    </row>
    <row r="532" spans="1:14" customFormat="1" ht="28.8" x14ac:dyDescent="0.3">
      <c r="A532" s="19"/>
      <c r="B532" s="21">
        <v>45974</v>
      </c>
      <c r="C532" s="280" t="s">
        <v>202</v>
      </c>
      <c r="D532" s="21" t="s">
        <v>72</v>
      </c>
      <c r="E532" s="20"/>
      <c r="F532" s="22" t="s">
        <v>204</v>
      </c>
      <c r="G532" s="252">
        <v>261.02</v>
      </c>
      <c r="H532" s="1"/>
      <c r="I532" s="1">
        <f>COUNTIF(Tabela1[NF],Tabela1[[#This Row],[NF]])</f>
        <v>0</v>
      </c>
      <c r="K532" s="26">
        <v>45974</v>
      </c>
      <c r="N532" s="14" t="str" cm="1">
        <f t="array" ref="N532">_xlfn.XLOOKUP(TRIM(D532),TRIM(DFC!A:A),DFC!A:A,"NÃO ESTÁ NA DFC")</f>
        <v xml:space="preserve">          COMBUSTÍVEL</v>
      </c>
    </row>
    <row r="533" spans="1:14" customFormat="1" ht="28.8" x14ac:dyDescent="0.3">
      <c r="A533" s="19"/>
      <c r="B533" s="21">
        <v>45974</v>
      </c>
      <c r="C533" s="280" t="s">
        <v>202</v>
      </c>
      <c r="D533" s="21" t="s">
        <v>18</v>
      </c>
      <c r="E533" s="20"/>
      <c r="F533" s="22" t="s">
        <v>204</v>
      </c>
      <c r="G533" s="252">
        <v>648.11</v>
      </c>
      <c r="H533" s="1"/>
      <c r="I533" s="1">
        <f>COUNTIF(Tabela1[NF],Tabela1[[#This Row],[NF]])</f>
        <v>0</v>
      </c>
      <c r="K533" s="26">
        <v>45974</v>
      </c>
      <c r="N533" s="14" t="str" cm="1">
        <f t="array" ref="N533">_xlfn.XLOOKUP(TRIM(D533),TRIM(DFC!A:A),DFC!A:A,"NÃO ESTÁ NA DFC")</f>
        <v xml:space="preserve">     COMISSÕES E TAXAS DOS MARKETPLACES</v>
      </c>
    </row>
    <row r="534" spans="1:14" customFormat="1" ht="28.8" x14ac:dyDescent="0.3">
      <c r="A534" s="19"/>
      <c r="B534" s="21">
        <v>45974</v>
      </c>
      <c r="C534" s="280" t="s">
        <v>202</v>
      </c>
      <c r="D534" s="21" t="s">
        <v>205</v>
      </c>
      <c r="E534" s="20"/>
      <c r="F534" s="22" t="s">
        <v>204</v>
      </c>
      <c r="G534" s="252">
        <v>4148.8999999999996</v>
      </c>
      <c r="H534" s="1"/>
      <c r="I534" s="1">
        <f>COUNTIF(Tabela1[NF],Tabela1[[#This Row],[NF]])</f>
        <v>0</v>
      </c>
      <c r="K534" s="26">
        <v>45974</v>
      </c>
      <c r="N534" s="14" t="str" cm="1">
        <f t="array" ref="N534">_xlfn.XLOOKUP(TRIM(D534),TRIM(DFC!A:A),DFC!A:A,"NÃO ESTÁ NA DFC")</f>
        <v xml:space="preserve">          DESPESAS DE VIAGEM</v>
      </c>
    </row>
    <row r="535" spans="1:14" customFormat="1" ht="28.8" x14ac:dyDescent="0.3">
      <c r="A535" s="19"/>
      <c r="B535" s="21">
        <v>45974</v>
      </c>
      <c r="C535" s="280" t="s">
        <v>202</v>
      </c>
      <c r="D535" s="21" t="s">
        <v>206</v>
      </c>
      <c r="E535" s="20"/>
      <c r="F535" s="22" t="s">
        <v>204</v>
      </c>
      <c r="G535" s="252">
        <v>107</v>
      </c>
      <c r="H535" s="1"/>
      <c r="I535" s="1">
        <f>COUNTIF(Tabela1[NF],Tabela1[[#This Row],[NF]])</f>
        <v>0</v>
      </c>
      <c r="K535" s="26">
        <v>45974</v>
      </c>
      <c r="N535" s="14" t="str" cm="1">
        <f t="array" ref="N535">_xlfn.XLOOKUP(TRIM(D535),TRIM(DFC!A:A),DFC!A:A,"NÃO ESTÁ NA DFC")</f>
        <v xml:space="preserve">          ESTACIONAMENTO</v>
      </c>
    </row>
    <row r="536" spans="1:14" customFormat="1" ht="28.8" x14ac:dyDescent="0.3">
      <c r="A536" s="19"/>
      <c r="B536" s="21">
        <v>45974</v>
      </c>
      <c r="C536" s="280" t="s">
        <v>202</v>
      </c>
      <c r="D536" s="21" t="s">
        <v>104</v>
      </c>
      <c r="E536" s="20"/>
      <c r="F536" s="22" t="s">
        <v>204</v>
      </c>
      <c r="G536" s="252">
        <v>5218.87</v>
      </c>
      <c r="H536" s="1"/>
      <c r="I536" s="1">
        <f>COUNTIF(Tabela1[NF],Tabela1[[#This Row],[NF]])</f>
        <v>0</v>
      </c>
      <c r="K536" s="26">
        <v>45974</v>
      </c>
      <c r="N536" s="14" t="str" cm="1">
        <f t="array" ref="N536">_xlfn.XLOOKUP(TRIM(D536),TRIM(DFC!A:A),DFC!A:A,"NÃO ESTÁ NA DFC")</f>
        <v xml:space="preserve">          OUTRAS DESPESAS ADMINISTRATIVAS</v>
      </c>
    </row>
    <row r="537" spans="1:14" customFormat="1" ht="28.8" x14ac:dyDescent="0.3">
      <c r="A537" s="19"/>
      <c r="B537" s="21">
        <v>45974</v>
      </c>
      <c r="C537" s="280" t="s">
        <v>202</v>
      </c>
      <c r="D537" s="21" t="s">
        <v>19</v>
      </c>
      <c r="E537" s="20"/>
      <c r="F537" s="22" t="s">
        <v>204</v>
      </c>
      <c r="G537" s="252">
        <v>13968.039999999999</v>
      </c>
      <c r="H537" s="1"/>
      <c r="I537" s="1">
        <f>COUNTIF(Tabela1[NF],Tabela1[[#This Row],[NF]])</f>
        <v>0</v>
      </c>
      <c r="K537" s="26">
        <v>45974</v>
      </c>
      <c r="N537" s="14" t="str" cm="1">
        <f t="array" ref="N537">_xlfn.XLOOKUP(TRIM(D537),TRIM(DFC!A:A),DFC!A:A,"NÃO ESTÁ NA DFC")</f>
        <v xml:space="preserve">      PEÇAS</v>
      </c>
    </row>
    <row r="538" spans="1:14" customFormat="1" ht="14.4" x14ac:dyDescent="0.3">
      <c r="A538" s="24"/>
      <c r="B538" s="21">
        <v>45975</v>
      </c>
      <c r="C538" s="21" t="s">
        <v>15</v>
      </c>
      <c r="D538" s="21" t="s">
        <v>19</v>
      </c>
      <c r="E538" s="20" t="s">
        <v>370</v>
      </c>
      <c r="F538" s="22" t="s">
        <v>161</v>
      </c>
      <c r="G538" s="252">
        <v>380</v>
      </c>
      <c r="H538" s="1"/>
      <c r="I538" s="1">
        <f>COUNTIF(Tabela1[NF],Tabela1[[#This Row],[NF]])</f>
        <v>0</v>
      </c>
      <c r="K538" s="26">
        <f>Tabela1[[#This Row],[DT. VENCIMENTO]]</f>
        <v>45975</v>
      </c>
      <c r="N538" s="14" t="str" cm="1">
        <f t="array" ref="N538">_xlfn.XLOOKUP(TRIM(D538),TRIM(DFC!A:A),DFC!A:A,"NÃO ESTÁ NA DFC")</f>
        <v xml:space="preserve">      PEÇAS</v>
      </c>
    </row>
    <row r="539" spans="1:14" customFormat="1" ht="14.4" x14ac:dyDescent="0.3">
      <c r="A539" s="24"/>
      <c r="B539" s="21">
        <v>45975</v>
      </c>
      <c r="C539" s="21" t="s">
        <v>15</v>
      </c>
      <c r="D539" s="21" t="s">
        <v>19</v>
      </c>
      <c r="E539" s="20" t="s">
        <v>371</v>
      </c>
      <c r="F539" s="22" t="s">
        <v>372</v>
      </c>
      <c r="G539" s="252">
        <v>7333.33</v>
      </c>
      <c r="H539" s="1"/>
      <c r="I539" s="1">
        <f>COUNTIF(Tabela1[NF],Tabela1[[#This Row],[NF]])</f>
        <v>0</v>
      </c>
      <c r="K539" s="26">
        <f>Tabela1[[#This Row],[DT. VENCIMENTO]]</f>
        <v>45975</v>
      </c>
      <c r="N539" s="14" t="str" cm="1">
        <f t="array" ref="N539">_xlfn.XLOOKUP(TRIM(D539),TRIM(DFC!A:A),DFC!A:A,"NÃO ESTÁ NA DFC")</f>
        <v xml:space="preserve">      PEÇAS</v>
      </c>
    </row>
    <row r="540" spans="1:14" customFormat="1" ht="14.4" x14ac:dyDescent="0.3">
      <c r="A540" s="24"/>
      <c r="B540" s="21">
        <v>45975</v>
      </c>
      <c r="C540" s="21" t="s">
        <v>15</v>
      </c>
      <c r="D540" s="21" t="s">
        <v>19</v>
      </c>
      <c r="E540" s="20"/>
      <c r="F540" s="22" t="s">
        <v>300</v>
      </c>
      <c r="G540" s="252">
        <v>1863.88</v>
      </c>
      <c r="H540" s="1"/>
      <c r="I540" s="1">
        <f>COUNTIF(Tabela1[NF],Tabela1[[#This Row],[NF]])</f>
        <v>0</v>
      </c>
      <c r="K540" s="26">
        <f>Tabela1[[#This Row],[DT. VENCIMENTO]]</f>
        <v>45975</v>
      </c>
      <c r="N540" s="14" t="str" cm="1">
        <f t="array" ref="N540">_xlfn.XLOOKUP(TRIM(D540),TRIM(DFC!A:A),DFC!A:A,"NÃO ESTÁ NA DFC")</f>
        <v xml:space="preserve">      PEÇAS</v>
      </c>
    </row>
    <row r="541" spans="1:14" customFormat="1" ht="14.4" x14ac:dyDescent="0.3">
      <c r="A541" s="24"/>
      <c r="B541" s="21">
        <v>45975</v>
      </c>
      <c r="C541" s="21" t="s">
        <v>15</v>
      </c>
      <c r="D541" s="21" t="s">
        <v>19</v>
      </c>
      <c r="E541" s="20"/>
      <c r="F541" s="22" t="s">
        <v>298</v>
      </c>
      <c r="G541" s="252">
        <v>1573.82</v>
      </c>
      <c r="H541" s="1"/>
      <c r="I541" s="1">
        <f>COUNTIF(Tabela1[NF],Tabela1[[#This Row],[NF]])</f>
        <v>0</v>
      </c>
      <c r="K541" s="26">
        <f>Tabela1[[#This Row],[DT. VENCIMENTO]]</f>
        <v>45975</v>
      </c>
      <c r="N541" s="14" t="str" cm="1">
        <f t="array" ref="N541">_xlfn.XLOOKUP(TRIM(D541),TRIM(DFC!A:A),DFC!A:A,"NÃO ESTÁ NA DFC")</f>
        <v xml:space="preserve">      PEÇAS</v>
      </c>
    </row>
    <row r="542" spans="1:14" customFormat="1" ht="14.4" x14ac:dyDescent="0.3">
      <c r="A542" s="24"/>
      <c r="B542" s="21">
        <v>45975</v>
      </c>
      <c r="C542" s="21" t="s">
        <v>15</v>
      </c>
      <c r="D542" s="21" t="s">
        <v>154</v>
      </c>
      <c r="E542" s="20"/>
      <c r="F542" s="22" t="s">
        <v>130</v>
      </c>
      <c r="G542" s="252">
        <v>3669.75</v>
      </c>
      <c r="H542" s="1"/>
      <c r="I542" s="1">
        <f>COUNTIF(Tabela1[NF],Tabela1[[#This Row],[NF]])</f>
        <v>0</v>
      </c>
      <c r="K542" s="26">
        <f>Tabela1[[#This Row],[DT. VENCIMENTO]]</f>
        <v>45975</v>
      </c>
      <c r="N542" s="14" t="str" cm="1">
        <f t="array" ref="N542">_xlfn.XLOOKUP(TRIM(D542),TRIM(DFC!A:A),DFC!A:A,"NÃO ESTÁ NA DFC")</f>
        <v xml:space="preserve">      EMBALAGENS</v>
      </c>
    </row>
    <row r="543" spans="1:14" customFormat="1" ht="14.4" x14ac:dyDescent="0.3">
      <c r="A543" s="24"/>
      <c r="B543" s="21">
        <v>45975</v>
      </c>
      <c r="C543" s="21" t="s">
        <v>15</v>
      </c>
      <c r="D543" s="21" t="s">
        <v>19</v>
      </c>
      <c r="E543" s="20"/>
      <c r="F543" s="22" t="s">
        <v>210</v>
      </c>
      <c r="G543" s="252">
        <v>3086.82</v>
      </c>
      <c r="H543" s="1"/>
      <c r="I543" s="1">
        <f>COUNTIF(Tabela1[NF],Tabela1[[#This Row],[NF]])</f>
        <v>0</v>
      </c>
      <c r="K543" s="26">
        <f>Tabela1[[#This Row],[DT. VENCIMENTO]]</f>
        <v>45975</v>
      </c>
      <c r="N543" s="14" t="str" cm="1">
        <f t="array" ref="N543">_xlfn.XLOOKUP(TRIM(D543),TRIM(DFC!A:A),DFC!A:A,"NÃO ESTÁ NA DFC")</f>
        <v xml:space="preserve">      PEÇAS</v>
      </c>
    </row>
    <row r="544" spans="1:14" customFormat="1" ht="14.4" x14ac:dyDescent="0.3">
      <c r="A544" s="24"/>
      <c r="B544" s="21">
        <v>45975</v>
      </c>
      <c r="C544" s="21" t="s">
        <v>15</v>
      </c>
      <c r="D544" s="21" t="s">
        <v>19</v>
      </c>
      <c r="E544" s="20"/>
      <c r="F544" s="22" t="s">
        <v>298</v>
      </c>
      <c r="G544" s="252">
        <v>674.5</v>
      </c>
      <c r="H544" s="1"/>
      <c r="I544" s="1">
        <f>COUNTIF(Tabela1[NF],Tabela1[[#This Row],[NF]])</f>
        <v>0</v>
      </c>
      <c r="K544" s="26">
        <f>Tabela1[[#This Row],[DT. VENCIMENTO]]</f>
        <v>45975</v>
      </c>
      <c r="N544" s="14" t="str" cm="1">
        <f t="array" ref="N544">_xlfn.XLOOKUP(TRIM(D544),TRIM(DFC!A:A),DFC!A:A,"NÃO ESTÁ NA DFC")</f>
        <v xml:space="preserve">      PEÇAS</v>
      </c>
    </row>
    <row r="545" spans="1:14" customFormat="1" ht="14.4" x14ac:dyDescent="0.3">
      <c r="A545" s="24"/>
      <c r="B545" s="21">
        <v>45975</v>
      </c>
      <c r="C545" s="21" t="s">
        <v>15</v>
      </c>
      <c r="D545" s="21" t="s">
        <v>19</v>
      </c>
      <c r="E545" s="20"/>
      <c r="F545" s="22" t="s">
        <v>303</v>
      </c>
      <c r="G545" s="252">
        <v>185.87</v>
      </c>
      <c r="H545" s="1"/>
      <c r="I545" s="1">
        <f>COUNTIF(Tabela1[NF],Tabela1[[#This Row],[NF]])</f>
        <v>0</v>
      </c>
      <c r="K545" s="26">
        <f>Tabela1[[#This Row],[DT. VENCIMENTO]]</f>
        <v>45975</v>
      </c>
      <c r="N545" s="14" t="str" cm="1">
        <f t="array" ref="N545">_xlfn.XLOOKUP(TRIM(D545),TRIM(DFC!A:A),DFC!A:A,"NÃO ESTÁ NA DFC")</f>
        <v xml:space="preserve">      PEÇAS</v>
      </c>
    </row>
    <row r="546" spans="1:14" customFormat="1" ht="14.4" x14ac:dyDescent="0.3">
      <c r="A546" s="24"/>
      <c r="B546" s="21">
        <v>45975</v>
      </c>
      <c r="C546" s="21" t="s">
        <v>15</v>
      </c>
      <c r="D546" s="21" t="s">
        <v>19</v>
      </c>
      <c r="E546" s="20"/>
      <c r="F546" s="22" t="s">
        <v>303</v>
      </c>
      <c r="G546" s="252">
        <v>846.1</v>
      </c>
      <c r="H546" s="1"/>
      <c r="I546" s="1">
        <f>COUNTIF(Tabela1[NF],Tabela1[[#This Row],[NF]])</f>
        <v>0</v>
      </c>
      <c r="K546" s="26">
        <f>Tabela1[[#This Row],[DT. VENCIMENTO]]</f>
        <v>45975</v>
      </c>
      <c r="N546" s="14" t="str" cm="1">
        <f t="array" ref="N546">_xlfn.XLOOKUP(TRIM(D546),TRIM(DFC!A:A),DFC!A:A,"NÃO ESTÁ NA DFC")</f>
        <v xml:space="preserve">      PEÇAS</v>
      </c>
    </row>
    <row r="547" spans="1:14" customFormat="1" ht="14.4" x14ac:dyDescent="0.3">
      <c r="A547" s="24"/>
      <c r="B547" s="21">
        <v>45975</v>
      </c>
      <c r="C547" s="21" t="s">
        <v>15</v>
      </c>
      <c r="D547" s="21" t="s">
        <v>82</v>
      </c>
      <c r="E547" s="20"/>
      <c r="F547" s="22" t="s">
        <v>373</v>
      </c>
      <c r="G547" s="252">
        <v>100</v>
      </c>
      <c r="H547" s="1"/>
      <c r="I547" s="1">
        <f>COUNTIF(Tabela1[NF],Tabela1[[#This Row],[NF]])</f>
        <v>0</v>
      </c>
      <c r="K547" s="26">
        <f>Tabela1[[#This Row],[DT. VENCIMENTO]]</f>
        <v>45975</v>
      </c>
      <c r="N547" s="14" t="str" cm="1">
        <f t="array" ref="N547">_xlfn.XLOOKUP(TRIM(D547),TRIM(DFC!A:A),DFC!A:A,"NÃO ESTÁ NA DFC")</f>
        <v xml:space="preserve">          DIÁRIAS</v>
      </c>
    </row>
    <row r="548" spans="1:14" customFormat="1" ht="14.4" x14ac:dyDescent="0.3">
      <c r="A548" s="24"/>
      <c r="B548" s="21">
        <v>45975</v>
      </c>
      <c r="C548" s="21" t="s">
        <v>15</v>
      </c>
      <c r="D548" s="21" t="s">
        <v>82</v>
      </c>
      <c r="E548" s="20"/>
      <c r="F548" s="22" t="s">
        <v>374</v>
      </c>
      <c r="G548" s="252">
        <v>362.5</v>
      </c>
      <c r="H548" s="1"/>
      <c r="I548" s="1">
        <f>COUNTIF(Tabela1[NF],Tabela1[[#This Row],[NF]])</f>
        <v>0</v>
      </c>
      <c r="K548" s="26">
        <f>Tabela1[[#This Row],[DT. VENCIMENTO]]</f>
        <v>45975</v>
      </c>
      <c r="N548" s="14" t="str" cm="1">
        <f t="array" ref="N548">_xlfn.XLOOKUP(TRIM(D548),TRIM(DFC!A:A),DFC!A:A,"NÃO ESTÁ NA DFC")</f>
        <v xml:space="preserve">          DIÁRIAS</v>
      </c>
    </row>
    <row r="549" spans="1:14" customFormat="1" ht="14.4" x14ac:dyDescent="0.3">
      <c r="A549" s="24"/>
      <c r="B549" s="21">
        <v>45975</v>
      </c>
      <c r="C549" s="21" t="s">
        <v>15</v>
      </c>
      <c r="D549" s="21" t="s">
        <v>82</v>
      </c>
      <c r="E549" s="20"/>
      <c r="F549" s="22" t="s">
        <v>354</v>
      </c>
      <c r="G549" s="252">
        <v>519.79</v>
      </c>
      <c r="H549" s="1"/>
      <c r="I549" s="1">
        <f>COUNTIF(Tabela1[NF],Tabela1[[#This Row],[NF]])</f>
        <v>0</v>
      </c>
      <c r="K549" s="26">
        <f>Tabela1[[#This Row],[DT. VENCIMENTO]]</f>
        <v>45975</v>
      </c>
      <c r="N549" s="14" t="str" cm="1">
        <f t="array" ref="N549">_xlfn.XLOOKUP(TRIM(D549),TRIM(DFC!A:A),DFC!A:A,"NÃO ESTÁ NA DFC")</f>
        <v xml:space="preserve">          DIÁRIAS</v>
      </c>
    </row>
    <row r="550" spans="1:14" customFormat="1" ht="14.4" x14ac:dyDescent="0.3">
      <c r="A550" s="24"/>
      <c r="B550" s="21">
        <v>45975</v>
      </c>
      <c r="C550" s="21" t="s">
        <v>15</v>
      </c>
      <c r="D550" s="21" t="s">
        <v>82</v>
      </c>
      <c r="E550" s="20"/>
      <c r="F550" s="22" t="s">
        <v>347</v>
      </c>
      <c r="G550" s="252">
        <v>500</v>
      </c>
      <c r="H550" s="1"/>
      <c r="I550" s="1">
        <f>COUNTIF(Tabela1[NF],Tabela1[[#This Row],[NF]])</f>
        <v>0</v>
      </c>
      <c r="K550" s="26">
        <f>Tabela1[[#This Row],[DT. VENCIMENTO]]</f>
        <v>45975</v>
      </c>
      <c r="N550" s="14" t="str" cm="1">
        <f t="array" ref="N550">_xlfn.XLOOKUP(TRIM(D550),TRIM(DFC!A:A),DFC!A:A,"NÃO ESTÁ NA DFC")</f>
        <v xml:space="preserve">          DIÁRIAS</v>
      </c>
    </row>
    <row r="551" spans="1:14" customFormat="1" ht="14.4" x14ac:dyDescent="0.3">
      <c r="A551" s="24"/>
      <c r="B551" s="21">
        <v>45975</v>
      </c>
      <c r="C551" s="21" t="s">
        <v>15</v>
      </c>
      <c r="D551" s="21" t="s">
        <v>82</v>
      </c>
      <c r="E551" s="20"/>
      <c r="F551" s="22" t="s">
        <v>353</v>
      </c>
      <c r="G551" s="252">
        <v>431.25</v>
      </c>
      <c r="H551" s="1"/>
      <c r="I551" s="1">
        <f>COUNTIF(Tabela1[NF],Tabela1[[#This Row],[NF]])</f>
        <v>0</v>
      </c>
      <c r="K551" s="26">
        <f>Tabela1[[#This Row],[DT. VENCIMENTO]]</f>
        <v>45975</v>
      </c>
      <c r="N551" s="14" t="str" cm="1">
        <f t="array" ref="N551">_xlfn.XLOOKUP(TRIM(D551),TRIM(DFC!A:A),DFC!A:A,"NÃO ESTÁ NA DFC")</f>
        <v xml:space="preserve">          DIÁRIAS</v>
      </c>
    </row>
    <row r="552" spans="1:14" customFormat="1" ht="14.4" x14ac:dyDescent="0.3">
      <c r="A552" s="24">
        <v>432952</v>
      </c>
      <c r="B552" s="21">
        <v>45975</v>
      </c>
      <c r="C552" s="21" t="s">
        <v>15</v>
      </c>
      <c r="D552" s="21" t="s">
        <v>19</v>
      </c>
      <c r="E552" s="20"/>
      <c r="F552" s="22" t="s">
        <v>24</v>
      </c>
      <c r="G552" s="252">
        <v>20729</v>
      </c>
      <c r="H552" s="1"/>
      <c r="I552" s="1">
        <f>COUNTIF(Tabela1[NF],Tabela1[[#This Row],[NF]])</f>
        <v>2</v>
      </c>
      <c r="K552" s="26">
        <f>Tabela1[[#This Row],[DT. VENCIMENTO]]</f>
        <v>45975</v>
      </c>
      <c r="N552" s="14" t="str" cm="1">
        <f t="array" ref="N552">_xlfn.XLOOKUP(TRIM(D552),TRIM(DFC!A:A),DFC!A:A,"NÃO ESTÁ NA DFC")</f>
        <v xml:space="preserve">      PEÇAS</v>
      </c>
    </row>
    <row r="553" spans="1:14" customFormat="1" ht="14.4" x14ac:dyDescent="0.3">
      <c r="A553" s="19">
        <v>445170</v>
      </c>
      <c r="B553" s="21">
        <v>45975</v>
      </c>
      <c r="C553" s="21" t="s">
        <v>15</v>
      </c>
      <c r="D553" s="21" t="s">
        <v>19</v>
      </c>
      <c r="E553" s="20"/>
      <c r="F553" s="22" t="s">
        <v>24</v>
      </c>
      <c r="G553" s="252">
        <v>651</v>
      </c>
      <c r="H553" s="1"/>
      <c r="I553" s="1">
        <f>COUNTIF(Tabela1[NF],Tabela1[[#This Row],[NF]])</f>
        <v>4</v>
      </c>
      <c r="K553" s="26">
        <f>Tabela1[[#This Row],[DT. VENCIMENTO]]</f>
        <v>45975</v>
      </c>
      <c r="N553" s="14" t="str" cm="1">
        <f t="array" ref="N553">_xlfn.XLOOKUP(TRIM(D553),TRIM(DFC!A:A),DFC!A:A,"NÃO ESTÁ NA DFC")</f>
        <v xml:space="preserve">      PEÇAS</v>
      </c>
    </row>
    <row r="554" spans="1:14" customFormat="1" ht="14.4" x14ac:dyDescent="0.3">
      <c r="A554" s="24"/>
      <c r="B554" s="21">
        <v>45978</v>
      </c>
      <c r="C554" s="21" t="s">
        <v>15</v>
      </c>
      <c r="D554" s="21" t="s">
        <v>107</v>
      </c>
      <c r="E554" s="20" t="s">
        <v>229</v>
      </c>
      <c r="F554" s="22" t="s">
        <v>230</v>
      </c>
      <c r="G554" s="252">
        <v>4586.54</v>
      </c>
      <c r="H554" s="1"/>
      <c r="I554" s="1">
        <f>COUNTIF(Tabela1[NF],Tabela1[[#This Row],[NF]])</f>
        <v>0</v>
      </c>
      <c r="K554" s="26">
        <f>Tabela1[[#This Row],[DT. VENCIMENTO]]</f>
        <v>45978</v>
      </c>
      <c r="N554" s="14" t="str" cm="1">
        <f t="array" ref="N554">_xlfn.XLOOKUP(TRIM(D554),TRIM(DFC!A:A),DFC!A:A,"NÃO ESTÁ NA DFC")</f>
        <v xml:space="preserve">          PRÓ LABORE </v>
      </c>
    </row>
    <row r="555" spans="1:14" customFormat="1" ht="13.95" customHeight="1" x14ac:dyDescent="0.3">
      <c r="A555" s="24"/>
      <c r="B555" s="21">
        <v>45978</v>
      </c>
      <c r="C555" s="21" t="s">
        <v>15</v>
      </c>
      <c r="D555" s="21" t="s">
        <v>142</v>
      </c>
      <c r="E555" s="20" t="s">
        <v>375</v>
      </c>
      <c r="F555" s="22" t="s">
        <v>376</v>
      </c>
      <c r="G555" s="252">
        <v>1247</v>
      </c>
      <c r="H555" s="1"/>
      <c r="I555" s="1">
        <f>COUNTIF(Tabela1[NF],Tabela1[[#This Row],[NF]])</f>
        <v>0</v>
      </c>
      <c r="K555" s="26">
        <f>Tabela1[[#This Row],[DT. VENCIMENTO]]</f>
        <v>45978</v>
      </c>
      <c r="N555" s="14" t="str" cm="1">
        <f t="array" ref="N555">_xlfn.XLOOKUP(TRIM(D555),TRIM(DFC!A:A),DFC!A:A,"NÃO ESTÁ NA DFC")</f>
        <v xml:space="preserve">          UNIFORMES GOTT</v>
      </c>
    </row>
    <row r="556" spans="1:14" customFormat="1" ht="14.4" x14ac:dyDescent="0.3">
      <c r="A556" s="24"/>
      <c r="B556" s="21">
        <v>45978</v>
      </c>
      <c r="C556" s="21" t="s">
        <v>15</v>
      </c>
      <c r="D556" s="21" t="s">
        <v>154</v>
      </c>
      <c r="E556" s="20" t="s">
        <v>377</v>
      </c>
      <c r="F556" s="22" t="s">
        <v>378</v>
      </c>
      <c r="G556" s="252">
        <v>349.8</v>
      </c>
      <c r="H556" s="1"/>
      <c r="I556" s="1">
        <f>COUNTIF(Tabela1[NF],Tabela1[[#This Row],[NF]])</f>
        <v>0</v>
      </c>
      <c r="K556" s="26">
        <f>Tabela1[[#This Row],[DT. VENCIMENTO]]</f>
        <v>45978</v>
      </c>
      <c r="N556" s="14" t="str" cm="1">
        <f t="array" ref="N556">_xlfn.XLOOKUP(TRIM(D556),TRIM(DFC!A:A),DFC!A:A,"NÃO ESTÁ NA DFC")</f>
        <v xml:space="preserve">      EMBALAGENS</v>
      </c>
    </row>
    <row r="557" spans="1:14" customFormat="1" ht="14.4" x14ac:dyDescent="0.3">
      <c r="A557" s="24"/>
      <c r="B557" s="21">
        <v>45978</v>
      </c>
      <c r="C557" s="21" t="s">
        <v>15</v>
      </c>
      <c r="D557" s="21" t="s">
        <v>72</v>
      </c>
      <c r="E557" s="20" t="s">
        <v>379</v>
      </c>
      <c r="F557" s="22" t="s">
        <v>380</v>
      </c>
      <c r="G557" s="252">
        <v>627.79</v>
      </c>
      <c r="H557" s="1"/>
      <c r="I557" s="1">
        <f>COUNTIF(Tabela1[NF],Tabela1[[#This Row],[NF]])</f>
        <v>0</v>
      </c>
      <c r="K557" s="26">
        <f>Tabela1[[#This Row],[DT. VENCIMENTO]]</f>
        <v>45978</v>
      </c>
      <c r="N557" s="14" t="str" cm="1">
        <f t="array" ref="N557">_xlfn.XLOOKUP(TRIM(D557),TRIM(DFC!A:A),DFC!A:A,"NÃO ESTÁ NA DFC")</f>
        <v xml:space="preserve">          COMBUSTÍVEL</v>
      </c>
    </row>
    <row r="558" spans="1:14" customFormat="1" ht="14.4" x14ac:dyDescent="0.3">
      <c r="A558" s="24"/>
      <c r="B558" s="21">
        <v>45978</v>
      </c>
      <c r="C558" s="21" t="s">
        <v>15</v>
      </c>
      <c r="D558" s="21" t="s">
        <v>215</v>
      </c>
      <c r="E558" s="20"/>
      <c r="F558" s="22" t="s">
        <v>381</v>
      </c>
      <c r="G558" s="252">
        <v>603.34</v>
      </c>
      <c r="H558" s="1"/>
      <c r="I558" s="1">
        <f>COUNTIF(Tabela1[NF],Tabela1[[#This Row],[NF]])</f>
        <v>0</v>
      </c>
      <c r="K558" s="26">
        <f>Tabela1[[#This Row],[DT. VENCIMENTO]]</f>
        <v>45978</v>
      </c>
      <c r="N558" s="14" t="str" cm="1">
        <f t="array" ref="N558">_xlfn.XLOOKUP(TRIM(D558),TRIM(DFC!A:A),DFC!A:A,"NÃO ESTÁ NA DFC")</f>
        <v xml:space="preserve">         DESIGNER GRAFICO</v>
      </c>
    </row>
    <row r="559" spans="1:14" customFormat="1" ht="14.4" x14ac:dyDescent="0.3">
      <c r="A559" s="24"/>
      <c r="B559" s="21">
        <v>45978</v>
      </c>
      <c r="C559" s="21" t="s">
        <v>15</v>
      </c>
      <c r="D559" s="84" t="s">
        <v>37</v>
      </c>
      <c r="E559" s="20"/>
      <c r="F559" s="22" t="s">
        <v>341</v>
      </c>
      <c r="G559" s="252">
        <v>23.85</v>
      </c>
      <c r="H559" s="1"/>
      <c r="I559" s="1">
        <f>COUNTIF(Tabela1[NF],Tabela1[[#This Row],[NF]])</f>
        <v>0</v>
      </c>
      <c r="K559" s="26">
        <f>Tabela1[[#This Row],[DT. VENCIMENTO]]</f>
        <v>45978</v>
      </c>
      <c r="N559" s="14" t="str" cm="1">
        <f t="array" ref="N559">_xlfn.XLOOKUP(TRIM(D559),TRIM(DFC!A:A),DFC!A:A,"NÃO ESTÁ NA DFC")</f>
        <v xml:space="preserve">          MATERIAL DE ESCRITÓRIO</v>
      </c>
    </row>
    <row r="560" spans="1:14" customFormat="1" ht="14.4" x14ac:dyDescent="0.3">
      <c r="A560" s="24"/>
      <c r="B560" s="21">
        <v>45978</v>
      </c>
      <c r="C560" s="21" t="s">
        <v>15</v>
      </c>
      <c r="D560" s="21" t="s">
        <v>225</v>
      </c>
      <c r="E560" s="20"/>
      <c r="F560" s="22" t="s">
        <v>226</v>
      </c>
      <c r="G560" s="252">
        <v>4053.4</v>
      </c>
      <c r="H560" s="1"/>
      <c r="I560" s="1">
        <f>COUNTIF(Tabela1[NF],Tabela1[[#This Row],[NF]])</f>
        <v>0</v>
      </c>
      <c r="K560" s="26">
        <f>Tabela1[[#This Row],[DT. VENCIMENTO]]</f>
        <v>45978</v>
      </c>
      <c r="N560" s="14" t="str" cm="1">
        <f t="array" ref="N560">_xlfn.XLOOKUP(TRIM(D560),TRIM(DFC!A:A),DFC!A:A,"NÃO ESTÁ NA DFC")</f>
        <v xml:space="preserve">     ANYMARKET TAXAS</v>
      </c>
    </row>
    <row r="561" spans="1:14" customFormat="1" ht="14.4" x14ac:dyDescent="0.3">
      <c r="A561" s="24"/>
      <c r="B561" s="21">
        <v>45978</v>
      </c>
      <c r="C561" s="21" t="s">
        <v>15</v>
      </c>
      <c r="D561" s="21" t="s">
        <v>232</v>
      </c>
      <c r="E561" s="20" t="s">
        <v>233</v>
      </c>
      <c r="F561" s="22" t="s">
        <v>234</v>
      </c>
      <c r="G561" s="252">
        <v>15970.83</v>
      </c>
      <c r="H561" s="1"/>
      <c r="I561" s="1">
        <f>COUNTIF(Tabela1[NF],Tabela1[[#This Row],[NF]])</f>
        <v>0</v>
      </c>
      <c r="K561" s="26">
        <f>Tabela1[[#This Row],[DT. VENCIMENTO]]</f>
        <v>45978</v>
      </c>
      <c r="N561" s="14" t="str" cm="1">
        <f t="array" ref="N561">_xlfn.XLOOKUP(TRIM(D561),TRIM(DFC!A:A),DFC!A:A,"NÃO ESTÁ NA DFC")</f>
        <v xml:space="preserve">          COMPRA DE MÁQUINA</v>
      </c>
    </row>
    <row r="562" spans="1:14" customFormat="1" ht="14.4" x14ac:dyDescent="0.3">
      <c r="A562" s="24"/>
      <c r="B562" s="21">
        <v>45978</v>
      </c>
      <c r="C562" s="21" t="s">
        <v>15</v>
      </c>
      <c r="D562" s="21" t="s">
        <v>19</v>
      </c>
      <c r="E562" s="20"/>
      <c r="F562" s="22" t="s">
        <v>382</v>
      </c>
      <c r="G562" s="252">
        <v>563.54999999999995</v>
      </c>
      <c r="H562" s="1"/>
      <c r="I562" s="1">
        <f>COUNTIF(Tabela1[NF],Tabela1[[#This Row],[NF]])</f>
        <v>0</v>
      </c>
      <c r="K562" s="26">
        <f>Tabela1[[#This Row],[DT. VENCIMENTO]]</f>
        <v>45978</v>
      </c>
      <c r="N562" s="14" t="str" cm="1">
        <f t="array" ref="N562">_xlfn.XLOOKUP(TRIM(D562),TRIM(DFC!A:A),DFC!A:A,"NÃO ESTÁ NA DFC")</f>
        <v xml:space="preserve">      PEÇAS</v>
      </c>
    </row>
    <row r="563" spans="1:14" customFormat="1" ht="14.4" x14ac:dyDescent="0.3">
      <c r="A563" s="24"/>
      <c r="B563" s="21">
        <v>45978</v>
      </c>
      <c r="C563" s="21" t="s">
        <v>15</v>
      </c>
      <c r="D563" s="21" t="s">
        <v>19</v>
      </c>
      <c r="E563" s="20"/>
      <c r="F563" s="22" t="s">
        <v>228</v>
      </c>
      <c r="G563" s="252">
        <v>6001.37</v>
      </c>
      <c r="H563" s="1"/>
      <c r="I563" s="1">
        <f>COUNTIF(Tabela1[NF],Tabela1[[#This Row],[NF]])</f>
        <v>0</v>
      </c>
      <c r="K563" s="26">
        <f>Tabela1[[#This Row],[DT. VENCIMENTO]]</f>
        <v>45978</v>
      </c>
      <c r="N563" s="14" t="str" cm="1">
        <f t="array" ref="N563">_xlfn.XLOOKUP(TRIM(D563),TRIM(DFC!A:A),DFC!A:A,"NÃO ESTÁ NA DFC")</f>
        <v xml:space="preserve">      PEÇAS</v>
      </c>
    </row>
    <row r="564" spans="1:14" customFormat="1" ht="14.4" x14ac:dyDescent="0.3">
      <c r="A564" s="24"/>
      <c r="B564" s="21">
        <v>45978</v>
      </c>
      <c r="C564" s="21" t="s">
        <v>15</v>
      </c>
      <c r="D564" s="21" t="s">
        <v>19</v>
      </c>
      <c r="E564" s="20"/>
      <c r="F564" s="22" t="s">
        <v>383</v>
      </c>
      <c r="G564" s="252">
        <v>12598.74</v>
      </c>
      <c r="H564" s="1"/>
      <c r="I564" s="1">
        <f>COUNTIF(Tabela1[NF],Tabela1[[#This Row],[NF]])</f>
        <v>0</v>
      </c>
      <c r="K564" s="26">
        <f>Tabela1[[#This Row],[DT. VENCIMENTO]]</f>
        <v>45978</v>
      </c>
      <c r="N564" s="14" t="str" cm="1">
        <f t="array" ref="N564">_xlfn.XLOOKUP(TRIM(D564),TRIM(DFC!A:A),DFC!A:A,"NÃO ESTÁ NA DFC")</f>
        <v xml:space="preserve">      PEÇAS</v>
      </c>
    </row>
    <row r="565" spans="1:14" customFormat="1" ht="14.4" x14ac:dyDescent="0.3">
      <c r="A565" s="24"/>
      <c r="B565" s="21">
        <v>45978</v>
      </c>
      <c r="C565" s="21" t="s">
        <v>15</v>
      </c>
      <c r="D565" s="21" t="s">
        <v>19</v>
      </c>
      <c r="E565" s="20"/>
      <c r="F565" s="22" t="s">
        <v>383</v>
      </c>
      <c r="G565" s="252">
        <v>1599.84</v>
      </c>
      <c r="H565" s="1"/>
      <c r="I565" s="1">
        <f>COUNTIF(Tabela1[NF],Tabela1[[#This Row],[NF]])</f>
        <v>0</v>
      </c>
      <c r="K565" s="26">
        <f>Tabela1[[#This Row],[DT. VENCIMENTO]]</f>
        <v>45978</v>
      </c>
      <c r="N565" s="14" t="str" cm="1">
        <f t="array" ref="N565">_xlfn.XLOOKUP(TRIM(D565),TRIM(DFC!A:A),DFC!A:A,"NÃO ESTÁ NA DFC")</f>
        <v xml:space="preserve">      PEÇAS</v>
      </c>
    </row>
    <row r="566" spans="1:14" customFormat="1" ht="14.4" x14ac:dyDescent="0.3">
      <c r="A566" s="24"/>
      <c r="B566" s="21">
        <v>45978</v>
      </c>
      <c r="C566" s="21" t="s">
        <v>15</v>
      </c>
      <c r="D566" s="21" t="s">
        <v>19</v>
      </c>
      <c r="E566" s="20"/>
      <c r="F566" s="22" t="s">
        <v>298</v>
      </c>
      <c r="G566" s="252">
        <v>1416.76</v>
      </c>
      <c r="H566" s="1"/>
      <c r="I566" s="1">
        <f>COUNTIF(Tabela1[NF],Tabela1[[#This Row],[NF]])</f>
        <v>0</v>
      </c>
      <c r="K566" s="26">
        <f>Tabela1[[#This Row],[DT. VENCIMENTO]]</f>
        <v>45978</v>
      </c>
      <c r="N566" s="14" t="str" cm="1">
        <f t="array" ref="N566">_xlfn.XLOOKUP(TRIM(D566),TRIM(DFC!A:A),DFC!A:A,"NÃO ESTÁ NA DFC")</f>
        <v xml:space="preserve">      PEÇAS</v>
      </c>
    </row>
    <row r="567" spans="1:14" customFormat="1" ht="14.4" x14ac:dyDescent="0.3">
      <c r="A567" s="24"/>
      <c r="B567" s="21">
        <v>45978</v>
      </c>
      <c r="C567" s="21" t="s">
        <v>15</v>
      </c>
      <c r="D567" s="21" t="s">
        <v>19</v>
      </c>
      <c r="E567" s="20"/>
      <c r="F567" s="22" t="s">
        <v>297</v>
      </c>
      <c r="G567" s="252">
        <v>1653.36</v>
      </c>
      <c r="H567" s="1"/>
      <c r="I567" s="1">
        <f>COUNTIF(Tabela1[NF],Tabela1[[#This Row],[NF]])</f>
        <v>0</v>
      </c>
      <c r="K567" s="26">
        <f>Tabela1[[#This Row],[DT. VENCIMENTO]]</f>
        <v>45978</v>
      </c>
      <c r="N567" s="14" t="str" cm="1">
        <f t="array" ref="N567">_xlfn.XLOOKUP(TRIM(D567),TRIM(DFC!A:A),DFC!A:A,"NÃO ESTÁ NA DFC")</f>
        <v xml:space="preserve">      PEÇAS</v>
      </c>
    </row>
    <row r="568" spans="1:14" customFormat="1" ht="14.4" x14ac:dyDescent="0.3">
      <c r="A568" s="24"/>
      <c r="B568" s="21">
        <v>45978</v>
      </c>
      <c r="C568" s="21" t="s">
        <v>15</v>
      </c>
      <c r="D568" s="21" t="s">
        <v>19</v>
      </c>
      <c r="E568" s="20"/>
      <c r="F568" s="22" t="s">
        <v>315</v>
      </c>
      <c r="G568" s="252">
        <v>5399.99</v>
      </c>
      <c r="H568" s="1"/>
      <c r="I568" s="1">
        <f>COUNTIF(Tabela1[NF],Tabela1[[#This Row],[NF]])</f>
        <v>0</v>
      </c>
      <c r="K568" s="26">
        <f>Tabela1[[#This Row],[DT. VENCIMENTO]]</f>
        <v>45978</v>
      </c>
      <c r="N568" s="14" t="str" cm="1">
        <f t="array" ref="N568">_xlfn.XLOOKUP(TRIM(D568),TRIM(DFC!A:A),DFC!A:A,"NÃO ESTÁ NA DFC")</f>
        <v xml:space="preserve">      PEÇAS</v>
      </c>
    </row>
    <row r="569" spans="1:14" customFormat="1" ht="14.4" x14ac:dyDescent="0.3">
      <c r="A569" s="24"/>
      <c r="B569" s="21">
        <v>45978</v>
      </c>
      <c r="C569" s="21" t="s">
        <v>15</v>
      </c>
      <c r="D569" s="21" t="s">
        <v>34</v>
      </c>
      <c r="E569" s="20"/>
      <c r="F569" s="22" t="s">
        <v>384</v>
      </c>
      <c r="G569" s="252">
        <v>149.9</v>
      </c>
      <c r="H569" s="1"/>
      <c r="I569" s="1">
        <f>COUNTIF(Tabela1[NF],Tabela1[[#This Row],[NF]])</f>
        <v>0</v>
      </c>
      <c r="K569" s="26">
        <f>Tabela1[[#This Row],[DT. VENCIMENTO]]</f>
        <v>45978</v>
      </c>
      <c r="N569" s="14" t="str" cm="1">
        <f t="array" ref="N569">_xlfn.XLOOKUP(TRIM(D569),TRIM(DFC!A:A),DFC!A:A,"NÃO ESTÁ NA DFC")</f>
        <v xml:space="preserve">          INTERNET</v>
      </c>
    </row>
    <row r="570" spans="1:14" customFormat="1" ht="14.4" x14ac:dyDescent="0.3">
      <c r="A570" s="24"/>
      <c r="B570" s="21">
        <v>45978</v>
      </c>
      <c r="C570" s="21" t="s">
        <v>15</v>
      </c>
      <c r="D570" s="21" t="s">
        <v>19</v>
      </c>
      <c r="E570" s="20"/>
      <c r="F570" s="22" t="s">
        <v>315</v>
      </c>
      <c r="G570" s="252">
        <v>1800</v>
      </c>
      <c r="H570" s="1"/>
      <c r="I570" s="1">
        <f>COUNTIF(Tabela1[NF],Tabela1[[#This Row],[NF]])</f>
        <v>0</v>
      </c>
      <c r="K570" s="26">
        <f>Tabela1[[#This Row],[DT. VENCIMENTO]]</f>
        <v>45978</v>
      </c>
      <c r="N570" s="14" t="str" cm="1">
        <f t="array" ref="N570">_xlfn.XLOOKUP(TRIM(D570),TRIM(DFC!A:A),DFC!A:A,"NÃO ESTÁ NA DFC")</f>
        <v xml:space="preserve">      PEÇAS</v>
      </c>
    </row>
    <row r="571" spans="1:14" customFormat="1" ht="14.4" x14ac:dyDescent="0.3">
      <c r="A571" s="24"/>
      <c r="B571" s="21">
        <v>45978</v>
      </c>
      <c r="C571" s="21" t="s">
        <v>15</v>
      </c>
      <c r="D571" s="21" t="s">
        <v>154</v>
      </c>
      <c r="E571" s="20"/>
      <c r="F571" s="22" t="s">
        <v>299</v>
      </c>
      <c r="G571" s="252">
        <v>2753.99</v>
      </c>
      <c r="H571" s="1"/>
      <c r="I571" s="1">
        <f>COUNTIF(Tabela1[NF],Tabela1[[#This Row],[NF]])</f>
        <v>0</v>
      </c>
      <c r="K571" s="26">
        <f>Tabela1[[#This Row],[DT. VENCIMENTO]]</f>
        <v>45978</v>
      </c>
      <c r="N571" s="14" t="str" cm="1">
        <f t="array" ref="N571">_xlfn.XLOOKUP(TRIM(D571),TRIM(DFC!A:A),DFC!A:A,"NÃO ESTÁ NA DFC")</f>
        <v xml:space="preserve">      EMBALAGENS</v>
      </c>
    </row>
    <row r="572" spans="1:14" customFormat="1" ht="14.4" x14ac:dyDescent="0.3">
      <c r="A572" s="24"/>
      <c r="B572" s="21">
        <v>45978</v>
      </c>
      <c r="C572" s="21" t="s">
        <v>15</v>
      </c>
      <c r="D572" s="21" t="s">
        <v>154</v>
      </c>
      <c r="E572" s="20"/>
      <c r="F572" s="22" t="s">
        <v>299</v>
      </c>
      <c r="G572" s="252">
        <v>830.35</v>
      </c>
      <c r="H572" s="1"/>
      <c r="I572" s="1">
        <f>COUNTIF(Tabela1[NF],Tabela1[[#This Row],[NF]])</f>
        <v>0</v>
      </c>
      <c r="K572" s="26">
        <f>Tabela1[[#This Row],[DT. VENCIMENTO]]</f>
        <v>45978</v>
      </c>
      <c r="N572" s="14" t="str" cm="1">
        <f t="array" ref="N572">_xlfn.XLOOKUP(TRIM(D572),TRIM(DFC!A:A),DFC!A:A,"NÃO ESTÁ NA DFC")</f>
        <v xml:space="preserve">      EMBALAGENS</v>
      </c>
    </row>
    <row r="573" spans="1:14" customFormat="1" ht="14.4" x14ac:dyDescent="0.3">
      <c r="A573" s="24"/>
      <c r="B573" s="21">
        <v>45978</v>
      </c>
      <c r="C573" s="21" t="s">
        <v>15</v>
      </c>
      <c r="D573" s="21" t="s">
        <v>19</v>
      </c>
      <c r="E573" s="20"/>
      <c r="F573" s="22" t="s">
        <v>228</v>
      </c>
      <c r="G573" s="252">
        <v>1325.81</v>
      </c>
      <c r="H573" s="1"/>
      <c r="I573" s="1">
        <f>COUNTIF(Tabela1[NF],Tabela1[[#This Row],[NF]])</f>
        <v>0</v>
      </c>
      <c r="K573" s="26">
        <f>Tabela1[[#This Row],[DT. VENCIMENTO]]</f>
        <v>45978</v>
      </c>
      <c r="N573" s="14" t="str" cm="1">
        <f t="array" ref="N573">_xlfn.XLOOKUP(TRIM(D573),TRIM(DFC!A:A),DFC!A:A,"NÃO ESTÁ NA DFC")</f>
        <v xml:space="preserve">      PEÇAS</v>
      </c>
    </row>
    <row r="574" spans="1:14" customFormat="1" ht="14.4" x14ac:dyDescent="0.3">
      <c r="A574" s="24"/>
      <c r="B574" s="21">
        <v>45978</v>
      </c>
      <c r="C574" s="21" t="s">
        <v>15</v>
      </c>
      <c r="D574" s="21" t="s">
        <v>19</v>
      </c>
      <c r="E574" s="20"/>
      <c r="F574" s="22" t="s">
        <v>228</v>
      </c>
      <c r="G574" s="252">
        <v>6762.7</v>
      </c>
      <c r="H574" s="1"/>
      <c r="I574" s="1">
        <f>COUNTIF(Tabela1[NF],Tabela1[[#This Row],[NF]])</f>
        <v>0</v>
      </c>
      <c r="K574" s="26">
        <f>Tabela1[[#This Row],[DT. VENCIMENTO]]</f>
        <v>45978</v>
      </c>
      <c r="N574" s="14" t="str" cm="1">
        <f t="array" ref="N574">_xlfn.XLOOKUP(TRIM(D574),TRIM(DFC!A:A),DFC!A:A,"NÃO ESTÁ NA DFC")</f>
        <v xml:space="preserve">      PEÇAS</v>
      </c>
    </row>
    <row r="575" spans="1:14" customFormat="1" ht="14.4" x14ac:dyDescent="0.3">
      <c r="A575" s="19">
        <v>621001</v>
      </c>
      <c r="B575" s="21">
        <v>45978</v>
      </c>
      <c r="C575" s="21" t="s">
        <v>15</v>
      </c>
      <c r="D575" s="21" t="s">
        <v>19</v>
      </c>
      <c r="E575" s="20"/>
      <c r="F575" s="22" t="s">
        <v>310</v>
      </c>
      <c r="G575" s="252">
        <v>390.9</v>
      </c>
      <c r="H575" s="1"/>
      <c r="I575" s="1">
        <f>COUNTIF(Tabela1[NF],Tabela1[[#This Row],[NF]])</f>
        <v>3</v>
      </c>
      <c r="K575" s="26">
        <f>Tabela1[[#This Row],[DT. VENCIMENTO]]</f>
        <v>45978</v>
      </c>
      <c r="N575" s="14" t="str" cm="1">
        <f t="array" ref="N575">_xlfn.XLOOKUP(TRIM(D575),TRIM(DFC!A:A),DFC!A:A,"NÃO ESTÁ NA DFC")</f>
        <v xml:space="preserve">      PEÇAS</v>
      </c>
    </row>
    <row r="576" spans="1:14" customFormat="1" ht="14.4" x14ac:dyDescent="0.3">
      <c r="A576" s="19">
        <v>452292</v>
      </c>
      <c r="B576" s="21">
        <v>45978</v>
      </c>
      <c r="C576" s="21" t="s">
        <v>15</v>
      </c>
      <c r="D576" s="21" t="s">
        <v>19</v>
      </c>
      <c r="E576" s="20"/>
      <c r="F576" s="22" t="s">
        <v>30</v>
      </c>
      <c r="G576" s="252">
        <v>6745.1</v>
      </c>
      <c r="H576" s="1"/>
      <c r="I576" s="1">
        <f>COUNTIF(Tabela1[NF],Tabela1[[#This Row],[NF]])</f>
        <v>3</v>
      </c>
      <c r="K576" s="26">
        <f>Tabela1[[#This Row],[DT. VENCIMENTO]]</f>
        <v>45978</v>
      </c>
      <c r="N576" s="14" t="str" cm="1">
        <f t="array" ref="N576">_xlfn.XLOOKUP(TRIM(D576),TRIM(DFC!A:A),DFC!A:A,"NÃO ESTÁ NA DFC")</f>
        <v xml:space="preserve">      PEÇAS</v>
      </c>
    </row>
    <row r="577" spans="1:14" customFormat="1" ht="14.4" x14ac:dyDescent="0.3">
      <c r="A577" s="19">
        <v>438751</v>
      </c>
      <c r="B577" s="21">
        <v>45978</v>
      </c>
      <c r="C577" s="21" t="s">
        <v>15</v>
      </c>
      <c r="D577" s="21" t="s">
        <v>19</v>
      </c>
      <c r="E577" s="20"/>
      <c r="F577" s="22" t="s">
        <v>24</v>
      </c>
      <c r="G577" s="252">
        <v>1138</v>
      </c>
      <c r="H577" s="1"/>
      <c r="I577" s="1">
        <f>COUNTIF(Tabela1[NF],Tabela1[[#This Row],[NF]])</f>
        <v>4</v>
      </c>
      <c r="K577" s="26">
        <f>Tabela1[[#This Row],[DT. VENCIMENTO]]</f>
        <v>45978</v>
      </c>
      <c r="N577" s="14" t="str" cm="1">
        <f t="array" ref="N577">_xlfn.XLOOKUP(TRIM(D577),TRIM(DFC!A:A),DFC!A:A,"NÃO ESTÁ NA DFC")</f>
        <v xml:space="preserve">      PEÇAS</v>
      </c>
    </row>
    <row r="578" spans="1:14" customFormat="1" ht="14.4" x14ac:dyDescent="0.3">
      <c r="A578" s="24"/>
      <c r="B578" s="21">
        <v>45979</v>
      </c>
      <c r="C578" s="21" t="s">
        <v>15</v>
      </c>
      <c r="D578" s="21" t="s">
        <v>156</v>
      </c>
      <c r="E578" s="20" t="s">
        <v>157</v>
      </c>
      <c r="F578" s="22" t="s">
        <v>314</v>
      </c>
      <c r="G578" s="252">
        <v>1822.5</v>
      </c>
      <c r="H578" s="1"/>
      <c r="I578" s="1">
        <f>COUNTIF(Tabela1[NF],Tabela1[[#This Row],[NF]])</f>
        <v>0</v>
      </c>
      <c r="K578" s="26">
        <f>Tabela1[[#This Row],[DT. VENCIMENTO]]</f>
        <v>45979</v>
      </c>
      <c r="N578" s="14" t="str" cm="1">
        <f t="array" ref="N578">_xlfn.XLOOKUP(TRIM(D578),TRIM(DFC!A:A),DFC!A:A,"NÃO ESTÁ NA DFC")</f>
        <v xml:space="preserve">      MONTAGEM DE RODAS</v>
      </c>
    </row>
    <row r="579" spans="1:14" customFormat="1" ht="14.4" x14ac:dyDescent="0.3">
      <c r="A579" s="24"/>
      <c r="B579" s="21">
        <v>45979</v>
      </c>
      <c r="C579" s="21" t="s">
        <v>15</v>
      </c>
      <c r="D579" s="21" t="s">
        <v>82</v>
      </c>
      <c r="E579" s="20"/>
      <c r="F579" s="22" t="s">
        <v>349</v>
      </c>
      <c r="G579" s="252">
        <v>459.17</v>
      </c>
      <c r="H579" s="1"/>
      <c r="I579" s="1">
        <f>COUNTIF(Tabela1[NF],Tabela1[[#This Row],[NF]])</f>
        <v>0</v>
      </c>
      <c r="K579" s="26">
        <f>Tabela1[[#This Row],[DT. VENCIMENTO]]</f>
        <v>45979</v>
      </c>
      <c r="N579" s="14" t="str" cm="1">
        <f t="array" ref="N579">_xlfn.XLOOKUP(TRIM(D579),TRIM(DFC!A:A),DFC!A:A,"NÃO ESTÁ NA DFC")</f>
        <v xml:space="preserve">          DIÁRIAS</v>
      </c>
    </row>
    <row r="580" spans="1:14" customFormat="1" ht="14.4" x14ac:dyDescent="0.3">
      <c r="A580" s="24"/>
      <c r="B580" s="21">
        <v>45979</v>
      </c>
      <c r="C580" s="21" t="s">
        <v>15</v>
      </c>
      <c r="D580" s="21" t="s">
        <v>19</v>
      </c>
      <c r="E580" s="20"/>
      <c r="F580" s="22" t="s">
        <v>228</v>
      </c>
      <c r="G580" s="252">
        <v>854.42</v>
      </c>
      <c r="H580" s="1"/>
      <c r="I580" s="1">
        <f>COUNTIF(Tabela1[NF],Tabela1[[#This Row],[NF]])</f>
        <v>0</v>
      </c>
      <c r="K580" s="26">
        <f>Tabela1[[#This Row],[DT. VENCIMENTO]]</f>
        <v>45979</v>
      </c>
      <c r="N580" s="14" t="str" cm="1">
        <f t="array" ref="N580">_xlfn.XLOOKUP(TRIM(D580),TRIM(DFC!A:A),DFC!A:A,"NÃO ESTÁ NA DFC")</f>
        <v xml:space="preserve">      PEÇAS</v>
      </c>
    </row>
    <row r="581" spans="1:14" customFormat="1" ht="14.4" x14ac:dyDescent="0.3">
      <c r="A581" s="24"/>
      <c r="B581" s="21">
        <v>45979</v>
      </c>
      <c r="C581" s="21" t="s">
        <v>15</v>
      </c>
      <c r="D581" s="21" t="s">
        <v>19</v>
      </c>
      <c r="E581" s="20"/>
      <c r="F581" s="22" t="s">
        <v>302</v>
      </c>
      <c r="G581" s="252">
        <v>1861.26</v>
      </c>
      <c r="H581" s="1"/>
      <c r="I581" s="1">
        <f>COUNTIF(Tabela1[NF],Tabela1[[#This Row],[NF]])</f>
        <v>0</v>
      </c>
      <c r="K581" s="26">
        <f>Tabela1[[#This Row],[DT. VENCIMENTO]]</f>
        <v>45979</v>
      </c>
      <c r="N581" s="14" t="str" cm="1">
        <f t="array" ref="N581">_xlfn.XLOOKUP(TRIM(D581),TRIM(DFC!A:A),DFC!A:A,"NÃO ESTÁ NA DFC")</f>
        <v xml:space="preserve">      PEÇAS</v>
      </c>
    </row>
    <row r="582" spans="1:14" customFormat="1" ht="14.4" x14ac:dyDescent="0.3">
      <c r="A582" s="24"/>
      <c r="B582" s="21">
        <v>45979</v>
      </c>
      <c r="C582" s="21" t="s">
        <v>15</v>
      </c>
      <c r="D582" s="21" t="s">
        <v>19</v>
      </c>
      <c r="E582" s="20"/>
      <c r="F582" s="22" t="s">
        <v>385</v>
      </c>
      <c r="G582" s="252">
        <v>349.59</v>
      </c>
      <c r="H582" s="1"/>
      <c r="I582" s="1">
        <f>COUNTIF(Tabela1[NF],Tabela1[[#This Row],[NF]])</f>
        <v>0</v>
      </c>
      <c r="K582" s="26">
        <f>Tabela1[[#This Row],[DT. VENCIMENTO]]</f>
        <v>45979</v>
      </c>
      <c r="N582" s="14" t="str" cm="1">
        <f t="array" ref="N582">_xlfn.XLOOKUP(TRIM(D582),TRIM(DFC!A:A),DFC!A:A,"NÃO ESTÁ NA DFC")</f>
        <v xml:space="preserve">      PEÇAS</v>
      </c>
    </row>
    <row r="583" spans="1:14" customFormat="1" ht="14.4" x14ac:dyDescent="0.3">
      <c r="A583" s="24"/>
      <c r="B583" s="21">
        <v>45979</v>
      </c>
      <c r="C583" s="21" t="s">
        <v>15</v>
      </c>
      <c r="D583" s="21" t="s">
        <v>386</v>
      </c>
      <c r="E583" s="20" t="s">
        <v>387</v>
      </c>
      <c r="F583" s="22" t="s">
        <v>388</v>
      </c>
      <c r="G583" s="252">
        <v>165</v>
      </c>
      <c r="H583" s="1"/>
      <c r="I583" s="1">
        <f>COUNTIF(Tabela1[NF],Tabela1[[#This Row],[NF]])</f>
        <v>0</v>
      </c>
      <c r="K583" s="26">
        <f>Tabela1[[#This Row],[DT. VENCIMENTO]]</f>
        <v>45979</v>
      </c>
      <c r="N583" s="14" t="str" cm="1">
        <f t="array" ref="N583">_xlfn.XLOOKUP(TRIM(D583),TRIM(DFC!A:A),DFC!A:A,"NÃO ESTÁ NA DFC")</f>
        <v xml:space="preserve">          MATERIAIS DE USO E CONSUMO</v>
      </c>
    </row>
    <row r="584" spans="1:14" customFormat="1" ht="14.4" x14ac:dyDescent="0.3">
      <c r="A584" s="24"/>
      <c r="B584" s="21">
        <v>45979</v>
      </c>
      <c r="C584" s="21" t="s">
        <v>15</v>
      </c>
      <c r="D584" s="21" t="s">
        <v>23</v>
      </c>
      <c r="E584" s="20"/>
      <c r="F584" s="22" t="s">
        <v>389</v>
      </c>
      <c r="G584" s="252">
        <v>70</v>
      </c>
      <c r="H584" s="1"/>
      <c r="I584" s="1">
        <f>COUNTIF(Tabela1[NF],Tabela1[[#This Row],[NF]])</f>
        <v>0</v>
      </c>
      <c r="K584" s="26">
        <f>Tabela1[[#This Row],[DT. VENCIMENTO]]</f>
        <v>45979</v>
      </c>
      <c r="N584" s="14" t="str" cm="1">
        <f t="array" ref="N584">_xlfn.XLOOKUP(TRIM(D584),TRIM(DFC!A:A),DFC!A:A,"NÃO ESTÁ NA DFC")</f>
        <v xml:space="preserve">         CONTABILIDADE</v>
      </c>
    </row>
    <row r="585" spans="1:14" customFormat="1" ht="14.4" x14ac:dyDescent="0.3">
      <c r="A585" s="24"/>
      <c r="B585" s="21">
        <v>45979</v>
      </c>
      <c r="C585" s="21" t="s">
        <v>15</v>
      </c>
      <c r="D585" s="21" t="s">
        <v>154</v>
      </c>
      <c r="E585" s="20"/>
      <c r="F585" s="22" t="s">
        <v>390</v>
      </c>
      <c r="G585" s="252">
        <v>1201.75</v>
      </c>
      <c r="H585" s="1"/>
      <c r="I585" s="1">
        <f>COUNTIF(Tabela1[NF],Tabela1[[#This Row],[NF]])</f>
        <v>0</v>
      </c>
      <c r="K585" s="26">
        <f>Tabela1[[#This Row],[DT. VENCIMENTO]]</f>
        <v>45979</v>
      </c>
      <c r="N585" s="14" t="str" cm="1">
        <f t="array" ref="N585">_xlfn.XLOOKUP(TRIM(D585),TRIM(DFC!A:A),DFC!A:A,"NÃO ESTÁ NA DFC")</f>
        <v xml:space="preserve">      EMBALAGENS</v>
      </c>
    </row>
    <row r="586" spans="1:14" customFormat="1" ht="14.4" x14ac:dyDescent="0.3">
      <c r="A586" s="24"/>
      <c r="B586" s="21">
        <v>45979</v>
      </c>
      <c r="C586" s="21" t="s">
        <v>15</v>
      </c>
      <c r="D586" s="21" t="s">
        <v>127</v>
      </c>
      <c r="E586" s="20"/>
      <c r="F586" s="22" t="s">
        <v>391</v>
      </c>
      <c r="G586" s="252">
        <v>152</v>
      </c>
      <c r="H586" s="1"/>
      <c r="I586" s="1">
        <f>COUNTIF(Tabela1[NF],Tabela1[[#This Row],[NF]])</f>
        <v>0</v>
      </c>
      <c r="K586" s="26">
        <f>Tabela1[[#This Row],[DT. VENCIMENTO]]</f>
        <v>45979</v>
      </c>
      <c r="N586" s="14" t="str" cm="1">
        <f t="array" ref="N586">_xlfn.XLOOKUP(TRIM(D586),TRIM(DFC!A:A),DFC!A:A,"NÃO ESTÁ NA DFC")</f>
        <v xml:space="preserve">          SERVIÇOS DE SEGURANÇA</v>
      </c>
    </row>
    <row r="587" spans="1:14" customFormat="1" ht="14.4" x14ac:dyDescent="0.3">
      <c r="A587" s="24"/>
      <c r="B587" s="21">
        <v>45979</v>
      </c>
      <c r="C587" s="21" t="s">
        <v>15</v>
      </c>
      <c r="D587" s="21" t="s">
        <v>57</v>
      </c>
      <c r="E587" s="20" t="s">
        <v>392</v>
      </c>
      <c r="F587" s="22" t="s">
        <v>326</v>
      </c>
      <c r="G587" s="252">
        <v>30</v>
      </c>
      <c r="H587" s="1"/>
      <c r="I587" s="1">
        <f>COUNTIF(Tabela1[NF],Tabela1[[#This Row],[NF]])</f>
        <v>0</v>
      </c>
      <c r="K587" s="26">
        <f>Tabela1[[#This Row],[DT. VENCIMENTO]]</f>
        <v>45979</v>
      </c>
      <c r="N587" s="14" t="str" cm="1">
        <f t="array" ref="N587">_xlfn.XLOOKUP(TRIM(D587),TRIM(DFC!A:A),DFC!A:A,"NÃO ESTÁ NA DFC")</f>
        <v xml:space="preserve">          ALIMENTAÇÃO</v>
      </c>
    </row>
    <row r="588" spans="1:14" customFormat="1" ht="14.4" x14ac:dyDescent="0.3">
      <c r="A588" s="24"/>
      <c r="B588" s="21">
        <v>45980</v>
      </c>
      <c r="C588" s="21" t="s">
        <v>15</v>
      </c>
      <c r="D588" s="21" t="s">
        <v>23</v>
      </c>
      <c r="E588" s="20"/>
      <c r="F588" s="22" t="s">
        <v>393</v>
      </c>
      <c r="G588" s="252">
        <v>591.20000000000005</v>
      </c>
      <c r="H588" s="1"/>
      <c r="I588" s="1">
        <f>COUNTIF(Tabela1[NF],Tabela1[[#This Row],[NF]])</f>
        <v>0</v>
      </c>
      <c r="K588" s="26">
        <f>Tabela1[[#This Row],[DT. VENCIMENTO]]</f>
        <v>45980</v>
      </c>
      <c r="N588" s="14" t="str" cm="1">
        <f t="array" ref="N588">_xlfn.XLOOKUP(TRIM(D588),TRIM(DFC!A:A),DFC!A:A,"NÃO ESTÁ NA DFC")</f>
        <v xml:space="preserve">         CONTABILIDADE</v>
      </c>
    </row>
    <row r="589" spans="1:14" customFormat="1" ht="14.4" x14ac:dyDescent="0.3">
      <c r="A589" s="24"/>
      <c r="B589" s="21">
        <v>45980</v>
      </c>
      <c r="C589" s="21" t="s">
        <v>15</v>
      </c>
      <c r="D589" s="21" t="s">
        <v>23</v>
      </c>
      <c r="E589" s="20"/>
      <c r="F589" s="22" t="s">
        <v>393</v>
      </c>
      <c r="G589" s="252">
        <v>249</v>
      </c>
      <c r="H589" s="1"/>
      <c r="I589" s="1">
        <f>COUNTIF(Tabela1[NF],Tabela1[[#This Row],[NF]])</f>
        <v>0</v>
      </c>
      <c r="K589" s="26">
        <f>Tabela1[[#This Row],[DT. VENCIMENTO]]</f>
        <v>45980</v>
      </c>
      <c r="N589" s="14" t="str" cm="1">
        <f t="array" ref="N589">_xlfn.XLOOKUP(TRIM(D589),TRIM(DFC!A:A),DFC!A:A,"NÃO ESTÁ NA DFC")</f>
        <v xml:space="preserve">         CONTABILIDADE</v>
      </c>
    </row>
    <row r="590" spans="1:14" customFormat="1" ht="14.4" x14ac:dyDescent="0.3">
      <c r="A590" s="24"/>
      <c r="B590" s="21">
        <v>45980</v>
      </c>
      <c r="C590" s="21" t="s">
        <v>15</v>
      </c>
      <c r="D590" s="21" t="s">
        <v>19</v>
      </c>
      <c r="E590" s="20"/>
      <c r="F590" s="22" t="s">
        <v>304</v>
      </c>
      <c r="G590" s="252">
        <v>4736.1899999999996</v>
      </c>
      <c r="H590" s="1"/>
      <c r="I590" s="1">
        <f>COUNTIF(Tabela1[NF],Tabela1[[#This Row],[NF]])</f>
        <v>0</v>
      </c>
      <c r="K590" s="26">
        <f>Tabela1[[#This Row],[DT. VENCIMENTO]]</f>
        <v>45980</v>
      </c>
      <c r="N590" s="14" t="str" cm="1">
        <f t="array" ref="N590">_xlfn.XLOOKUP(TRIM(D590),TRIM(DFC!A:A),DFC!A:A,"NÃO ESTÁ NA DFC")</f>
        <v xml:space="preserve">      PEÇAS</v>
      </c>
    </row>
    <row r="591" spans="1:14" customFormat="1" ht="14.4" x14ac:dyDescent="0.3">
      <c r="A591" s="24"/>
      <c r="B591" s="21">
        <v>45980</v>
      </c>
      <c r="C591" s="21" t="s">
        <v>15</v>
      </c>
      <c r="D591" s="21" t="s">
        <v>154</v>
      </c>
      <c r="E591" s="20"/>
      <c r="F591" s="22" t="s">
        <v>394</v>
      </c>
      <c r="G591" s="252">
        <v>1034.25</v>
      </c>
      <c r="H591" s="1"/>
      <c r="I591" s="1">
        <f>COUNTIF(Tabela1[NF],Tabela1[[#This Row],[NF]])</f>
        <v>0</v>
      </c>
      <c r="K591" s="26">
        <f>Tabela1[[#This Row],[DT. VENCIMENTO]]</f>
        <v>45980</v>
      </c>
      <c r="N591" s="14" t="str" cm="1">
        <f t="array" ref="N591">_xlfn.XLOOKUP(TRIM(D591),TRIM(DFC!A:A),DFC!A:A,"NÃO ESTÁ NA DFC")</f>
        <v xml:space="preserve">      EMBALAGENS</v>
      </c>
    </row>
    <row r="592" spans="1:14" customFormat="1" ht="14.4" x14ac:dyDescent="0.3">
      <c r="A592" s="24"/>
      <c r="B592" s="21">
        <v>45980</v>
      </c>
      <c r="C592" s="21" t="s">
        <v>15</v>
      </c>
      <c r="D592" s="21" t="s">
        <v>19</v>
      </c>
      <c r="E592" s="20"/>
      <c r="F592" s="22" t="s">
        <v>228</v>
      </c>
      <c r="G592" s="252">
        <v>1091.75</v>
      </c>
      <c r="H592" s="1"/>
      <c r="I592" s="1">
        <f>COUNTIF(Tabela1[NF],Tabela1[[#This Row],[NF]])</f>
        <v>0</v>
      </c>
      <c r="K592" s="26">
        <f>Tabela1[[#This Row],[DT. VENCIMENTO]]</f>
        <v>45980</v>
      </c>
      <c r="N592" s="14" t="str" cm="1">
        <f t="array" ref="N592">_xlfn.XLOOKUP(TRIM(D592),TRIM(DFC!A:A),DFC!A:A,"NÃO ESTÁ NA DFC")</f>
        <v xml:space="preserve">      PEÇAS</v>
      </c>
    </row>
    <row r="593" spans="1:14" customFormat="1" ht="14.4" x14ac:dyDescent="0.3">
      <c r="A593" s="24"/>
      <c r="B593" s="21">
        <v>45980</v>
      </c>
      <c r="C593" s="21" t="s">
        <v>15</v>
      </c>
      <c r="D593" s="21" t="s">
        <v>19</v>
      </c>
      <c r="E593" s="20"/>
      <c r="F593" s="22" t="s">
        <v>300</v>
      </c>
      <c r="G593" s="252">
        <v>4093.88</v>
      </c>
      <c r="H593" s="1"/>
      <c r="I593" s="1">
        <f>COUNTIF(Tabela1[NF],Tabela1[[#This Row],[NF]])</f>
        <v>0</v>
      </c>
      <c r="K593" s="26">
        <f>Tabela1[[#This Row],[DT. VENCIMENTO]]</f>
        <v>45980</v>
      </c>
      <c r="N593" s="14" t="str" cm="1">
        <f t="array" ref="N593">_xlfn.XLOOKUP(TRIM(D593),TRIM(DFC!A:A),DFC!A:A,"NÃO ESTÁ NA DFC")</f>
        <v xml:space="preserve">      PEÇAS</v>
      </c>
    </row>
    <row r="594" spans="1:14" customFormat="1" ht="14.4" x14ac:dyDescent="0.3">
      <c r="A594" s="24"/>
      <c r="B594" s="21">
        <v>45980</v>
      </c>
      <c r="C594" s="21" t="s">
        <v>15</v>
      </c>
      <c r="D594" s="21" t="s">
        <v>19</v>
      </c>
      <c r="E594" s="20"/>
      <c r="F594" s="22" t="s">
        <v>210</v>
      </c>
      <c r="G594" s="252">
        <v>6996.9</v>
      </c>
      <c r="H594" s="1"/>
      <c r="I594" s="1">
        <f>COUNTIF(Tabela1[NF],Tabela1[[#This Row],[NF]])</f>
        <v>0</v>
      </c>
      <c r="K594" s="26">
        <f>Tabela1[[#This Row],[DT. VENCIMENTO]]</f>
        <v>45980</v>
      </c>
      <c r="N594" s="14" t="str" cm="1">
        <f t="array" ref="N594">_xlfn.XLOOKUP(TRIM(D594),TRIM(DFC!A:A),DFC!A:A,"NÃO ESTÁ NA DFC")</f>
        <v xml:space="preserve">      PEÇAS</v>
      </c>
    </row>
    <row r="595" spans="1:14" customFormat="1" ht="14.4" x14ac:dyDescent="0.3">
      <c r="A595" s="24"/>
      <c r="B595" s="21">
        <v>45980</v>
      </c>
      <c r="C595" s="21" t="s">
        <v>15</v>
      </c>
      <c r="D595" s="21" t="s">
        <v>19</v>
      </c>
      <c r="E595" s="20"/>
      <c r="F595" s="22" t="s">
        <v>300</v>
      </c>
      <c r="G595" s="252">
        <v>5970.25</v>
      </c>
      <c r="H595" s="1"/>
      <c r="I595" s="1">
        <f>COUNTIF(Tabela1[NF],Tabela1[[#This Row],[NF]])</f>
        <v>0</v>
      </c>
      <c r="K595" s="26">
        <f>Tabela1[[#This Row],[DT. VENCIMENTO]]</f>
        <v>45980</v>
      </c>
      <c r="N595" s="14" t="str" cm="1">
        <f t="array" ref="N595">_xlfn.XLOOKUP(TRIM(D595),TRIM(DFC!A:A),DFC!A:A,"NÃO ESTÁ NA DFC")</f>
        <v xml:space="preserve">      PEÇAS</v>
      </c>
    </row>
    <row r="596" spans="1:14" customFormat="1" ht="14.4" x14ac:dyDescent="0.3">
      <c r="A596" s="24"/>
      <c r="B596" s="21">
        <v>45980</v>
      </c>
      <c r="C596" s="21" t="s">
        <v>15</v>
      </c>
      <c r="D596" s="21" t="s">
        <v>19</v>
      </c>
      <c r="E596" s="20"/>
      <c r="F596" s="22" t="s">
        <v>300</v>
      </c>
      <c r="G596" s="252">
        <v>7134.4</v>
      </c>
      <c r="H596" s="1"/>
      <c r="I596" s="1">
        <f>COUNTIF(Tabela1[NF],Tabela1[[#This Row],[NF]])</f>
        <v>0</v>
      </c>
      <c r="K596" s="26">
        <f>Tabela1[[#This Row],[DT. VENCIMENTO]]</f>
        <v>45980</v>
      </c>
      <c r="N596" s="14" t="str" cm="1">
        <f t="array" ref="N596">_xlfn.XLOOKUP(TRIM(D596),TRIM(DFC!A:A),DFC!A:A,"NÃO ESTÁ NA DFC")</f>
        <v xml:space="preserve">      PEÇAS</v>
      </c>
    </row>
    <row r="597" spans="1:14" customFormat="1" ht="14.4" x14ac:dyDescent="0.3">
      <c r="A597" s="24"/>
      <c r="B597" s="21">
        <v>45980</v>
      </c>
      <c r="C597" s="21" t="s">
        <v>15</v>
      </c>
      <c r="D597" s="21" t="s">
        <v>19</v>
      </c>
      <c r="E597" s="20"/>
      <c r="F597" s="22" t="s">
        <v>395</v>
      </c>
      <c r="G597" s="252">
        <v>697.58</v>
      </c>
      <c r="H597" s="1"/>
      <c r="I597" s="1">
        <f>COUNTIF(Tabela1[NF],Tabela1[[#This Row],[NF]])</f>
        <v>0</v>
      </c>
      <c r="K597" s="26">
        <f>Tabela1[[#This Row],[DT. VENCIMENTO]]</f>
        <v>45980</v>
      </c>
      <c r="N597" s="14" t="str" cm="1">
        <f t="array" ref="N597">_xlfn.XLOOKUP(TRIM(D597),TRIM(DFC!A:A),DFC!A:A,"NÃO ESTÁ NA DFC")</f>
        <v xml:space="preserve">      PEÇAS</v>
      </c>
    </row>
    <row r="598" spans="1:14" customFormat="1" ht="14.4" x14ac:dyDescent="0.3">
      <c r="A598" s="24"/>
      <c r="B598" s="21">
        <v>45980</v>
      </c>
      <c r="C598" s="21" t="s">
        <v>15</v>
      </c>
      <c r="D598" s="21" t="s">
        <v>19</v>
      </c>
      <c r="E598" s="20"/>
      <c r="F598" s="22" t="s">
        <v>396</v>
      </c>
      <c r="G598" s="252">
        <v>356.4</v>
      </c>
      <c r="H598" s="1"/>
      <c r="I598" s="1">
        <f>COUNTIF(Tabela1[NF],Tabela1[[#This Row],[NF]])</f>
        <v>0</v>
      </c>
      <c r="K598" s="26">
        <f>Tabela1[[#This Row],[DT. VENCIMENTO]]</f>
        <v>45980</v>
      </c>
      <c r="N598" s="14" t="str" cm="1">
        <f t="array" ref="N598">_xlfn.XLOOKUP(TRIM(D598),TRIM(DFC!A:A),DFC!A:A,"NÃO ESTÁ NA DFC")</f>
        <v xml:space="preserve">      PEÇAS</v>
      </c>
    </row>
    <row r="599" spans="1:14" customFormat="1" ht="14.4" x14ac:dyDescent="0.3">
      <c r="A599" s="24"/>
      <c r="B599" s="21">
        <v>45980</v>
      </c>
      <c r="C599" s="21" t="s">
        <v>15</v>
      </c>
      <c r="D599" s="21" t="s">
        <v>19</v>
      </c>
      <c r="E599" s="20"/>
      <c r="F599" s="22" t="s">
        <v>298</v>
      </c>
      <c r="G599" s="252">
        <v>627.80999999999995</v>
      </c>
      <c r="H599" s="1"/>
      <c r="I599" s="1">
        <f>COUNTIF(Tabela1[NF],Tabela1[[#This Row],[NF]])</f>
        <v>0</v>
      </c>
      <c r="K599" s="26">
        <f>Tabela1[[#This Row],[DT. VENCIMENTO]]</f>
        <v>45980</v>
      </c>
      <c r="N599" s="14" t="str" cm="1">
        <f t="array" ref="N599">_xlfn.XLOOKUP(TRIM(D599),TRIM(DFC!A:A),DFC!A:A,"NÃO ESTÁ NA DFC")</f>
        <v xml:space="preserve">      PEÇAS</v>
      </c>
    </row>
    <row r="600" spans="1:14" customFormat="1" ht="14.4" x14ac:dyDescent="0.3">
      <c r="A600" s="24"/>
      <c r="B600" s="21">
        <v>45980</v>
      </c>
      <c r="C600" s="21" t="s">
        <v>15</v>
      </c>
      <c r="D600" s="21" t="s">
        <v>246</v>
      </c>
      <c r="E600" s="20" t="s">
        <v>397</v>
      </c>
      <c r="F600" s="22" t="s">
        <v>319</v>
      </c>
      <c r="G600" s="252">
        <v>1040</v>
      </c>
      <c r="H600" s="1"/>
      <c r="I600" s="1">
        <f>COUNTIF(Tabela1[NF],Tabela1[[#This Row],[NF]])</f>
        <v>0</v>
      </c>
      <c r="K600" s="26">
        <f>Tabela1[[#This Row],[DT. VENCIMENTO]]</f>
        <v>45980</v>
      </c>
      <c r="N600" s="14" t="str" cm="1">
        <f t="array" ref="N600">_xlfn.XLOOKUP(TRIM(D600),TRIM(DFC!A:A),DFC!A:A,"NÃO ESTÁ NA DFC")</f>
        <v xml:space="preserve">          VALES</v>
      </c>
    </row>
    <row r="601" spans="1:14" customFormat="1" ht="14.4" x14ac:dyDescent="0.3">
      <c r="A601" s="24"/>
      <c r="B601" s="21">
        <v>45980</v>
      </c>
      <c r="C601" s="21" t="s">
        <v>15</v>
      </c>
      <c r="D601" s="21" t="s">
        <v>246</v>
      </c>
      <c r="E601" s="20" t="s">
        <v>397</v>
      </c>
      <c r="F601" s="22" t="s">
        <v>320</v>
      </c>
      <c r="G601" s="252">
        <v>1000</v>
      </c>
      <c r="H601" s="1"/>
      <c r="I601" s="1">
        <f>COUNTIF(Tabela1[NF],Tabela1[[#This Row],[NF]])</f>
        <v>0</v>
      </c>
      <c r="K601" s="26">
        <f>Tabela1[[#This Row],[DT. VENCIMENTO]]</f>
        <v>45980</v>
      </c>
      <c r="N601" s="14" t="str" cm="1">
        <f t="array" ref="N601">_xlfn.XLOOKUP(TRIM(D601),TRIM(DFC!A:A),DFC!A:A,"NÃO ESTÁ NA DFC")</f>
        <v xml:space="preserve">          VALES</v>
      </c>
    </row>
    <row r="602" spans="1:14" customFormat="1" ht="14.4" x14ac:dyDescent="0.3">
      <c r="A602" s="24"/>
      <c r="B602" s="21">
        <v>45980</v>
      </c>
      <c r="C602" s="21" t="s">
        <v>15</v>
      </c>
      <c r="D602" s="21" t="s">
        <v>246</v>
      </c>
      <c r="E602" s="20" t="s">
        <v>397</v>
      </c>
      <c r="F602" s="22" t="s">
        <v>321</v>
      </c>
      <c r="G602" s="252">
        <v>1034.4100000000001</v>
      </c>
      <c r="H602" s="1"/>
      <c r="I602" s="1">
        <f>COUNTIF(Tabela1[NF],Tabela1[[#This Row],[NF]])</f>
        <v>0</v>
      </c>
      <c r="K602" s="26">
        <f>Tabela1[[#This Row],[DT. VENCIMENTO]]</f>
        <v>45980</v>
      </c>
      <c r="N602" s="14" t="str" cm="1">
        <f t="array" ref="N602">_xlfn.XLOOKUP(TRIM(D602),TRIM(DFC!A:A),DFC!A:A,"NÃO ESTÁ NA DFC")</f>
        <v xml:space="preserve">          VALES</v>
      </c>
    </row>
    <row r="603" spans="1:14" customFormat="1" ht="14.4" x14ac:dyDescent="0.3">
      <c r="A603" s="24"/>
      <c r="B603" s="21">
        <v>45980</v>
      </c>
      <c r="C603" s="21" t="s">
        <v>15</v>
      </c>
      <c r="D603" s="21" t="s">
        <v>246</v>
      </c>
      <c r="E603" s="20" t="s">
        <v>397</v>
      </c>
      <c r="F603" s="22" t="s">
        <v>322</v>
      </c>
      <c r="G603" s="252">
        <v>903.07</v>
      </c>
      <c r="H603" s="1"/>
      <c r="I603" s="1">
        <f>COUNTIF(Tabela1[NF],Tabela1[[#This Row],[NF]])</f>
        <v>0</v>
      </c>
      <c r="K603" s="26">
        <f>Tabela1[[#This Row],[DT. VENCIMENTO]]</f>
        <v>45980</v>
      </c>
      <c r="N603" s="14" t="str" cm="1">
        <f t="array" ref="N603">_xlfn.XLOOKUP(TRIM(D603),TRIM(DFC!A:A),DFC!A:A,"NÃO ESTÁ NA DFC")</f>
        <v xml:space="preserve">          VALES</v>
      </c>
    </row>
    <row r="604" spans="1:14" customFormat="1" ht="14.4" x14ac:dyDescent="0.3">
      <c r="A604" s="24"/>
      <c r="B604" s="21">
        <v>45980</v>
      </c>
      <c r="C604" s="21" t="s">
        <v>15</v>
      </c>
      <c r="D604" s="21" t="s">
        <v>246</v>
      </c>
      <c r="E604" s="20" t="s">
        <v>397</v>
      </c>
      <c r="F604" s="22" t="s">
        <v>326</v>
      </c>
      <c r="G604" s="252">
        <v>1687.11</v>
      </c>
      <c r="H604" s="1"/>
      <c r="I604" s="1">
        <f>COUNTIF(Tabela1[NF],Tabela1[[#This Row],[NF]])</f>
        <v>0</v>
      </c>
      <c r="K604" s="26">
        <f>Tabela1[[#This Row],[DT. VENCIMENTO]]</f>
        <v>45980</v>
      </c>
      <c r="N604" s="14" t="str" cm="1">
        <f t="array" ref="N604">_xlfn.XLOOKUP(TRIM(D604),TRIM(DFC!A:A),DFC!A:A,"NÃO ESTÁ NA DFC")</f>
        <v xml:space="preserve">          VALES</v>
      </c>
    </row>
    <row r="605" spans="1:14" customFormat="1" ht="14.4" x14ac:dyDescent="0.3">
      <c r="A605" s="24"/>
      <c r="B605" s="21">
        <v>45980</v>
      </c>
      <c r="C605" s="21" t="s">
        <v>15</v>
      </c>
      <c r="D605" s="21" t="s">
        <v>246</v>
      </c>
      <c r="E605" s="20" t="s">
        <v>397</v>
      </c>
      <c r="F605" s="22" t="s">
        <v>327</v>
      </c>
      <c r="G605" s="252">
        <v>903.07</v>
      </c>
      <c r="H605" s="1"/>
      <c r="I605" s="1">
        <f>COUNTIF(Tabela1[NF],Tabela1[[#This Row],[NF]])</f>
        <v>0</v>
      </c>
      <c r="K605" s="26">
        <f>Tabela1[[#This Row],[DT. VENCIMENTO]]</f>
        <v>45980</v>
      </c>
      <c r="N605" s="14" t="str" cm="1">
        <f t="array" ref="N605">_xlfn.XLOOKUP(TRIM(D605),TRIM(DFC!A:A),DFC!A:A,"NÃO ESTÁ NA DFC")</f>
        <v xml:space="preserve">          VALES</v>
      </c>
    </row>
    <row r="606" spans="1:14" customFormat="1" ht="14.4" x14ac:dyDescent="0.3">
      <c r="A606" s="24"/>
      <c r="B606" s="21">
        <v>45980</v>
      </c>
      <c r="C606" s="21" t="s">
        <v>15</v>
      </c>
      <c r="D606" s="21" t="s">
        <v>246</v>
      </c>
      <c r="E606" s="20" t="s">
        <v>397</v>
      </c>
      <c r="F606" s="22" t="s">
        <v>325</v>
      </c>
      <c r="G606" s="252">
        <v>903.07</v>
      </c>
      <c r="H606" s="1"/>
      <c r="I606" s="1">
        <f>COUNTIF(Tabela1[NF],Tabela1[[#This Row],[NF]])</f>
        <v>0</v>
      </c>
      <c r="K606" s="26">
        <f>Tabela1[[#This Row],[DT. VENCIMENTO]]</f>
        <v>45980</v>
      </c>
      <c r="N606" s="14" t="str" cm="1">
        <f t="array" ref="N606">_xlfn.XLOOKUP(TRIM(D606),TRIM(DFC!A:A),DFC!A:A,"NÃO ESTÁ NA DFC")</f>
        <v xml:space="preserve">          VALES</v>
      </c>
    </row>
    <row r="607" spans="1:14" customFormat="1" ht="14.4" x14ac:dyDescent="0.3">
      <c r="A607" s="24"/>
      <c r="B607" s="21">
        <v>45980</v>
      </c>
      <c r="C607" s="21" t="s">
        <v>15</v>
      </c>
      <c r="D607" s="84" t="s">
        <v>69</v>
      </c>
      <c r="E607" s="20" t="s">
        <v>247</v>
      </c>
      <c r="F607" s="22" t="s">
        <v>398</v>
      </c>
      <c r="G607" s="252">
        <v>25.31</v>
      </c>
      <c r="H607" s="1"/>
      <c r="I607" s="1">
        <f>COUNTIF(Tabela1[NF],Tabela1[[#This Row],[NF]])</f>
        <v>0</v>
      </c>
      <c r="K607" s="26">
        <f>Tabela1[[#This Row],[DT. VENCIMENTO]]</f>
        <v>45980</v>
      </c>
      <c r="N607" s="14" t="str" cm="1">
        <f t="array" ref="N607">_xlfn.XLOOKUP(TRIM(D607),TRIM(DFC!A:A),DFC!A:A,"NÃO ESTÁ NA DFC")</f>
        <v xml:space="preserve">          CFR</v>
      </c>
    </row>
    <row r="608" spans="1:14" customFormat="1" ht="14.4" x14ac:dyDescent="0.3">
      <c r="A608" s="24"/>
      <c r="B608" s="21">
        <v>45980</v>
      </c>
      <c r="C608" s="21" t="s">
        <v>15</v>
      </c>
      <c r="D608" s="84" t="s">
        <v>92</v>
      </c>
      <c r="E608" s="20" t="s">
        <v>247</v>
      </c>
      <c r="F608" s="22" t="s">
        <v>398</v>
      </c>
      <c r="G608" s="252">
        <v>2454.59</v>
      </c>
      <c r="H608" s="1"/>
      <c r="I608" s="1">
        <f>COUNTIF(Tabela1[NF],Tabela1[[#This Row],[NF]])</f>
        <v>0</v>
      </c>
      <c r="K608" s="26">
        <f>Tabela1[[#This Row],[DT. VENCIMENTO]]</f>
        <v>45980</v>
      </c>
      <c r="N608" s="14" t="str" cm="1">
        <f t="array" ref="N608">_xlfn.XLOOKUP(TRIM(D608),TRIM(DFC!A:A),DFC!A:A,"NÃO ESTÁ NA DFC")</f>
        <v xml:space="preserve">          INSS</v>
      </c>
    </row>
    <row r="609" spans="1:14" customFormat="1" ht="14.4" x14ac:dyDescent="0.3">
      <c r="A609" s="24"/>
      <c r="B609" s="21">
        <v>45980</v>
      </c>
      <c r="C609" s="21" t="s">
        <v>15</v>
      </c>
      <c r="D609" s="84" t="s">
        <v>86</v>
      </c>
      <c r="E609" s="20" t="s">
        <v>247</v>
      </c>
      <c r="F609" s="22" t="s">
        <v>399</v>
      </c>
      <c r="G609" s="252">
        <v>1845.74</v>
      </c>
      <c r="H609" s="1"/>
      <c r="I609" s="1">
        <f>COUNTIF(Tabela1[NF],Tabela1[[#This Row],[NF]])</f>
        <v>0</v>
      </c>
      <c r="K609" s="26">
        <f>Tabela1[[#This Row],[DT. VENCIMENTO]]</f>
        <v>45980</v>
      </c>
      <c r="N609" s="14" t="str" cm="1">
        <f t="array" ref="N609">_xlfn.XLOOKUP(TRIM(D609),TRIM(DFC!A:A),DFC!A:A,"NÃO ESTÁ NA DFC")</f>
        <v xml:space="preserve">          FGTS</v>
      </c>
    </row>
    <row r="610" spans="1:14" customFormat="1" ht="14.4" x14ac:dyDescent="0.3">
      <c r="A610" s="24"/>
      <c r="B610" s="21">
        <v>45982</v>
      </c>
      <c r="C610" s="21" t="s">
        <v>15</v>
      </c>
      <c r="D610" s="21" t="s">
        <v>305</v>
      </c>
      <c r="E610" s="20" t="s">
        <v>400</v>
      </c>
      <c r="F610" s="22" t="s">
        <v>401</v>
      </c>
      <c r="G610" s="252">
        <v>2300</v>
      </c>
      <c r="H610" s="1"/>
      <c r="I610" s="1">
        <f>COUNTIF(Tabela1[NF],Tabela1[[#This Row],[NF]])</f>
        <v>0</v>
      </c>
      <c r="K610" s="26">
        <f>Tabela1[[#This Row],[DT. VENCIMENTO]]</f>
        <v>45982</v>
      </c>
      <c r="N610" s="14" t="str" cm="1">
        <f t="array" ref="N610">_xlfn.XLOOKUP(TRIM(D610),TRIM(DFC!A:A),DFC!A:A,"NÃO ESTÁ NA DFC")</f>
        <v xml:space="preserve">      FRETE ENTRADA</v>
      </c>
    </row>
    <row r="611" spans="1:14" customFormat="1" ht="14.4" x14ac:dyDescent="0.3">
      <c r="A611" s="24"/>
      <c r="B611" s="21">
        <v>45982</v>
      </c>
      <c r="C611" s="21" t="s">
        <v>15</v>
      </c>
      <c r="D611" s="21" t="s">
        <v>19</v>
      </c>
      <c r="E611" s="20"/>
      <c r="F611" s="22" t="s">
        <v>300</v>
      </c>
      <c r="G611" s="252">
        <v>22469</v>
      </c>
      <c r="H611" s="1"/>
      <c r="I611" s="1">
        <f>COUNTIF(Tabela1[NF],Tabela1[[#This Row],[NF]])</f>
        <v>0</v>
      </c>
      <c r="K611" s="26">
        <f>Tabela1[[#This Row],[DT. VENCIMENTO]]</f>
        <v>45982</v>
      </c>
      <c r="N611" s="14" t="str" cm="1">
        <f t="array" ref="N611">_xlfn.XLOOKUP(TRIM(D611),TRIM(DFC!A:A),DFC!A:A,"NÃO ESTÁ NA DFC")</f>
        <v xml:space="preserve">      PEÇAS</v>
      </c>
    </row>
    <row r="612" spans="1:14" customFormat="1" ht="14.4" x14ac:dyDescent="0.3">
      <c r="A612" s="24"/>
      <c r="B612" s="21">
        <v>45982</v>
      </c>
      <c r="C612" s="21" t="s">
        <v>15</v>
      </c>
      <c r="D612" s="84" t="s">
        <v>402</v>
      </c>
      <c r="E612" s="20" t="s">
        <v>403</v>
      </c>
      <c r="F612" s="22" t="s">
        <v>404</v>
      </c>
      <c r="G612" s="252">
        <v>34.229999999999997</v>
      </c>
      <c r="H612" s="1"/>
      <c r="I612" s="1">
        <f>COUNTIF(Tabela1[NF],Tabela1[[#This Row],[NF]])</f>
        <v>0</v>
      </c>
      <c r="K612" s="26">
        <f>Tabela1[[#This Row],[DT. VENCIMENTO]]</f>
        <v>45982</v>
      </c>
      <c r="N612" s="14" t="str" cm="1">
        <f t="array" ref="N612">_xlfn.XLOOKUP(TRIM(D612),TRIM(DFC!A:A),DFC!A:A,"NÃO ESTÁ NA DFC")</f>
        <v xml:space="preserve">          IMPOSTOS E TAXAS</v>
      </c>
    </row>
    <row r="613" spans="1:14" customFormat="1" ht="14.4" x14ac:dyDescent="0.3">
      <c r="A613" s="24"/>
      <c r="B613" s="21">
        <v>45982</v>
      </c>
      <c r="C613" s="21" t="s">
        <v>15</v>
      </c>
      <c r="D613" s="21" t="s">
        <v>19</v>
      </c>
      <c r="E613" s="20"/>
      <c r="F613" s="22" t="s">
        <v>405</v>
      </c>
      <c r="G613" s="252">
        <v>6253.99</v>
      </c>
      <c r="H613" s="1"/>
      <c r="I613" s="1">
        <f>COUNTIF(Tabela1[NF],Tabela1[[#This Row],[NF]])</f>
        <v>0</v>
      </c>
      <c r="K613" s="26">
        <f>Tabela1[[#This Row],[DT. VENCIMENTO]]</f>
        <v>45982</v>
      </c>
      <c r="N613" s="14" t="str" cm="1">
        <f t="array" ref="N613">_xlfn.XLOOKUP(TRIM(D613),TRIM(DFC!A:A),DFC!A:A,"NÃO ESTÁ NA DFC")</f>
        <v xml:space="preserve">      PEÇAS</v>
      </c>
    </row>
    <row r="614" spans="1:14" customFormat="1" ht="14.4" x14ac:dyDescent="0.3">
      <c r="A614" s="24"/>
      <c r="B614" s="21">
        <v>45982</v>
      </c>
      <c r="C614" s="21" t="s">
        <v>15</v>
      </c>
      <c r="D614" s="21" t="s">
        <v>19</v>
      </c>
      <c r="E614" s="20"/>
      <c r="F614" s="22" t="s">
        <v>228</v>
      </c>
      <c r="G614" s="252">
        <v>3907.44</v>
      </c>
      <c r="H614" s="1"/>
      <c r="I614" s="1">
        <f>COUNTIF(Tabela1[NF],Tabela1[[#This Row],[NF]])</f>
        <v>0</v>
      </c>
      <c r="K614" s="26">
        <f>Tabela1[[#This Row],[DT. VENCIMENTO]]</f>
        <v>45982</v>
      </c>
      <c r="N614" s="14" t="str" cm="1">
        <f t="array" ref="N614">_xlfn.XLOOKUP(TRIM(D614),TRIM(DFC!A:A),DFC!A:A,"NÃO ESTÁ NA DFC")</f>
        <v xml:space="preserve">      PEÇAS</v>
      </c>
    </row>
    <row r="615" spans="1:14" customFormat="1" ht="14.4" x14ac:dyDescent="0.3">
      <c r="A615" s="24"/>
      <c r="B615" s="21">
        <v>45982</v>
      </c>
      <c r="C615" s="21" t="s">
        <v>15</v>
      </c>
      <c r="D615" s="21" t="s">
        <v>19</v>
      </c>
      <c r="E615" s="20"/>
      <c r="F615" s="22" t="s">
        <v>406</v>
      </c>
      <c r="G615" s="252">
        <v>1776.71</v>
      </c>
      <c r="H615" s="1"/>
      <c r="I615" s="1">
        <f>COUNTIF(Tabela1[NF],Tabela1[[#This Row],[NF]])</f>
        <v>0</v>
      </c>
      <c r="K615" s="26">
        <f>Tabela1[[#This Row],[DT. VENCIMENTO]]</f>
        <v>45982</v>
      </c>
      <c r="N615" s="14" t="str" cm="1">
        <f t="array" ref="N615">_xlfn.XLOOKUP(TRIM(D615),TRIM(DFC!A:A),DFC!A:A,"NÃO ESTÁ NA DFC")</f>
        <v xml:space="preserve">      PEÇAS</v>
      </c>
    </row>
    <row r="616" spans="1:14" customFormat="1" ht="14.4" x14ac:dyDescent="0.3">
      <c r="A616" s="24"/>
      <c r="B616" s="21">
        <v>45982</v>
      </c>
      <c r="C616" s="21" t="s">
        <v>15</v>
      </c>
      <c r="D616" s="21" t="s">
        <v>19</v>
      </c>
      <c r="E616" s="20"/>
      <c r="F616" s="22" t="s">
        <v>407</v>
      </c>
      <c r="G616" s="252">
        <v>24262.85</v>
      </c>
      <c r="H616" s="1"/>
      <c r="I616" s="1">
        <f>COUNTIF(Tabela1[NF],Tabela1[[#This Row],[NF]])</f>
        <v>0</v>
      </c>
      <c r="K616" s="26">
        <f>Tabela1[[#This Row],[DT. VENCIMENTO]]</f>
        <v>45982</v>
      </c>
      <c r="N616" s="14" t="str" cm="1">
        <f t="array" ref="N616">_xlfn.XLOOKUP(TRIM(D616),TRIM(DFC!A:A),DFC!A:A,"NÃO ESTÁ NA DFC")</f>
        <v xml:space="preserve">      PEÇAS</v>
      </c>
    </row>
    <row r="617" spans="1:14" customFormat="1" ht="14.4" x14ac:dyDescent="0.3">
      <c r="A617" s="24"/>
      <c r="B617" s="21">
        <v>45982</v>
      </c>
      <c r="C617" s="21" t="s">
        <v>15</v>
      </c>
      <c r="D617" s="21" t="s">
        <v>31</v>
      </c>
      <c r="E617" s="20"/>
      <c r="F617" s="22" t="s">
        <v>408</v>
      </c>
      <c r="G617" s="252">
        <v>2067.41</v>
      </c>
      <c r="H617" s="1"/>
      <c r="I617" s="1">
        <f>COUNTIF(Tabela1[NF],Tabela1[[#This Row],[NF]])</f>
        <v>0</v>
      </c>
      <c r="K617" s="26">
        <f>Tabela1[[#This Row],[DT. VENCIMENTO]]</f>
        <v>45982</v>
      </c>
      <c r="N617" s="14" t="str" cm="1">
        <f t="array" ref="N617">_xlfn.XLOOKUP(TRIM(D617),TRIM(DFC!A:A),DFC!A:A,"NÃO ESTÁ NA DFC")</f>
        <v xml:space="preserve">      GRAN RESIDENCE</v>
      </c>
    </row>
    <row r="618" spans="1:14" customFormat="1" ht="14.4" x14ac:dyDescent="0.3">
      <c r="A618" s="24"/>
      <c r="B618" s="21">
        <v>45982</v>
      </c>
      <c r="C618" s="21" t="s">
        <v>15</v>
      </c>
      <c r="D618" s="21" t="s">
        <v>19</v>
      </c>
      <c r="E618" s="20"/>
      <c r="F618" s="22" t="s">
        <v>303</v>
      </c>
      <c r="G618" s="252">
        <v>314.85000000000002</v>
      </c>
      <c r="H618" s="1"/>
      <c r="I618" s="1">
        <f>COUNTIF(Tabela1[NF],Tabela1[[#This Row],[NF]])</f>
        <v>0</v>
      </c>
      <c r="K618" s="26">
        <f>Tabela1[[#This Row],[DT. VENCIMENTO]]</f>
        <v>45982</v>
      </c>
      <c r="N618" s="14" t="str" cm="1">
        <f t="array" ref="N618">_xlfn.XLOOKUP(TRIM(D618),TRIM(DFC!A:A),DFC!A:A,"NÃO ESTÁ NA DFC")</f>
        <v xml:space="preserve">      PEÇAS</v>
      </c>
    </row>
    <row r="619" spans="1:14" customFormat="1" ht="14.4" x14ac:dyDescent="0.3">
      <c r="A619" s="24"/>
      <c r="B619" s="21">
        <v>45982</v>
      </c>
      <c r="C619" s="21" t="s">
        <v>15</v>
      </c>
      <c r="D619" s="21" t="s">
        <v>23</v>
      </c>
      <c r="E619" s="20"/>
      <c r="F619" s="22" t="s">
        <v>389</v>
      </c>
      <c r="G619" s="252">
        <v>1414</v>
      </c>
      <c r="H619" s="1"/>
      <c r="I619" s="1">
        <f>COUNTIF(Tabela1[NF],Tabela1[[#This Row],[NF]])</f>
        <v>0</v>
      </c>
      <c r="K619" s="26">
        <f>Tabela1[[#This Row],[DT. VENCIMENTO]]</f>
        <v>45982</v>
      </c>
      <c r="N619" s="14" t="str" cm="1">
        <f t="array" ref="N619">_xlfn.XLOOKUP(TRIM(D619),TRIM(DFC!A:A),DFC!A:A,"NÃO ESTÁ NA DFC")</f>
        <v xml:space="preserve">         CONTABILIDADE</v>
      </c>
    </row>
    <row r="620" spans="1:14" customFormat="1" ht="14.4" x14ac:dyDescent="0.3">
      <c r="A620" s="24"/>
      <c r="B620" s="21">
        <v>45982</v>
      </c>
      <c r="C620" s="21" t="s">
        <v>15</v>
      </c>
      <c r="D620" s="21" t="s">
        <v>19</v>
      </c>
      <c r="E620" s="20"/>
      <c r="F620" s="22" t="s">
        <v>405</v>
      </c>
      <c r="G620" s="252">
        <v>2084.66</v>
      </c>
      <c r="H620" s="1"/>
      <c r="I620" s="1">
        <f>COUNTIF(Tabela1[NF],Tabela1[[#This Row],[NF]])</f>
        <v>0</v>
      </c>
      <c r="K620" s="26">
        <f>Tabela1[[#This Row],[DT. VENCIMENTO]]</f>
        <v>45982</v>
      </c>
      <c r="N620" s="14" t="str" cm="1">
        <f t="array" ref="N620">_xlfn.XLOOKUP(TRIM(D620),TRIM(DFC!A:A),DFC!A:A,"NÃO ESTÁ NA DFC")</f>
        <v xml:space="preserve">      PEÇAS</v>
      </c>
    </row>
    <row r="621" spans="1:14" customFormat="1" ht="14.4" x14ac:dyDescent="0.3">
      <c r="A621" s="24"/>
      <c r="B621" s="21">
        <v>45982</v>
      </c>
      <c r="C621" s="21" t="s">
        <v>15</v>
      </c>
      <c r="D621" s="21" t="s">
        <v>19</v>
      </c>
      <c r="E621" s="20"/>
      <c r="F621" s="22" t="s">
        <v>407</v>
      </c>
      <c r="G621" s="252">
        <v>8087.62</v>
      </c>
      <c r="H621" s="1"/>
      <c r="I621" s="1">
        <f>COUNTIF(Tabela1[NF],Tabela1[[#This Row],[NF]])</f>
        <v>0</v>
      </c>
      <c r="K621" s="26">
        <f>Tabela1[[#This Row],[DT. VENCIMENTO]]</f>
        <v>45982</v>
      </c>
      <c r="N621" s="14" t="str" cm="1">
        <f t="array" ref="N621">_xlfn.XLOOKUP(TRIM(D621),TRIM(DFC!A:A),DFC!A:A,"NÃO ESTÁ NA DFC")</f>
        <v xml:space="preserve">      PEÇAS</v>
      </c>
    </row>
    <row r="622" spans="1:14" customFormat="1" ht="14.4" x14ac:dyDescent="0.3">
      <c r="A622" s="24"/>
      <c r="B622" s="21">
        <v>45982</v>
      </c>
      <c r="C622" s="21" t="s">
        <v>44</v>
      </c>
      <c r="D622" s="21" t="s">
        <v>89</v>
      </c>
      <c r="E622" s="20"/>
      <c r="F622" s="22" t="s">
        <v>409</v>
      </c>
      <c r="G622" s="252">
        <v>1518</v>
      </c>
      <c r="H622" s="1"/>
      <c r="I622" s="1">
        <f>COUNTIF(Tabela1[NF],Tabela1[[#This Row],[NF]])</f>
        <v>0</v>
      </c>
      <c r="K622" s="26">
        <f>Tabela1[[#This Row],[DT. VENCIMENTO]]</f>
        <v>45982</v>
      </c>
      <c r="N622" s="14" t="str" cm="1">
        <f t="array" ref="N622">_xlfn.XLOOKUP(TRIM(D622),TRIM(DFC!A:A),DFC!A:A,"NÃO ESTÁ NA DFC")</f>
        <v xml:space="preserve">          FUNDO PENITENCIÁRIO</v>
      </c>
    </row>
    <row r="623" spans="1:14" customFormat="1" ht="14.4" x14ac:dyDescent="0.3">
      <c r="A623" s="24"/>
      <c r="B623" s="21">
        <v>45982</v>
      </c>
      <c r="C623" s="21" t="s">
        <v>15</v>
      </c>
      <c r="D623" s="21" t="s">
        <v>19</v>
      </c>
      <c r="E623" s="20"/>
      <c r="F623" s="22" t="s">
        <v>300</v>
      </c>
      <c r="G623" s="252">
        <v>5970.24</v>
      </c>
      <c r="H623" s="1"/>
      <c r="I623" s="1">
        <f>COUNTIF(Tabela1[NF],Tabela1[[#This Row],[NF]])</f>
        <v>0</v>
      </c>
      <c r="K623" s="26">
        <f>Tabela1[[#This Row],[DT. VENCIMENTO]]</f>
        <v>45982</v>
      </c>
      <c r="N623" s="14" t="str" cm="1">
        <f t="array" ref="N623">_xlfn.XLOOKUP(TRIM(D623),TRIM(DFC!A:A),DFC!A:A,"NÃO ESTÁ NA DFC")</f>
        <v xml:space="preserve">      PEÇAS</v>
      </c>
    </row>
    <row r="624" spans="1:14" customFormat="1" ht="14.4" x14ac:dyDescent="0.3">
      <c r="A624" s="24"/>
      <c r="B624" s="21">
        <v>45982</v>
      </c>
      <c r="C624" s="21" t="s">
        <v>15</v>
      </c>
      <c r="D624" s="21" t="s">
        <v>95</v>
      </c>
      <c r="E624" s="20" t="s">
        <v>95</v>
      </c>
      <c r="F624" s="22" t="s">
        <v>404</v>
      </c>
      <c r="G624" s="252">
        <v>16</v>
      </c>
      <c r="H624" s="1"/>
      <c r="I624" s="1">
        <f>COUNTIF(Tabela1[NF],Tabela1[[#This Row],[NF]])</f>
        <v>0</v>
      </c>
      <c r="K624" s="26">
        <f>Tabela1[[#This Row],[DT. VENCIMENTO]]</f>
        <v>45982</v>
      </c>
      <c r="N624" s="14" t="str" cm="1">
        <f t="array" ref="N624">_xlfn.XLOOKUP(TRIM(D624),TRIM(DFC!A:A),DFC!A:A,"NÃO ESTÁ NA DFC")</f>
        <v xml:space="preserve">          ISS</v>
      </c>
    </row>
    <row r="625" spans="1:14" customFormat="1" ht="14.4" x14ac:dyDescent="0.3">
      <c r="A625" s="24"/>
      <c r="B625" s="21">
        <v>45982</v>
      </c>
      <c r="C625" s="21" t="s">
        <v>15</v>
      </c>
      <c r="D625" s="21" t="s">
        <v>19</v>
      </c>
      <c r="E625" s="20"/>
      <c r="F625" s="22" t="s">
        <v>300</v>
      </c>
      <c r="G625" s="252">
        <v>16049.29</v>
      </c>
      <c r="H625" s="1"/>
      <c r="I625" s="1">
        <f>COUNTIF(Tabela1[NF],Tabela1[[#This Row],[NF]])</f>
        <v>0</v>
      </c>
      <c r="K625" s="26">
        <f>Tabela1[[#This Row],[DT. VENCIMENTO]]</f>
        <v>45982</v>
      </c>
      <c r="N625" s="14" t="str" cm="1">
        <f t="array" ref="N625">_xlfn.XLOOKUP(TRIM(D625),TRIM(DFC!A:A),DFC!A:A,"NÃO ESTÁ NA DFC")</f>
        <v xml:space="preserve">      PEÇAS</v>
      </c>
    </row>
    <row r="626" spans="1:14" customFormat="1" ht="14.4" x14ac:dyDescent="0.3">
      <c r="A626" s="24"/>
      <c r="B626" s="21">
        <v>45982</v>
      </c>
      <c r="C626" s="21" t="s">
        <v>15</v>
      </c>
      <c r="D626" s="21" t="s">
        <v>19</v>
      </c>
      <c r="E626" s="20"/>
      <c r="F626" s="22" t="s">
        <v>228</v>
      </c>
      <c r="G626" s="252">
        <v>778.47</v>
      </c>
      <c r="H626" s="1"/>
      <c r="I626" s="1">
        <f>COUNTIF(Tabela1[NF],Tabela1[[#This Row],[NF]])</f>
        <v>0</v>
      </c>
      <c r="K626" s="26">
        <f>Tabela1[[#This Row],[DT. VENCIMENTO]]</f>
        <v>45982</v>
      </c>
      <c r="N626" s="14" t="str" cm="1">
        <f t="array" ref="N626">_xlfn.XLOOKUP(TRIM(D626),TRIM(DFC!A:A),DFC!A:A,"NÃO ESTÁ NA DFC")</f>
        <v xml:space="preserve">      PEÇAS</v>
      </c>
    </row>
    <row r="627" spans="1:14" customFormat="1" ht="14.4" x14ac:dyDescent="0.3">
      <c r="A627" s="24"/>
      <c r="B627" s="21">
        <v>45982</v>
      </c>
      <c r="C627" s="21" t="s">
        <v>15</v>
      </c>
      <c r="D627" s="21" t="s">
        <v>19</v>
      </c>
      <c r="E627" s="20"/>
      <c r="F627" s="22" t="s">
        <v>228</v>
      </c>
      <c r="G627" s="252">
        <v>783.78</v>
      </c>
      <c r="H627" s="1"/>
      <c r="I627" s="1">
        <f>COUNTIF(Tabela1[NF],Tabela1[[#This Row],[NF]])</f>
        <v>0</v>
      </c>
      <c r="K627" s="26">
        <f>Tabela1[[#This Row],[DT. VENCIMENTO]]</f>
        <v>45982</v>
      </c>
      <c r="N627" s="14" t="str" cm="1">
        <f t="array" ref="N627">_xlfn.XLOOKUP(TRIM(D627),TRIM(DFC!A:A),DFC!A:A,"NÃO ESTÁ NA DFC")</f>
        <v xml:space="preserve">      PEÇAS</v>
      </c>
    </row>
    <row r="628" spans="1:14" customFormat="1" ht="14.4" x14ac:dyDescent="0.3">
      <c r="A628" s="24"/>
      <c r="B628" s="21">
        <v>45982</v>
      </c>
      <c r="C628" s="21" t="s">
        <v>15</v>
      </c>
      <c r="D628" s="21" t="s">
        <v>19</v>
      </c>
      <c r="E628" s="20"/>
      <c r="F628" s="22" t="s">
        <v>228</v>
      </c>
      <c r="G628" s="252">
        <v>846.88</v>
      </c>
      <c r="H628" s="1"/>
      <c r="I628" s="1">
        <f>COUNTIF(Tabela1[NF],Tabela1[[#This Row],[NF]])</f>
        <v>0</v>
      </c>
      <c r="K628" s="26">
        <f>Tabela1[[#This Row],[DT. VENCIMENTO]]</f>
        <v>45982</v>
      </c>
      <c r="N628" s="14" t="str" cm="1">
        <f t="array" ref="N628">_xlfn.XLOOKUP(TRIM(D628),TRIM(DFC!A:A),DFC!A:A,"NÃO ESTÁ NA DFC")</f>
        <v xml:space="preserve">      PEÇAS</v>
      </c>
    </row>
    <row r="629" spans="1:14" customFormat="1" ht="14.4" x14ac:dyDescent="0.3">
      <c r="A629" s="24"/>
      <c r="B629" s="21">
        <v>45982</v>
      </c>
      <c r="C629" s="21" t="s">
        <v>15</v>
      </c>
      <c r="D629" s="21" t="s">
        <v>19</v>
      </c>
      <c r="E629" s="20"/>
      <c r="F629" s="22" t="s">
        <v>228</v>
      </c>
      <c r="G629" s="252">
        <v>810.22</v>
      </c>
      <c r="H629" s="1"/>
      <c r="I629" s="1">
        <f>COUNTIF(Tabela1[NF],Tabela1[[#This Row],[NF]])</f>
        <v>0</v>
      </c>
      <c r="K629" s="26">
        <f>Tabela1[[#This Row],[DT. VENCIMENTO]]</f>
        <v>45982</v>
      </c>
      <c r="N629" s="14" t="str" cm="1">
        <f t="array" ref="N629">_xlfn.XLOOKUP(TRIM(D629),TRIM(DFC!A:A),DFC!A:A,"NÃO ESTÁ NA DFC")</f>
        <v xml:space="preserve">      PEÇAS</v>
      </c>
    </row>
    <row r="630" spans="1:14" customFormat="1" ht="14.4" x14ac:dyDescent="0.3">
      <c r="A630" s="24"/>
      <c r="B630" s="21">
        <v>45982</v>
      </c>
      <c r="C630" s="21" t="s">
        <v>44</v>
      </c>
      <c r="D630" s="84" t="s">
        <v>129</v>
      </c>
      <c r="E630" s="20" t="s">
        <v>410</v>
      </c>
      <c r="F630" s="22" t="s">
        <v>398</v>
      </c>
      <c r="G630" s="252">
        <v>35650.83</v>
      </c>
      <c r="H630" s="1"/>
      <c r="I630" s="1">
        <f>COUNTIF(Tabela1[NF],Tabela1[[#This Row],[NF]])</f>
        <v>0</v>
      </c>
      <c r="K630" s="26">
        <f>Tabela1[[#This Row],[DT. VENCIMENTO]]</f>
        <v>45982</v>
      </c>
      <c r="N630" s="14" t="str" cm="1">
        <f t="array" ref="N630">_xlfn.XLOOKUP(TRIM(D630),TRIM(DFC!A:A),DFC!A:A,"NÃO ESTÁ NA DFC")</f>
        <v xml:space="preserve">     SIMPLES NACIONAL</v>
      </c>
    </row>
    <row r="631" spans="1:14" customFormat="1" ht="14.4" x14ac:dyDescent="0.3">
      <c r="A631" s="24"/>
      <c r="B631" s="21">
        <v>45982</v>
      </c>
      <c r="C631" s="21" t="s">
        <v>15</v>
      </c>
      <c r="D631" s="21" t="s">
        <v>82</v>
      </c>
      <c r="E631" s="20"/>
      <c r="F631" s="22" t="s">
        <v>411</v>
      </c>
      <c r="G631" s="252">
        <v>320</v>
      </c>
      <c r="H631" s="1"/>
      <c r="I631" s="1">
        <f>COUNTIF(Tabela1[NF],Tabela1[[#This Row],[NF]])</f>
        <v>0</v>
      </c>
      <c r="K631" s="26">
        <f>Tabela1[[#This Row],[DT. VENCIMENTO]]</f>
        <v>45982</v>
      </c>
      <c r="N631" s="14" t="str" cm="1">
        <f t="array" ref="N631">_xlfn.XLOOKUP(TRIM(D631),TRIM(DFC!A:A),DFC!A:A,"NÃO ESTÁ NA DFC")</f>
        <v xml:space="preserve">          DIÁRIAS</v>
      </c>
    </row>
    <row r="632" spans="1:14" customFormat="1" ht="14.4" x14ac:dyDescent="0.3">
      <c r="A632" s="24"/>
      <c r="B632" s="21">
        <v>45982</v>
      </c>
      <c r="C632" s="21" t="s">
        <v>15</v>
      </c>
      <c r="D632" s="21" t="s">
        <v>82</v>
      </c>
      <c r="E632" s="20"/>
      <c r="F632" s="22" t="s">
        <v>412</v>
      </c>
      <c r="G632" s="252">
        <v>200</v>
      </c>
      <c r="H632" s="1"/>
      <c r="I632" s="1">
        <f>COUNTIF(Tabela1[NF],Tabela1[[#This Row],[NF]])</f>
        <v>0</v>
      </c>
      <c r="K632" s="26">
        <f>Tabela1[[#This Row],[DT. VENCIMENTO]]</f>
        <v>45982</v>
      </c>
      <c r="N632" s="14" t="str" cm="1">
        <f t="array" ref="N632">_xlfn.XLOOKUP(TRIM(D632),TRIM(DFC!A:A),DFC!A:A,"NÃO ESTÁ NA DFC")</f>
        <v xml:space="preserve">          DIÁRIAS</v>
      </c>
    </row>
    <row r="633" spans="1:14" customFormat="1" ht="14.4" x14ac:dyDescent="0.3">
      <c r="A633" s="24"/>
      <c r="B633" s="21">
        <v>45982</v>
      </c>
      <c r="C633" s="21" t="s">
        <v>15</v>
      </c>
      <c r="D633" s="21" t="s">
        <v>82</v>
      </c>
      <c r="E633" s="20"/>
      <c r="F633" s="22" t="s">
        <v>354</v>
      </c>
      <c r="G633" s="252">
        <v>206.25</v>
      </c>
      <c r="H633" s="1"/>
      <c r="I633" s="1">
        <f>COUNTIF(Tabela1[NF],Tabela1[[#This Row],[NF]])</f>
        <v>0</v>
      </c>
      <c r="K633" s="26">
        <f>Tabela1[[#This Row],[DT. VENCIMENTO]]</f>
        <v>45982</v>
      </c>
      <c r="N633" s="14" t="str" cm="1">
        <f t="array" ref="N633">_xlfn.XLOOKUP(TRIM(D633),TRIM(DFC!A:A),DFC!A:A,"NÃO ESTÁ NA DFC")</f>
        <v xml:space="preserve">          DIÁRIAS</v>
      </c>
    </row>
    <row r="634" spans="1:14" customFormat="1" ht="14.4" x14ac:dyDescent="0.3">
      <c r="A634" s="24"/>
      <c r="B634" s="21">
        <v>45982</v>
      </c>
      <c r="C634" s="21" t="s">
        <v>15</v>
      </c>
      <c r="D634" s="21" t="s">
        <v>82</v>
      </c>
      <c r="E634" s="20"/>
      <c r="F634" s="22" t="s">
        <v>347</v>
      </c>
      <c r="G634" s="252">
        <v>300</v>
      </c>
      <c r="H634" s="1"/>
      <c r="I634" s="1">
        <f>COUNTIF(Tabela1[NF],Tabela1[[#This Row],[NF]])</f>
        <v>0</v>
      </c>
      <c r="K634" s="26">
        <f>Tabela1[[#This Row],[DT. VENCIMENTO]]</f>
        <v>45982</v>
      </c>
      <c r="N634" s="14" t="str" cm="1">
        <f t="array" ref="N634">_xlfn.XLOOKUP(TRIM(D634),TRIM(DFC!A:A),DFC!A:A,"NÃO ESTÁ NA DFC")</f>
        <v xml:space="preserve">          DIÁRIAS</v>
      </c>
    </row>
    <row r="635" spans="1:14" customFormat="1" ht="14.4" x14ac:dyDescent="0.3">
      <c r="A635" s="24"/>
      <c r="B635" s="21">
        <v>45982</v>
      </c>
      <c r="C635" s="21" t="s">
        <v>15</v>
      </c>
      <c r="D635" s="21" t="s">
        <v>82</v>
      </c>
      <c r="E635" s="20"/>
      <c r="F635" s="22" t="s">
        <v>349</v>
      </c>
      <c r="G635" s="252">
        <v>106.25</v>
      </c>
      <c r="H635" s="1"/>
      <c r="I635" s="1">
        <f>COUNTIF(Tabela1[NF],Tabela1[[#This Row],[NF]])</f>
        <v>0</v>
      </c>
      <c r="K635" s="26">
        <f>Tabela1[[#This Row],[DT. VENCIMENTO]]</f>
        <v>45982</v>
      </c>
      <c r="N635" s="14" t="str" cm="1">
        <f t="array" ref="N635">_xlfn.XLOOKUP(TRIM(D635),TRIM(DFC!A:A),DFC!A:A,"NÃO ESTÁ NA DFC")</f>
        <v xml:space="preserve">          DIÁRIAS</v>
      </c>
    </row>
    <row r="636" spans="1:14" customFormat="1" ht="14.4" x14ac:dyDescent="0.3">
      <c r="A636" s="24"/>
      <c r="B636" s="21">
        <v>45982</v>
      </c>
      <c r="C636" s="21" t="s">
        <v>15</v>
      </c>
      <c r="D636" s="21" t="s">
        <v>82</v>
      </c>
      <c r="E636" s="20"/>
      <c r="F636" s="22" t="s">
        <v>373</v>
      </c>
      <c r="G636" s="252">
        <v>250</v>
      </c>
      <c r="H636" s="1"/>
      <c r="I636" s="1">
        <f>COUNTIF(Tabela1[NF],Tabela1[[#This Row],[NF]])</f>
        <v>0</v>
      </c>
      <c r="K636" s="26">
        <f>Tabela1[[#This Row],[DT. VENCIMENTO]]</f>
        <v>45982</v>
      </c>
      <c r="N636" s="14" t="str" cm="1">
        <f t="array" ref="N636">_xlfn.XLOOKUP(TRIM(D636),TRIM(DFC!A:A),DFC!A:A,"NÃO ESTÁ NA DFC")</f>
        <v xml:space="preserve">          DIÁRIAS</v>
      </c>
    </row>
    <row r="637" spans="1:14" customFormat="1" ht="14.4" x14ac:dyDescent="0.3">
      <c r="A637" s="24"/>
      <c r="B637" s="21">
        <v>45982</v>
      </c>
      <c r="C637" s="21" t="s">
        <v>15</v>
      </c>
      <c r="D637" s="21" t="s">
        <v>82</v>
      </c>
      <c r="E637" s="20"/>
      <c r="F637" s="22" t="s">
        <v>374</v>
      </c>
      <c r="G637" s="252">
        <v>100</v>
      </c>
      <c r="H637" s="1"/>
      <c r="I637" s="1">
        <f>COUNTIF(Tabela1[NF],Tabela1[[#This Row],[NF]])</f>
        <v>0</v>
      </c>
      <c r="K637" s="26">
        <f>Tabela1[[#This Row],[DT. VENCIMENTO]]</f>
        <v>45982</v>
      </c>
      <c r="N637" s="14" t="str" cm="1">
        <f t="array" ref="N637">_xlfn.XLOOKUP(TRIM(D637),TRIM(DFC!A:A),DFC!A:A,"NÃO ESTÁ NA DFC")</f>
        <v xml:space="preserve">          DIÁRIAS</v>
      </c>
    </row>
    <row r="638" spans="1:14" customFormat="1" ht="14.4" x14ac:dyDescent="0.3">
      <c r="A638" s="24"/>
      <c r="B638" s="21">
        <v>45982</v>
      </c>
      <c r="C638" s="21" t="s">
        <v>15</v>
      </c>
      <c r="D638" s="21" t="s">
        <v>82</v>
      </c>
      <c r="E638" s="20"/>
      <c r="F638" s="22" t="s">
        <v>353</v>
      </c>
      <c r="G638" s="252">
        <v>406.25</v>
      </c>
      <c r="H638" s="1"/>
      <c r="I638" s="1">
        <f>COUNTIF(Tabela1[NF],Tabela1[[#This Row],[NF]])</f>
        <v>0</v>
      </c>
      <c r="K638" s="26">
        <f>Tabela1[[#This Row],[DT. VENCIMENTO]]</f>
        <v>45982</v>
      </c>
      <c r="N638" s="14" t="str" cm="1">
        <f t="array" ref="N638">_xlfn.XLOOKUP(TRIM(D638),TRIM(DFC!A:A),DFC!A:A,"NÃO ESTÁ NA DFC")</f>
        <v xml:space="preserve">          DIÁRIAS</v>
      </c>
    </row>
    <row r="639" spans="1:14" customFormat="1" ht="14.4" x14ac:dyDescent="0.3">
      <c r="A639" s="24"/>
      <c r="B639" s="21">
        <v>45982</v>
      </c>
      <c r="C639" s="21" t="s">
        <v>15</v>
      </c>
      <c r="D639" s="21" t="s">
        <v>82</v>
      </c>
      <c r="E639" s="20"/>
      <c r="F639" s="22" t="s">
        <v>413</v>
      </c>
      <c r="G639" s="252">
        <v>300</v>
      </c>
      <c r="H639" s="1"/>
      <c r="I639" s="1">
        <f>COUNTIF(Tabela1[NF],Tabela1[[#This Row],[NF]])</f>
        <v>0</v>
      </c>
      <c r="K639" s="26">
        <f>Tabela1[[#This Row],[DT. VENCIMENTO]]</f>
        <v>45982</v>
      </c>
      <c r="N639" s="14" t="str" cm="1">
        <f t="array" ref="N639">_xlfn.XLOOKUP(TRIM(D639),TRIM(DFC!A:A),DFC!A:A,"NÃO ESTÁ NA DFC")</f>
        <v xml:space="preserve">          DIÁRIAS</v>
      </c>
    </row>
    <row r="640" spans="1:14" customFormat="1" ht="14.4" x14ac:dyDescent="0.3">
      <c r="A640" s="24"/>
      <c r="B640" s="21">
        <v>45982</v>
      </c>
      <c r="C640" s="21" t="s">
        <v>15</v>
      </c>
      <c r="D640" s="21" t="s">
        <v>82</v>
      </c>
      <c r="E640" s="20"/>
      <c r="F640" s="22" t="s">
        <v>159</v>
      </c>
      <c r="G640" s="252">
        <v>5000</v>
      </c>
      <c r="H640" s="1"/>
      <c r="I640" s="1">
        <f>COUNTIF(Tabela1[NF],Tabela1[[#This Row],[NF]])</f>
        <v>0</v>
      </c>
      <c r="K640" s="26">
        <f>Tabela1[[#This Row],[DT. VENCIMENTO]]</f>
        <v>45982</v>
      </c>
      <c r="N640" s="14" t="str" cm="1">
        <f t="array" ref="N640">_xlfn.XLOOKUP(TRIM(D640),TRIM(DFC!A:A),DFC!A:A,"NÃO ESTÁ NA DFC")</f>
        <v xml:space="preserve">          DIÁRIAS</v>
      </c>
    </row>
    <row r="641" spans="1:14" customFormat="1" ht="14.4" x14ac:dyDescent="0.3">
      <c r="A641" s="24"/>
      <c r="B641" s="21">
        <v>45982</v>
      </c>
      <c r="C641" s="21" t="s">
        <v>15</v>
      </c>
      <c r="D641" s="21" t="s">
        <v>19</v>
      </c>
      <c r="E641" s="20" t="s">
        <v>414</v>
      </c>
      <c r="F641" s="22" t="s">
        <v>103</v>
      </c>
      <c r="G641" s="252">
        <v>20167.37</v>
      </c>
      <c r="H641" s="1"/>
      <c r="I641" s="1">
        <f>COUNTIF(Tabela1[NF],Tabela1[[#This Row],[NF]])</f>
        <v>0</v>
      </c>
      <c r="K641" s="26">
        <f>Tabela1[[#This Row],[DT. VENCIMENTO]]</f>
        <v>45982</v>
      </c>
      <c r="N641" s="14" t="str" cm="1">
        <f t="array" ref="N641">_xlfn.XLOOKUP(TRIM(D641),TRIM(DFC!A:A),DFC!A:A,"NÃO ESTÁ NA DFC")</f>
        <v xml:space="preserve">      PEÇAS</v>
      </c>
    </row>
    <row r="642" spans="1:14" customFormat="1" ht="14.4" x14ac:dyDescent="0.3">
      <c r="A642" s="24"/>
      <c r="B642" s="21">
        <v>45985</v>
      </c>
      <c r="C642" s="21" t="s">
        <v>15</v>
      </c>
      <c r="D642" s="21" t="s">
        <v>111</v>
      </c>
      <c r="E642" s="20"/>
      <c r="F642" s="22" t="s">
        <v>114</v>
      </c>
      <c r="G642" s="252">
        <v>20.170000000000002</v>
      </c>
      <c r="H642" s="1"/>
      <c r="I642" s="1">
        <f>COUNTIF(Tabela1[NF],Tabela1[[#This Row],[NF]])</f>
        <v>0</v>
      </c>
      <c r="K642" s="26">
        <f>Tabela1[[#This Row],[DT. VENCIMENTO]]</f>
        <v>45985</v>
      </c>
      <c r="N642" s="14" t="str" cm="1">
        <f t="array" ref="N642">_xlfn.XLOOKUP(TRIM(D642),TRIM(DFC!A:A),DFC!A:A,"NÃO ESTÁ NA DFC")</f>
        <v xml:space="preserve">          TX. BANCÁRIA</v>
      </c>
    </row>
    <row r="643" spans="1:14" customFormat="1" ht="14.4" x14ac:dyDescent="0.3">
      <c r="A643" s="24"/>
      <c r="B643" s="21">
        <v>45985</v>
      </c>
      <c r="C643" s="21" t="s">
        <v>15</v>
      </c>
      <c r="D643" s="84" t="s">
        <v>18</v>
      </c>
      <c r="E643" s="20" t="s">
        <v>415</v>
      </c>
      <c r="F643" s="22" t="s">
        <v>416</v>
      </c>
      <c r="G643" s="252">
        <v>2000</v>
      </c>
      <c r="H643" s="1"/>
      <c r="I643" s="1">
        <f>COUNTIF(Tabela1[NF],Tabela1[[#This Row],[NF]])</f>
        <v>0</v>
      </c>
      <c r="K643" s="26">
        <f>Tabela1[[#This Row],[DT. VENCIMENTO]]</f>
        <v>45985</v>
      </c>
      <c r="N643" s="14" t="str" cm="1">
        <f t="array" ref="N643">_xlfn.XLOOKUP(TRIM(D643),TRIM(DFC!A:A),DFC!A:A,"NÃO ESTÁ NA DFC")</f>
        <v xml:space="preserve">     COMISSÕES E TAXAS DOS MARKETPLACES</v>
      </c>
    </row>
    <row r="644" spans="1:14" customFormat="1" ht="14.4" x14ac:dyDescent="0.3">
      <c r="A644" s="24"/>
      <c r="B644" s="21">
        <v>45985</v>
      </c>
      <c r="C644" s="21" t="s">
        <v>15</v>
      </c>
      <c r="D644" s="84" t="s">
        <v>140</v>
      </c>
      <c r="E644" s="20" t="s">
        <v>417</v>
      </c>
      <c r="F644" s="22" t="s">
        <v>418</v>
      </c>
      <c r="G644" s="252">
        <v>606.04</v>
      </c>
      <c r="H644" s="1"/>
      <c r="I644" s="1">
        <f>COUNTIF(Tabela1[NF],Tabela1[[#This Row],[NF]])</f>
        <v>0</v>
      </c>
      <c r="K644" s="26">
        <f>Tabela1[[#This Row],[DT. VENCIMENTO]]</f>
        <v>45985</v>
      </c>
      <c r="N644" s="14" t="str" cm="1">
        <f t="array" ref="N644">_xlfn.XLOOKUP(TRIM(D644),TRIM(DFC!A:A),DFC!A:A,"NÃO ESTÁ NA DFC")</f>
        <v xml:space="preserve">          TREINAMENTO DE FUNCIONÁRIO</v>
      </c>
    </row>
    <row r="645" spans="1:14" customFormat="1" ht="14.4" x14ac:dyDescent="0.3">
      <c r="A645" s="24"/>
      <c r="B645" s="21">
        <v>45985</v>
      </c>
      <c r="C645" s="21" t="s">
        <v>15</v>
      </c>
      <c r="D645" s="21" t="s">
        <v>23</v>
      </c>
      <c r="E645" s="20"/>
      <c r="F645" s="22" t="s">
        <v>419</v>
      </c>
      <c r="G645" s="252">
        <v>240</v>
      </c>
      <c r="H645" s="1"/>
      <c r="I645" s="1">
        <f>COUNTIF(Tabela1[NF],Tabela1[[#This Row],[NF]])</f>
        <v>0</v>
      </c>
      <c r="K645" s="26">
        <f>Tabela1[[#This Row],[DT. VENCIMENTO]]</f>
        <v>45985</v>
      </c>
      <c r="N645" s="14" t="str" cm="1">
        <f t="array" ref="N645">_xlfn.XLOOKUP(TRIM(D645),TRIM(DFC!A:A),DFC!A:A,"NÃO ESTÁ NA DFC")</f>
        <v xml:space="preserve">         CONTABILIDADE</v>
      </c>
    </row>
    <row r="646" spans="1:14" customFormat="1" ht="14.4" x14ac:dyDescent="0.3">
      <c r="A646" s="24"/>
      <c r="B646" s="21">
        <v>45985</v>
      </c>
      <c r="C646" s="21" t="s">
        <v>15</v>
      </c>
      <c r="D646" s="21" t="s">
        <v>29</v>
      </c>
      <c r="E646" s="20"/>
      <c r="F646" s="22" t="s">
        <v>420</v>
      </c>
      <c r="G646" s="252">
        <v>1174.8800000000001</v>
      </c>
      <c r="H646" s="1"/>
      <c r="I646" s="1">
        <f>COUNTIF(Tabela1[NF],Tabela1[[#This Row],[NF]])</f>
        <v>0</v>
      </c>
      <c r="K646" s="26">
        <f>Tabela1[[#This Row],[DT. VENCIMENTO]]</f>
        <v>45985</v>
      </c>
      <c r="N646" s="14" t="str" cm="1">
        <f t="array" ref="N646">_xlfn.XLOOKUP(TRIM(D646),TRIM(DFC!A:A),DFC!A:A,"NÃO ESTÁ NA DFC")</f>
        <v xml:space="preserve">      FRETE DE SAÍDA</v>
      </c>
    </row>
    <row r="647" spans="1:14" customFormat="1" ht="14.4" x14ac:dyDescent="0.3">
      <c r="A647" s="24"/>
      <c r="B647" s="21">
        <v>45985</v>
      </c>
      <c r="C647" s="21" t="s">
        <v>15</v>
      </c>
      <c r="D647" s="21" t="s">
        <v>57</v>
      </c>
      <c r="E647" s="20"/>
      <c r="F647" s="22" t="s">
        <v>421</v>
      </c>
      <c r="G647" s="252">
        <v>113.95</v>
      </c>
      <c r="H647" s="1"/>
      <c r="I647" s="1">
        <f>COUNTIF(Tabela1[NF],Tabela1[[#This Row],[NF]])</f>
        <v>0</v>
      </c>
      <c r="K647" s="26">
        <f>Tabela1[[#This Row],[DT. VENCIMENTO]]</f>
        <v>45985</v>
      </c>
      <c r="N647" s="14" t="str" cm="1">
        <f t="array" ref="N647">_xlfn.XLOOKUP(TRIM(D647),TRIM(DFC!A:A),DFC!A:A,"NÃO ESTÁ NA DFC")</f>
        <v xml:space="preserve">          ALIMENTAÇÃO</v>
      </c>
    </row>
    <row r="648" spans="1:14" customFormat="1" ht="14.4" x14ac:dyDescent="0.3">
      <c r="A648" s="24"/>
      <c r="B648" s="21">
        <v>45985</v>
      </c>
      <c r="C648" s="21" t="s">
        <v>15</v>
      </c>
      <c r="D648" s="21" t="s">
        <v>19</v>
      </c>
      <c r="E648" s="20"/>
      <c r="F648" s="22" t="s">
        <v>422</v>
      </c>
      <c r="G648" s="252">
        <v>6740</v>
      </c>
      <c r="H648" s="1"/>
      <c r="I648" s="1">
        <f>COUNTIF(Tabela1[NF],Tabela1[[#This Row],[NF]])</f>
        <v>0</v>
      </c>
      <c r="K648" s="26">
        <f>Tabela1[[#This Row],[DT. VENCIMENTO]]</f>
        <v>45985</v>
      </c>
      <c r="N648" s="14" t="str" cm="1">
        <f t="array" ref="N648">_xlfn.XLOOKUP(TRIM(D648),TRIM(DFC!A:A),DFC!A:A,"NÃO ESTÁ NA DFC")</f>
        <v xml:space="preserve">      PEÇAS</v>
      </c>
    </row>
    <row r="649" spans="1:14" customFormat="1" ht="14.4" x14ac:dyDescent="0.3">
      <c r="A649" s="24"/>
      <c r="B649" s="21">
        <v>45985</v>
      </c>
      <c r="C649" s="21" t="s">
        <v>15</v>
      </c>
      <c r="D649" s="21" t="s">
        <v>19</v>
      </c>
      <c r="E649" s="20"/>
      <c r="F649" s="22" t="s">
        <v>423</v>
      </c>
      <c r="G649" s="252">
        <v>9733.36</v>
      </c>
      <c r="H649" s="1"/>
      <c r="I649" s="1">
        <f>COUNTIF(Tabela1[NF],Tabela1[[#This Row],[NF]])</f>
        <v>0</v>
      </c>
      <c r="K649" s="26">
        <f>Tabela1[[#This Row],[DT. VENCIMENTO]]</f>
        <v>45985</v>
      </c>
      <c r="N649" s="14" t="str" cm="1">
        <f t="array" ref="N649">_xlfn.XLOOKUP(TRIM(D649),TRIM(DFC!A:A),DFC!A:A,"NÃO ESTÁ NA DFC")</f>
        <v xml:space="preserve">      PEÇAS</v>
      </c>
    </row>
    <row r="650" spans="1:14" customFormat="1" ht="14.4" x14ac:dyDescent="0.3">
      <c r="A650" s="24"/>
      <c r="B650" s="21">
        <v>45985</v>
      </c>
      <c r="C650" s="21" t="s">
        <v>15</v>
      </c>
      <c r="D650" s="21" t="s">
        <v>19</v>
      </c>
      <c r="E650" s="20"/>
      <c r="F650" s="22" t="s">
        <v>228</v>
      </c>
      <c r="G650" s="252">
        <v>3521.77</v>
      </c>
      <c r="H650" s="1"/>
      <c r="I650" s="1">
        <f>COUNTIF(Tabela1[NF],Tabela1[[#This Row],[NF]])</f>
        <v>0</v>
      </c>
      <c r="K650" s="26">
        <f>Tabela1[[#This Row],[DT. VENCIMENTO]]</f>
        <v>45985</v>
      </c>
      <c r="N650" s="14" t="str" cm="1">
        <f t="array" ref="N650">_xlfn.XLOOKUP(TRIM(D650),TRIM(DFC!A:A),DFC!A:A,"NÃO ESTÁ NA DFC")</f>
        <v xml:space="preserve">      PEÇAS</v>
      </c>
    </row>
    <row r="651" spans="1:14" customFormat="1" ht="14.4" x14ac:dyDescent="0.3">
      <c r="A651" s="24"/>
      <c r="B651" s="21">
        <v>45985</v>
      </c>
      <c r="C651" s="21" t="s">
        <v>15</v>
      </c>
      <c r="D651" s="21" t="s">
        <v>154</v>
      </c>
      <c r="E651" s="20"/>
      <c r="F651" s="22" t="s">
        <v>299</v>
      </c>
      <c r="G651" s="252">
        <v>830.35</v>
      </c>
      <c r="H651" s="1"/>
      <c r="I651" s="1">
        <f>COUNTIF(Tabela1[NF],Tabela1[[#This Row],[NF]])</f>
        <v>0</v>
      </c>
      <c r="K651" s="26">
        <f>Tabela1[[#This Row],[DT. VENCIMENTO]]</f>
        <v>45985</v>
      </c>
      <c r="N651" s="14" t="str" cm="1">
        <f t="array" ref="N651">_xlfn.XLOOKUP(TRIM(D651),TRIM(DFC!A:A),DFC!A:A,"NÃO ESTÁ NA DFC")</f>
        <v xml:space="preserve">      EMBALAGENS</v>
      </c>
    </row>
    <row r="652" spans="1:14" customFormat="1" ht="14.4" x14ac:dyDescent="0.3">
      <c r="A652" s="24"/>
      <c r="B652" s="21">
        <v>45985</v>
      </c>
      <c r="C652" s="21" t="s">
        <v>15</v>
      </c>
      <c r="D652" s="21" t="s">
        <v>154</v>
      </c>
      <c r="E652" s="20"/>
      <c r="F652" s="22" t="s">
        <v>299</v>
      </c>
      <c r="G652" s="252">
        <v>2753.98</v>
      </c>
      <c r="H652" s="1"/>
      <c r="I652" s="1">
        <f>COUNTIF(Tabela1[NF],Tabela1[[#This Row],[NF]])</f>
        <v>0</v>
      </c>
      <c r="K652" s="26">
        <f>Tabela1[[#This Row],[DT. VENCIMENTO]]</f>
        <v>45985</v>
      </c>
      <c r="N652" s="14" t="str" cm="1">
        <f t="array" ref="N652">_xlfn.XLOOKUP(TRIM(D652),TRIM(DFC!A:A),DFC!A:A,"NÃO ESTÁ NA DFC")</f>
        <v xml:space="preserve">      EMBALAGENS</v>
      </c>
    </row>
    <row r="653" spans="1:14" customFormat="1" ht="14.4" x14ac:dyDescent="0.3">
      <c r="A653" s="24"/>
      <c r="B653" s="21">
        <v>45985</v>
      </c>
      <c r="C653" s="21" t="s">
        <v>15</v>
      </c>
      <c r="D653" s="21" t="s">
        <v>19</v>
      </c>
      <c r="E653" s="20"/>
      <c r="F653" s="22" t="s">
        <v>301</v>
      </c>
      <c r="G653" s="252">
        <v>5221.6099999999997</v>
      </c>
      <c r="H653" s="1"/>
      <c r="I653" s="1">
        <f>COUNTIF(Tabela1[NF],Tabela1[[#This Row],[NF]])</f>
        <v>0</v>
      </c>
      <c r="K653" s="26">
        <f>Tabela1[[#This Row],[DT. VENCIMENTO]]</f>
        <v>45985</v>
      </c>
      <c r="N653" s="14" t="str" cm="1">
        <f t="array" ref="N653">_xlfn.XLOOKUP(TRIM(D653),TRIM(DFC!A:A),DFC!A:A,"NÃO ESTÁ NA DFC")</f>
        <v xml:space="preserve">      PEÇAS</v>
      </c>
    </row>
    <row r="654" spans="1:14" customFormat="1" ht="14.4" x14ac:dyDescent="0.3">
      <c r="A654" s="24"/>
      <c r="B654" s="21">
        <v>45985</v>
      </c>
      <c r="C654" s="21" t="s">
        <v>15</v>
      </c>
      <c r="D654" s="21" t="s">
        <v>19</v>
      </c>
      <c r="E654" s="20"/>
      <c r="F654" s="22" t="s">
        <v>228</v>
      </c>
      <c r="G654" s="252">
        <v>3467.01</v>
      </c>
      <c r="H654" s="1"/>
      <c r="I654" s="1">
        <f>COUNTIF(Tabela1[NF],Tabela1[[#This Row],[NF]])</f>
        <v>0</v>
      </c>
      <c r="K654" s="26">
        <f>Tabela1[[#This Row],[DT. VENCIMENTO]]</f>
        <v>45985</v>
      </c>
      <c r="N654" s="14" t="str" cm="1">
        <f t="array" ref="N654">_xlfn.XLOOKUP(TRIM(D654),TRIM(DFC!A:A),DFC!A:A,"NÃO ESTÁ NA DFC")</f>
        <v xml:space="preserve">      PEÇAS</v>
      </c>
    </row>
    <row r="655" spans="1:14" customFormat="1" ht="14.4" x14ac:dyDescent="0.3">
      <c r="A655" s="24"/>
      <c r="B655" s="21">
        <v>45985</v>
      </c>
      <c r="C655" s="21" t="s">
        <v>15</v>
      </c>
      <c r="D655" s="21" t="s">
        <v>154</v>
      </c>
      <c r="E655" s="20"/>
      <c r="F655" s="22" t="s">
        <v>302</v>
      </c>
      <c r="G655" s="252">
        <v>2908.21</v>
      </c>
      <c r="H655" s="1"/>
      <c r="I655" s="1">
        <f>COUNTIF(Tabela1[NF],Tabela1[[#This Row],[NF]])</f>
        <v>0</v>
      </c>
      <c r="K655" s="26">
        <f>Tabela1[[#This Row],[DT. VENCIMENTO]]</f>
        <v>45985</v>
      </c>
      <c r="N655" s="14" t="str" cm="1">
        <f t="array" ref="N655">_xlfn.XLOOKUP(TRIM(D655),TRIM(DFC!A:A),DFC!A:A,"NÃO ESTÁ NA DFC")</f>
        <v xml:space="preserve">      EMBALAGENS</v>
      </c>
    </row>
    <row r="656" spans="1:14" customFormat="1" ht="14.4" x14ac:dyDescent="0.3">
      <c r="A656" s="24"/>
      <c r="B656" s="21">
        <v>45985</v>
      </c>
      <c r="C656" s="21" t="s">
        <v>15</v>
      </c>
      <c r="D656" s="21" t="s">
        <v>154</v>
      </c>
      <c r="E656" s="20"/>
      <c r="F656" s="22" t="s">
        <v>302</v>
      </c>
      <c r="G656" s="252">
        <v>2925.66</v>
      </c>
      <c r="H656" s="1"/>
      <c r="I656" s="1">
        <f>COUNTIF(Tabela1[NF],Tabela1[[#This Row],[NF]])</f>
        <v>0</v>
      </c>
      <c r="K656" s="26">
        <f>Tabela1[[#This Row],[DT. VENCIMENTO]]</f>
        <v>45985</v>
      </c>
      <c r="N656" s="14" t="str" cm="1">
        <f t="array" ref="N656">_xlfn.XLOOKUP(TRIM(D656),TRIM(DFC!A:A),DFC!A:A,"NÃO ESTÁ NA DFC")</f>
        <v xml:space="preserve">      EMBALAGENS</v>
      </c>
    </row>
    <row r="657" spans="1:14" customFormat="1" ht="14.4" x14ac:dyDescent="0.3">
      <c r="A657" s="24"/>
      <c r="B657" s="21">
        <v>45985</v>
      </c>
      <c r="C657" s="21" t="s">
        <v>15</v>
      </c>
      <c r="D657" s="21" t="s">
        <v>215</v>
      </c>
      <c r="E657" s="20"/>
      <c r="F657" s="22" t="s">
        <v>381</v>
      </c>
      <c r="G657" s="252">
        <v>1521.5</v>
      </c>
      <c r="H657" s="1"/>
      <c r="I657" s="1">
        <f>COUNTIF(Tabela1[NF],Tabela1[[#This Row],[NF]])</f>
        <v>0</v>
      </c>
      <c r="K657" s="26">
        <f>Tabela1[[#This Row],[DT. VENCIMENTO]]</f>
        <v>45985</v>
      </c>
      <c r="N657" s="14" t="str" cm="1">
        <f t="array" ref="N657">_xlfn.XLOOKUP(TRIM(D657),TRIM(DFC!A:A),DFC!A:A,"NÃO ESTÁ NA DFC")</f>
        <v xml:space="preserve">         DESIGNER GRAFICO</v>
      </c>
    </row>
    <row r="658" spans="1:14" customFormat="1" ht="14.4" x14ac:dyDescent="0.3">
      <c r="A658" s="24"/>
      <c r="B658" s="21">
        <v>45985</v>
      </c>
      <c r="C658" s="21" t="s">
        <v>15</v>
      </c>
      <c r="D658" s="21" t="s">
        <v>19</v>
      </c>
      <c r="E658" s="20"/>
      <c r="F658" s="22" t="s">
        <v>304</v>
      </c>
      <c r="G658" s="252">
        <v>2403.44</v>
      </c>
      <c r="H658" s="1"/>
      <c r="I658" s="1">
        <f>COUNTIF(Tabela1[NF],Tabela1[[#This Row],[NF]])</f>
        <v>0</v>
      </c>
      <c r="K658" s="26">
        <f>Tabela1[[#This Row],[DT. VENCIMENTO]]</f>
        <v>45985</v>
      </c>
      <c r="N658" s="14" t="str" cm="1">
        <f t="array" ref="N658">_xlfn.XLOOKUP(TRIM(D658),TRIM(DFC!A:A),DFC!A:A,"NÃO ESTÁ NA DFC")</f>
        <v xml:space="preserve">      PEÇAS</v>
      </c>
    </row>
    <row r="659" spans="1:14" customFormat="1" ht="14.4" x14ac:dyDescent="0.3">
      <c r="A659" s="24"/>
      <c r="B659" s="21">
        <v>45985</v>
      </c>
      <c r="C659" s="21" t="s">
        <v>15</v>
      </c>
      <c r="D659" s="21" t="s">
        <v>28</v>
      </c>
      <c r="E659" s="20"/>
      <c r="F659" s="22" t="s">
        <v>424</v>
      </c>
      <c r="G659" s="252">
        <v>2323.2800000000002</v>
      </c>
      <c r="H659" s="1"/>
      <c r="I659" s="1">
        <f>COUNTIF(Tabela1[NF],Tabela1[[#This Row],[NF]])</f>
        <v>0</v>
      </c>
      <c r="K659" s="26">
        <f>Tabela1[[#This Row],[DT. VENCIMENTO]]</f>
        <v>45985</v>
      </c>
      <c r="N659" s="14" t="str" cm="1">
        <f t="array" ref="N659">_xlfn.XLOOKUP(TRIM(D659),TRIM(DFC!A:A),DFC!A:A,"NÃO ESTÁ NA DFC")</f>
        <v xml:space="preserve">          FERRAMENTAS PARA MANUTENÇÃO</v>
      </c>
    </row>
    <row r="660" spans="1:14" customFormat="1" ht="14.4" x14ac:dyDescent="0.3">
      <c r="A660" s="24"/>
      <c r="B660" s="21">
        <v>45985</v>
      </c>
      <c r="C660" s="21" t="s">
        <v>15</v>
      </c>
      <c r="D660" s="21" t="s">
        <v>19</v>
      </c>
      <c r="E660" s="20"/>
      <c r="F660" s="22" t="s">
        <v>300</v>
      </c>
      <c r="G660" s="252">
        <v>7532.74</v>
      </c>
      <c r="H660" s="1"/>
      <c r="I660" s="1">
        <f>COUNTIF(Tabela1[NF],Tabela1[[#This Row],[NF]])</f>
        <v>0</v>
      </c>
      <c r="K660" s="26">
        <f>Tabela1[[#This Row],[DT. VENCIMENTO]]</f>
        <v>45985</v>
      </c>
      <c r="N660" s="14" t="str" cm="1">
        <f t="array" ref="N660">_xlfn.XLOOKUP(TRIM(D660),TRIM(DFC!A:A),DFC!A:A,"NÃO ESTÁ NA DFC")</f>
        <v xml:space="preserve">      PEÇAS</v>
      </c>
    </row>
    <row r="661" spans="1:14" customFormat="1" ht="14.4" x14ac:dyDescent="0.3">
      <c r="A661" s="24"/>
      <c r="B661" s="21">
        <v>45985</v>
      </c>
      <c r="C661" s="21" t="s">
        <v>15</v>
      </c>
      <c r="D661" s="21" t="s">
        <v>19</v>
      </c>
      <c r="E661" s="20"/>
      <c r="F661" s="22" t="s">
        <v>328</v>
      </c>
      <c r="G661" s="252">
        <v>563.03</v>
      </c>
      <c r="H661" s="1"/>
      <c r="I661" s="1">
        <f>COUNTIF(Tabela1[NF],Tabela1[[#This Row],[NF]])</f>
        <v>0</v>
      </c>
      <c r="K661" s="26">
        <f>Tabela1[[#This Row],[DT. VENCIMENTO]]</f>
        <v>45985</v>
      </c>
      <c r="N661" s="14" t="str" cm="1">
        <f t="array" ref="N661">_xlfn.XLOOKUP(TRIM(D661),TRIM(DFC!A:A),DFC!A:A,"NÃO ESTÁ NA DFC")</f>
        <v xml:space="preserve">      PEÇAS</v>
      </c>
    </row>
    <row r="662" spans="1:14" customFormat="1" ht="14.4" x14ac:dyDescent="0.3">
      <c r="A662" s="24"/>
      <c r="B662" s="21">
        <v>45985</v>
      </c>
      <c r="C662" s="21" t="s">
        <v>15</v>
      </c>
      <c r="D662" s="21" t="s">
        <v>19</v>
      </c>
      <c r="E662" s="20"/>
      <c r="F662" s="22" t="s">
        <v>301</v>
      </c>
      <c r="G662" s="252">
        <v>6707.11</v>
      </c>
      <c r="H662" s="1"/>
      <c r="I662" s="1">
        <f>COUNTIF(Tabela1[NF],Tabela1[[#This Row],[NF]])</f>
        <v>0</v>
      </c>
      <c r="K662" s="26">
        <f>Tabela1[[#This Row],[DT. VENCIMENTO]]</f>
        <v>45985</v>
      </c>
      <c r="N662" s="14" t="str" cm="1">
        <f t="array" ref="N662">_xlfn.XLOOKUP(TRIM(D662),TRIM(DFC!A:A),DFC!A:A,"NÃO ESTÁ NA DFC")</f>
        <v xml:space="preserve">      PEÇAS</v>
      </c>
    </row>
    <row r="663" spans="1:14" customFormat="1" ht="14.4" x14ac:dyDescent="0.3">
      <c r="A663" s="24"/>
      <c r="B663" s="21">
        <v>45985</v>
      </c>
      <c r="C663" s="21" t="s">
        <v>15</v>
      </c>
      <c r="D663" s="21" t="s">
        <v>19</v>
      </c>
      <c r="E663" s="20"/>
      <c r="F663" s="22" t="s">
        <v>298</v>
      </c>
      <c r="G663" s="252">
        <v>2161.14</v>
      </c>
      <c r="H663" s="1"/>
      <c r="I663" s="1">
        <f>COUNTIF(Tabela1[NF],Tabela1[[#This Row],[NF]])</f>
        <v>0</v>
      </c>
      <c r="K663" s="26">
        <f>Tabela1[[#This Row],[DT. VENCIMENTO]]</f>
        <v>45985</v>
      </c>
      <c r="N663" s="14" t="str" cm="1">
        <f t="array" ref="N663">_xlfn.XLOOKUP(TRIM(D663),TRIM(DFC!A:A),DFC!A:A,"NÃO ESTÁ NA DFC")</f>
        <v xml:space="preserve">      PEÇAS</v>
      </c>
    </row>
    <row r="664" spans="1:14" customFormat="1" ht="14.4" x14ac:dyDescent="0.3">
      <c r="A664" s="24"/>
      <c r="B664" s="21">
        <v>45985</v>
      </c>
      <c r="C664" s="21" t="s">
        <v>15</v>
      </c>
      <c r="D664" s="21" t="s">
        <v>19</v>
      </c>
      <c r="E664" s="20"/>
      <c r="F664" s="22" t="s">
        <v>298</v>
      </c>
      <c r="G664" s="252">
        <v>926.22</v>
      </c>
      <c r="H664" s="1"/>
      <c r="I664" s="1">
        <f>COUNTIF(Tabela1[NF],Tabela1[[#This Row],[NF]])</f>
        <v>0</v>
      </c>
      <c r="K664" s="26">
        <f>Tabela1[[#This Row],[DT. VENCIMENTO]]</f>
        <v>45985</v>
      </c>
      <c r="N664" s="14" t="str" cm="1">
        <f t="array" ref="N664">_xlfn.XLOOKUP(TRIM(D664),TRIM(DFC!A:A),DFC!A:A,"NÃO ESTÁ NA DFC")</f>
        <v xml:space="preserve">      PEÇAS</v>
      </c>
    </row>
    <row r="665" spans="1:14" customFormat="1" ht="14.4" x14ac:dyDescent="0.3">
      <c r="A665" s="24"/>
      <c r="B665" s="21">
        <v>45985</v>
      </c>
      <c r="C665" s="21" t="s">
        <v>15</v>
      </c>
      <c r="D665" s="21" t="s">
        <v>19</v>
      </c>
      <c r="E665" s="20"/>
      <c r="F665" s="22" t="s">
        <v>173</v>
      </c>
      <c r="G665" s="252">
        <v>198.5</v>
      </c>
      <c r="H665" s="1"/>
      <c r="I665" s="1">
        <f>COUNTIF(Tabela1[NF],Tabela1[[#This Row],[NF]])</f>
        <v>0</v>
      </c>
      <c r="K665" s="26">
        <f>Tabela1[[#This Row],[DT. VENCIMENTO]]</f>
        <v>45985</v>
      </c>
      <c r="N665" s="14" t="str" cm="1">
        <f t="array" ref="N665">_xlfn.XLOOKUP(TRIM(D665),TRIM(DFC!A:A),DFC!A:A,"NÃO ESTÁ NA DFC")</f>
        <v xml:space="preserve">      PEÇAS</v>
      </c>
    </row>
    <row r="666" spans="1:14" customFormat="1" ht="14.4" x14ac:dyDescent="0.3">
      <c r="A666" s="24"/>
      <c r="B666" s="21">
        <v>45985</v>
      </c>
      <c r="C666" s="21" t="s">
        <v>15</v>
      </c>
      <c r="D666" s="21" t="s">
        <v>19</v>
      </c>
      <c r="E666" s="20"/>
      <c r="F666" s="22" t="s">
        <v>173</v>
      </c>
      <c r="G666" s="252">
        <v>198.5</v>
      </c>
      <c r="H666" s="1"/>
      <c r="I666" s="1">
        <f>COUNTIF(Tabela1[NF],Tabela1[[#This Row],[NF]])</f>
        <v>0</v>
      </c>
      <c r="K666" s="26">
        <f>Tabela1[[#This Row],[DT. VENCIMENTO]]</f>
        <v>45985</v>
      </c>
      <c r="N666" s="14" t="str" cm="1">
        <f t="array" ref="N666">_xlfn.XLOOKUP(TRIM(D666),TRIM(DFC!A:A),DFC!A:A,"NÃO ESTÁ NA DFC")</f>
        <v xml:space="preserve">      PEÇAS</v>
      </c>
    </row>
    <row r="667" spans="1:14" customFormat="1" ht="14.4" x14ac:dyDescent="0.3">
      <c r="A667" s="24"/>
      <c r="B667" s="21">
        <v>45985</v>
      </c>
      <c r="C667" s="21" t="s">
        <v>15</v>
      </c>
      <c r="D667" s="21" t="s">
        <v>425</v>
      </c>
      <c r="E667" s="20"/>
      <c r="F667" s="22" t="s">
        <v>426</v>
      </c>
      <c r="G667" s="252">
        <v>130</v>
      </c>
      <c r="H667" s="1"/>
      <c r="I667" s="1">
        <f>COUNTIF(Tabela1[NF],Tabela1[[#This Row],[NF]])</f>
        <v>0</v>
      </c>
      <c r="K667" s="26">
        <f>Tabela1[[#This Row],[DT. VENCIMENTO]]</f>
        <v>45985</v>
      </c>
      <c r="N667" s="14" t="str" cm="1">
        <f t="array" ref="N667">_xlfn.XLOOKUP(TRIM(D667),TRIM(DFC!A:A),DFC!A:A,"NÃO ESTÁ NA DFC")</f>
        <v xml:space="preserve">          SERVIÇOS DE MANUTENÇÃO INDUSTRIAL</v>
      </c>
    </row>
    <row r="668" spans="1:14" customFormat="1" ht="14.4" x14ac:dyDescent="0.3">
      <c r="A668" s="19">
        <v>447338</v>
      </c>
      <c r="B668" s="21">
        <v>45985</v>
      </c>
      <c r="C668" s="21" t="s">
        <v>15</v>
      </c>
      <c r="D668" s="21" t="s">
        <v>19</v>
      </c>
      <c r="E668" s="20"/>
      <c r="F668" s="22" t="s">
        <v>310</v>
      </c>
      <c r="G668" s="252">
        <v>6028</v>
      </c>
      <c r="H668" s="1"/>
      <c r="I668" s="1">
        <f>COUNTIF(Tabela1[NF],Tabela1[[#This Row],[NF]])</f>
        <v>4</v>
      </c>
      <c r="K668" s="26">
        <f>Tabela1[[#This Row],[DT. VENCIMENTO]]</f>
        <v>45985</v>
      </c>
      <c r="N668" s="14" t="str" cm="1">
        <f t="array" ref="N668">_xlfn.XLOOKUP(TRIM(D668),TRIM(DFC!A:A),DFC!A:A,"NÃO ESTÁ NA DFC")</f>
        <v xml:space="preserve">      PEÇAS</v>
      </c>
    </row>
    <row r="669" spans="1:14" customFormat="1" ht="14.4" x14ac:dyDescent="0.3">
      <c r="A669" s="24"/>
      <c r="B669" s="21">
        <v>45986</v>
      </c>
      <c r="C669" s="21" t="s">
        <v>15</v>
      </c>
      <c r="D669" s="21" t="s">
        <v>156</v>
      </c>
      <c r="E669" s="20" t="s">
        <v>157</v>
      </c>
      <c r="F669" s="22" t="s">
        <v>314</v>
      </c>
      <c r="G669" s="252">
        <v>2055</v>
      </c>
      <c r="H669" s="1"/>
      <c r="I669" s="1">
        <f>COUNTIF(Tabela1[NF],Tabela1[[#This Row],[NF]])</f>
        <v>0</v>
      </c>
      <c r="K669" s="26">
        <f>Tabela1[[#This Row],[DT. VENCIMENTO]]</f>
        <v>45986</v>
      </c>
      <c r="N669" s="14" t="str" cm="1">
        <f t="array" ref="N669">_xlfn.XLOOKUP(TRIM(D669),TRIM(DFC!A:A),DFC!A:A,"NÃO ESTÁ NA DFC")</f>
        <v xml:space="preserve">      MONTAGEM DE RODAS</v>
      </c>
    </row>
    <row r="670" spans="1:14" customFormat="1" ht="14.4" x14ac:dyDescent="0.3">
      <c r="A670" s="24"/>
      <c r="B670" s="21">
        <v>45986</v>
      </c>
      <c r="C670" s="21" t="s">
        <v>15</v>
      </c>
      <c r="D670" s="21" t="s">
        <v>22</v>
      </c>
      <c r="E670" s="20" t="s">
        <v>427</v>
      </c>
      <c r="F670" s="22" t="s">
        <v>428</v>
      </c>
      <c r="G670" s="252">
        <v>3000</v>
      </c>
      <c r="H670" s="1"/>
      <c r="I670" s="1">
        <f>COUNTIF(Tabela1[NF],Tabela1[[#This Row],[NF]])</f>
        <v>0</v>
      </c>
      <c r="K670" s="26">
        <f>Tabela1[[#This Row],[DT. VENCIMENTO]]</f>
        <v>45986</v>
      </c>
      <c r="N670" s="14" t="str" cm="1">
        <f t="array" ref="N670">_xlfn.XLOOKUP(TRIM(D670),TRIM(DFC!A:A),DFC!A:A,"NÃO ESTÁ NA DFC")</f>
        <v xml:space="preserve">         CONSULTORIAS</v>
      </c>
    </row>
    <row r="671" spans="1:14" customFormat="1" ht="14.4" x14ac:dyDescent="0.3">
      <c r="A671" s="24"/>
      <c r="B671" s="21">
        <v>45986</v>
      </c>
      <c r="C671" s="21" t="s">
        <v>15</v>
      </c>
      <c r="D671" s="21" t="s">
        <v>19</v>
      </c>
      <c r="E671" s="20"/>
      <c r="F671" s="22" t="s">
        <v>300</v>
      </c>
      <c r="G671" s="252">
        <v>225.24</v>
      </c>
      <c r="H671" s="1"/>
      <c r="I671" s="1">
        <f>COUNTIF(Tabela1[NF],Tabela1[[#This Row],[NF]])</f>
        <v>0</v>
      </c>
      <c r="K671" s="26">
        <f>Tabela1[[#This Row],[DT. VENCIMENTO]]</f>
        <v>45986</v>
      </c>
      <c r="N671" s="14" t="str" cm="1">
        <f t="array" ref="N671">_xlfn.XLOOKUP(TRIM(D671),TRIM(DFC!A:A),DFC!A:A,"NÃO ESTÁ NA DFC")</f>
        <v xml:space="preserve">      PEÇAS</v>
      </c>
    </row>
    <row r="672" spans="1:14" customFormat="1" ht="14.4" x14ac:dyDescent="0.3">
      <c r="A672" s="24"/>
      <c r="B672" s="21">
        <v>45986</v>
      </c>
      <c r="C672" s="21" t="s">
        <v>15</v>
      </c>
      <c r="D672" s="21" t="s">
        <v>19</v>
      </c>
      <c r="E672" s="20"/>
      <c r="F672" s="22" t="s">
        <v>228</v>
      </c>
      <c r="G672" s="252">
        <v>3139.2</v>
      </c>
      <c r="H672" s="1"/>
      <c r="I672" s="1">
        <f>COUNTIF(Tabela1[NF],Tabela1[[#This Row],[NF]])</f>
        <v>0</v>
      </c>
      <c r="K672" s="26">
        <f>Tabela1[[#This Row],[DT. VENCIMENTO]]</f>
        <v>45986</v>
      </c>
      <c r="N672" s="14" t="str" cm="1">
        <f t="array" ref="N672">_xlfn.XLOOKUP(TRIM(D672),TRIM(DFC!A:A),DFC!A:A,"NÃO ESTÁ NA DFC")</f>
        <v xml:space="preserve">      PEÇAS</v>
      </c>
    </row>
    <row r="673" spans="1:16" customFormat="1" ht="14.4" x14ac:dyDescent="0.3">
      <c r="A673" s="24"/>
      <c r="B673" s="21">
        <v>45986</v>
      </c>
      <c r="C673" s="21" t="s">
        <v>15</v>
      </c>
      <c r="D673" s="21" t="s">
        <v>19</v>
      </c>
      <c r="E673" s="20"/>
      <c r="F673" s="22" t="s">
        <v>300</v>
      </c>
      <c r="G673" s="252">
        <v>5970.25</v>
      </c>
      <c r="H673" s="1"/>
      <c r="I673" s="1">
        <f>COUNTIF(Tabela1[NF],Tabela1[[#This Row],[NF]])</f>
        <v>0</v>
      </c>
      <c r="K673" s="26">
        <f>Tabela1[[#This Row],[DT. VENCIMENTO]]</f>
        <v>45986</v>
      </c>
      <c r="N673" s="14" t="str" cm="1">
        <f t="array" ref="N673">_xlfn.XLOOKUP(TRIM(D673),TRIM(DFC!A:A),DFC!A:A,"NÃO ESTÁ NA DFC")</f>
        <v xml:space="preserve">      PEÇAS</v>
      </c>
    </row>
    <row r="674" spans="1:16" customFormat="1" ht="14.4" x14ac:dyDescent="0.3">
      <c r="A674" s="24"/>
      <c r="B674" s="21">
        <v>45986</v>
      </c>
      <c r="C674" s="21" t="s">
        <v>15</v>
      </c>
      <c r="D674" s="21" t="s">
        <v>19</v>
      </c>
      <c r="E674" s="20" t="s">
        <v>429</v>
      </c>
      <c r="F674" s="22" t="s">
        <v>103</v>
      </c>
      <c r="G674" s="252">
        <v>4000.01</v>
      </c>
      <c r="H674" s="1"/>
      <c r="I674" s="1">
        <f>COUNTIF(Tabela1[NF],Tabela1[[#This Row],[NF]])</f>
        <v>0</v>
      </c>
      <c r="K674" s="26">
        <f>Tabela1[[#This Row],[DT. VENCIMENTO]]</f>
        <v>45986</v>
      </c>
      <c r="N674" s="14" t="str" cm="1">
        <f t="array" ref="N674">_xlfn.XLOOKUP(TRIM(D674),TRIM(DFC!A:A),DFC!A:A,"NÃO ESTÁ NA DFC")</f>
        <v xml:space="preserve">      PEÇAS</v>
      </c>
    </row>
    <row r="675" spans="1:16" customFormat="1" ht="14.4" x14ac:dyDescent="0.3">
      <c r="A675" s="24"/>
      <c r="B675" s="21">
        <v>45986</v>
      </c>
      <c r="C675" s="21" t="s">
        <v>15</v>
      </c>
      <c r="D675" s="21" t="s">
        <v>19</v>
      </c>
      <c r="E675" s="20" t="s">
        <v>430</v>
      </c>
      <c r="F675" s="22" t="s">
        <v>103</v>
      </c>
      <c r="G675" s="252">
        <v>12833.33</v>
      </c>
      <c r="H675" s="1"/>
      <c r="I675" s="1">
        <f>COUNTIF(Tabela1[NF],Tabela1[[#This Row],[NF]])</f>
        <v>0</v>
      </c>
      <c r="K675" s="26">
        <f>Tabela1[[#This Row],[DT. VENCIMENTO]]</f>
        <v>45986</v>
      </c>
      <c r="N675" s="14" t="str" cm="1">
        <f t="array" ref="N675">_xlfn.XLOOKUP(TRIM(D675),TRIM(DFC!A:A),DFC!A:A,"NÃO ESTÁ NA DFC")</f>
        <v xml:space="preserve">      PEÇAS</v>
      </c>
    </row>
    <row r="676" spans="1:16" customFormat="1" ht="14.4" x14ac:dyDescent="0.3">
      <c r="A676" s="19">
        <v>618065</v>
      </c>
      <c r="B676" s="21">
        <v>45986</v>
      </c>
      <c r="C676" s="21" t="s">
        <v>15</v>
      </c>
      <c r="D676" s="21" t="s">
        <v>19</v>
      </c>
      <c r="E676" s="20"/>
      <c r="F676" s="22" t="s">
        <v>310</v>
      </c>
      <c r="G676" s="252">
        <v>19435</v>
      </c>
      <c r="H676" s="1"/>
      <c r="I676" s="1">
        <f>COUNTIF(Tabela1[NF],Tabela1[[#This Row],[NF]])</f>
        <v>3</v>
      </c>
      <c r="K676" s="26">
        <f>Tabela1[[#This Row],[DT. VENCIMENTO]]</f>
        <v>45986</v>
      </c>
      <c r="N676" s="14" t="str" cm="1">
        <f t="array" ref="N676">_xlfn.XLOOKUP(TRIM(D676),TRIM(DFC!A:A),DFC!A:A,"NÃO ESTÁ NA DFC")</f>
        <v xml:space="preserve">      PEÇAS</v>
      </c>
    </row>
    <row r="677" spans="1:16" customFormat="1" ht="14.4" x14ac:dyDescent="0.3">
      <c r="A677" s="19">
        <v>447947</v>
      </c>
      <c r="B677" s="21">
        <v>45986</v>
      </c>
      <c r="C677" s="21" t="s">
        <v>15</v>
      </c>
      <c r="D677" s="21" t="s">
        <v>19</v>
      </c>
      <c r="E677" s="20"/>
      <c r="F677" s="22" t="s">
        <v>24</v>
      </c>
      <c r="G677" s="252">
        <v>2979</v>
      </c>
      <c r="H677" s="1"/>
      <c r="I677" s="1">
        <f>COUNTIF(Tabela1[NF],Tabela1[[#This Row],[NF]])</f>
        <v>4</v>
      </c>
      <c r="K677" s="26">
        <f>Tabela1[[#This Row],[DT. VENCIMENTO]]</f>
        <v>45986</v>
      </c>
      <c r="N677" s="14" t="str" cm="1">
        <f t="array" ref="N677">_xlfn.XLOOKUP(TRIM(D677),TRIM(DFC!A:A),DFC!A:A,"NÃO ESTÁ NA DFC")</f>
        <v xml:space="preserve">      PEÇAS</v>
      </c>
    </row>
    <row r="678" spans="1:16" customFormat="1" ht="14.4" x14ac:dyDescent="0.3">
      <c r="A678" s="24"/>
      <c r="B678" s="21">
        <v>45987</v>
      </c>
      <c r="C678" s="21" t="s">
        <v>15</v>
      </c>
      <c r="D678" s="21" t="s">
        <v>78</v>
      </c>
      <c r="E678" s="20"/>
      <c r="F678" s="22" t="s">
        <v>431</v>
      </c>
      <c r="G678" s="252">
        <v>778.23</v>
      </c>
      <c r="H678" s="1"/>
      <c r="I678" s="1">
        <f>COUNTIF(Tabela1[NF],Tabela1[[#This Row],[NF]])</f>
        <v>0</v>
      </c>
      <c r="K678" s="26">
        <f>Tabela1[[#This Row],[DT. VENCIMENTO]]</f>
        <v>45987</v>
      </c>
      <c r="N678" s="14" t="str" cm="1">
        <f t="array" ref="N678">_xlfn.XLOOKUP(TRIM(D678),TRIM(DFC!A:A),DFC!A:A,"NÃO ESTÁ NA DFC")</f>
        <v xml:space="preserve">          COPEL</v>
      </c>
    </row>
    <row r="679" spans="1:16" customFormat="1" ht="14.4" x14ac:dyDescent="0.3">
      <c r="A679" s="24"/>
      <c r="B679" s="21">
        <v>45987</v>
      </c>
      <c r="C679" s="21" t="s">
        <v>15</v>
      </c>
      <c r="D679" s="21" t="s">
        <v>111</v>
      </c>
      <c r="E679" s="20"/>
      <c r="F679" s="22" t="s">
        <v>114</v>
      </c>
      <c r="G679" s="252">
        <v>12.83</v>
      </c>
      <c r="H679" s="1"/>
      <c r="I679" s="1">
        <f>COUNTIF(Tabela1[NF],Tabela1[[#This Row],[NF]])</f>
        <v>0</v>
      </c>
      <c r="K679" s="26">
        <f>Tabela1[[#This Row],[DT. VENCIMENTO]]</f>
        <v>45987</v>
      </c>
      <c r="N679" s="14" t="str" cm="1">
        <f t="array" ref="N679">_xlfn.XLOOKUP(TRIM(D679),TRIM(DFC!A:A),DFC!A:A,"NÃO ESTÁ NA DFC")</f>
        <v xml:space="preserve">          TX. BANCÁRIA</v>
      </c>
    </row>
    <row r="680" spans="1:16" customFormat="1" ht="14.4" x14ac:dyDescent="0.3">
      <c r="A680" s="24"/>
      <c r="B680" s="21">
        <v>45987</v>
      </c>
      <c r="C680" s="21" t="s">
        <v>15</v>
      </c>
      <c r="D680" s="21" t="s">
        <v>111</v>
      </c>
      <c r="E680" s="20"/>
      <c r="F680" s="22" t="s">
        <v>432</v>
      </c>
      <c r="G680" s="252">
        <v>30</v>
      </c>
      <c r="H680" s="1"/>
      <c r="I680" s="1">
        <f>COUNTIF(Tabela1[NF],Tabela1[[#This Row],[NF]])</f>
        <v>0</v>
      </c>
      <c r="K680" s="26">
        <f>Tabela1[[#This Row],[DT. VENCIMENTO]]</f>
        <v>45987</v>
      </c>
      <c r="N680" s="14" t="str" cm="1">
        <f t="array" ref="N680">_xlfn.XLOOKUP(TRIM(D680),TRIM(DFC!A:A),DFC!A:A,"NÃO ESTÁ NA DFC")</f>
        <v xml:space="preserve">          TX. BANCÁRIA</v>
      </c>
    </row>
    <row r="681" spans="1:16" customFormat="1" ht="14.4" x14ac:dyDescent="0.3">
      <c r="A681" s="24"/>
      <c r="B681" s="21">
        <v>45987</v>
      </c>
      <c r="C681" s="21" t="s">
        <v>15</v>
      </c>
      <c r="D681" s="21" t="s">
        <v>19</v>
      </c>
      <c r="E681" s="20"/>
      <c r="F681" s="22" t="s">
        <v>300</v>
      </c>
      <c r="G681" s="252">
        <v>1876.36</v>
      </c>
      <c r="H681" s="1"/>
      <c r="I681" s="1">
        <f>COUNTIF(Tabela1[NF],Tabela1[[#This Row],[NF]])</f>
        <v>0</v>
      </c>
      <c r="K681" s="26">
        <f>Tabela1[[#This Row],[DT. VENCIMENTO]]</f>
        <v>45987</v>
      </c>
      <c r="N681" s="14" t="str" cm="1">
        <f t="array" ref="N681">_xlfn.XLOOKUP(TRIM(D681),TRIM(DFC!A:A),DFC!A:A,"NÃO ESTÁ NA DFC")</f>
        <v xml:space="preserve">      PEÇAS</v>
      </c>
    </row>
    <row r="682" spans="1:16" customFormat="1" ht="14.4" x14ac:dyDescent="0.3">
      <c r="A682" s="24"/>
      <c r="B682" s="21">
        <v>45987</v>
      </c>
      <c r="C682" s="21" t="s">
        <v>15</v>
      </c>
      <c r="D682" s="21" t="s">
        <v>19</v>
      </c>
      <c r="E682" s="20"/>
      <c r="F682" s="22" t="s">
        <v>433</v>
      </c>
      <c r="G682" s="252">
        <v>2963.25</v>
      </c>
      <c r="H682" s="1"/>
      <c r="I682" s="1">
        <f>COUNTIF(Tabela1[NF],Tabela1[[#This Row],[NF]])</f>
        <v>0</v>
      </c>
      <c r="K682" s="26">
        <f>Tabela1[[#This Row],[DT. VENCIMENTO]]</f>
        <v>45987</v>
      </c>
      <c r="N682" s="14" t="str" cm="1">
        <f t="array" ref="N682">_xlfn.XLOOKUP(TRIM(D682),TRIM(DFC!A:A),DFC!A:A,"NÃO ESTÁ NA DFC")</f>
        <v xml:space="preserve">      PEÇAS</v>
      </c>
    </row>
    <row r="683" spans="1:16" customFormat="1" ht="14.4" x14ac:dyDescent="0.3">
      <c r="A683" s="24"/>
      <c r="B683" s="21">
        <v>45987</v>
      </c>
      <c r="C683" s="21" t="s">
        <v>15</v>
      </c>
      <c r="D683" s="21" t="s">
        <v>154</v>
      </c>
      <c r="E683" s="20"/>
      <c r="F683" s="22" t="s">
        <v>390</v>
      </c>
      <c r="G683" s="252">
        <v>1203.75</v>
      </c>
      <c r="H683" s="1"/>
      <c r="I683" s="1">
        <f>COUNTIF(Tabela1[NF],Tabela1[[#This Row],[NF]])</f>
        <v>0</v>
      </c>
      <c r="K683" s="26">
        <f>Tabela1[[#This Row],[DT. VENCIMENTO]]</f>
        <v>45987</v>
      </c>
      <c r="N683" s="14" t="str" cm="1">
        <f t="array" ref="N683">_xlfn.XLOOKUP(TRIM(D683),TRIM(DFC!A:A),DFC!A:A,"NÃO ESTÁ NA DFC")</f>
        <v xml:space="preserve">      EMBALAGENS</v>
      </c>
    </row>
    <row r="684" spans="1:16" customFormat="1" ht="14.4" x14ac:dyDescent="0.3">
      <c r="A684" s="24"/>
      <c r="B684" s="21">
        <v>45987</v>
      </c>
      <c r="C684" s="21" t="s">
        <v>15</v>
      </c>
      <c r="D684" s="21" t="s">
        <v>19</v>
      </c>
      <c r="E684" s="20" t="s">
        <v>434</v>
      </c>
      <c r="F684" s="22" t="s">
        <v>103</v>
      </c>
      <c r="G684" s="252">
        <v>9000</v>
      </c>
      <c r="H684" s="1"/>
      <c r="I684" s="1">
        <f>COUNTIF(Tabela1[NF],Tabela1[[#This Row],[NF]])</f>
        <v>0</v>
      </c>
      <c r="K684" s="26">
        <f>Tabela1[[#This Row],[DT. VENCIMENTO]]</f>
        <v>45987</v>
      </c>
      <c r="N684" s="14" t="str" cm="1">
        <f t="array" ref="N684">_xlfn.XLOOKUP(TRIM(D684),TRIM(DFC!A:A),DFC!A:A,"NÃO ESTÁ NA DFC")</f>
        <v xml:space="preserve">      PEÇAS</v>
      </c>
    </row>
    <row r="685" spans="1:16" customFormat="1" ht="14.4" x14ac:dyDescent="0.3">
      <c r="A685" s="19">
        <v>454492</v>
      </c>
      <c r="B685" s="21">
        <v>45987</v>
      </c>
      <c r="C685" s="21" t="s">
        <v>15</v>
      </c>
      <c r="D685" s="21" t="s">
        <v>19</v>
      </c>
      <c r="E685" s="20"/>
      <c r="F685" s="22" t="s">
        <v>30</v>
      </c>
      <c r="G685" s="252">
        <v>35752.5</v>
      </c>
      <c r="H685" s="1"/>
      <c r="I685" s="1">
        <f>COUNTIF(Tabela1[NF],Tabela1[[#This Row],[NF]])</f>
        <v>2</v>
      </c>
      <c r="K685" s="26">
        <f>Tabela1[[#This Row],[DT. VENCIMENTO]]</f>
        <v>45987</v>
      </c>
      <c r="N685" s="14" t="str" cm="1">
        <f t="array" ref="N685">_xlfn.XLOOKUP(TRIM(D685),TRIM(DFC!A:A),DFC!A:A,"NÃO ESTÁ NA DFC")</f>
        <v xml:space="preserve">      PEÇAS</v>
      </c>
    </row>
    <row r="686" spans="1:16" customFormat="1" ht="14.4" x14ac:dyDescent="0.3">
      <c r="A686" s="19">
        <v>454172</v>
      </c>
      <c r="B686" s="21">
        <v>45987</v>
      </c>
      <c r="C686" s="21" t="s">
        <v>15</v>
      </c>
      <c r="D686" s="21" t="s">
        <v>19</v>
      </c>
      <c r="E686" s="20"/>
      <c r="F686" s="22" t="s">
        <v>310</v>
      </c>
      <c r="G686" s="252">
        <v>12353.21</v>
      </c>
      <c r="H686" s="1"/>
      <c r="I686" s="1">
        <f>COUNTIF(Tabela1[NF],Tabela1[[#This Row],[NF]])</f>
        <v>3</v>
      </c>
      <c r="K686" s="26">
        <f>Tabela1[[#This Row],[DT. VENCIMENTO]]</f>
        <v>45987</v>
      </c>
      <c r="N686" s="14" t="str" cm="1">
        <f t="array" ref="N686">_xlfn.XLOOKUP(TRIM(D686),TRIM(DFC!A:A),DFC!A:A,"NÃO ESTÁ NA DFC")</f>
        <v xml:space="preserve">      PEÇAS</v>
      </c>
    </row>
    <row r="687" spans="1:16" customFormat="1" ht="14.4" x14ac:dyDescent="0.3">
      <c r="A687" s="19">
        <v>454243</v>
      </c>
      <c r="B687" s="21">
        <v>45987</v>
      </c>
      <c r="C687" s="21" t="s">
        <v>15</v>
      </c>
      <c r="D687" s="21" t="s">
        <v>19</v>
      </c>
      <c r="E687" s="20"/>
      <c r="F687" s="22" t="s">
        <v>310</v>
      </c>
      <c r="G687" s="252">
        <v>4218.6000000000004</v>
      </c>
      <c r="H687" s="1"/>
      <c r="I687" s="1">
        <f>COUNTIF(Tabela1[NF],Tabela1[[#This Row],[NF]])</f>
        <v>3</v>
      </c>
      <c r="K687" s="26">
        <f>Tabela1[[#This Row],[DT. VENCIMENTO]]</f>
        <v>45987</v>
      </c>
      <c r="N687" s="14" t="str" cm="1">
        <f t="array" ref="N687">_xlfn.XLOOKUP(TRIM(D687),TRIM(DFC!A:A),DFC!A:A,"NÃO ESTÁ NA DFC")</f>
        <v xml:space="preserve">      PEÇAS</v>
      </c>
      <c r="O687">
        <f t="shared" ref="O687:O717" si="0">SUMIF(K:K,P687,G:G)</f>
        <v>52126.069999999992</v>
      </c>
      <c r="P687" s="291">
        <v>45992</v>
      </c>
    </row>
    <row r="688" spans="1:16" customFormat="1" ht="14.4" x14ac:dyDescent="0.3">
      <c r="A688" s="24"/>
      <c r="B688" s="84">
        <v>45988</v>
      </c>
      <c r="C688" s="84" t="s">
        <v>15</v>
      </c>
      <c r="D688" s="84" t="s">
        <v>111</v>
      </c>
      <c r="E688" s="81"/>
      <c r="F688" s="85" t="s">
        <v>435</v>
      </c>
      <c r="G688" s="255">
        <v>129.77000000000001</v>
      </c>
      <c r="H688" s="1"/>
      <c r="I688" s="1">
        <f>COUNTIF(Tabela1[NF],Tabela1[[#This Row],[NF]])</f>
        <v>0</v>
      </c>
      <c r="K688" s="13">
        <f>Tabela1[[#This Row],[DT. VENCIMENTO]]</f>
        <v>45988</v>
      </c>
      <c r="N688" s="14" t="str" cm="1">
        <f t="array" ref="N688">_xlfn.XLOOKUP(TRIM(D688),TRIM(DFC!A:A),DFC!A:A,"NÃO ESTÁ NA DFC")</f>
        <v xml:space="preserve">          TX. BANCÁRIA</v>
      </c>
      <c r="O688">
        <f t="shared" si="0"/>
        <v>114469.77</v>
      </c>
      <c r="P688" s="291">
        <v>45993</v>
      </c>
    </row>
    <row r="689" spans="1:16" customFormat="1" ht="14.4" x14ac:dyDescent="0.3">
      <c r="A689" s="24"/>
      <c r="B689" s="84">
        <v>45988</v>
      </c>
      <c r="C689" s="84" t="s">
        <v>15</v>
      </c>
      <c r="D689" s="84" t="s">
        <v>19</v>
      </c>
      <c r="E689" s="81" t="s">
        <v>436</v>
      </c>
      <c r="F689" s="85" t="s">
        <v>437</v>
      </c>
      <c r="G689" s="255">
        <v>12833.33</v>
      </c>
      <c r="H689" s="1"/>
      <c r="I689" s="1">
        <f>COUNTIF(Tabela1[NF],Tabela1[[#This Row],[NF]])</f>
        <v>0</v>
      </c>
      <c r="K689" s="13">
        <f>Tabela1[[#This Row],[DT. VENCIMENTO]]</f>
        <v>45988</v>
      </c>
      <c r="N689" s="14" t="str" cm="1">
        <f t="array" ref="N689">_xlfn.XLOOKUP(TRIM(D689),TRIM(DFC!A:A),DFC!A:A,"NÃO ESTÁ NA DFC")</f>
        <v xml:space="preserve">      PEÇAS</v>
      </c>
      <c r="O689">
        <f t="shared" si="0"/>
        <v>41510.17</v>
      </c>
      <c r="P689" s="291">
        <v>45994</v>
      </c>
    </row>
    <row r="690" spans="1:16" customFormat="1" ht="14.4" x14ac:dyDescent="0.3">
      <c r="A690" s="24"/>
      <c r="B690" s="21">
        <v>45988</v>
      </c>
      <c r="C690" s="21" t="s">
        <v>15</v>
      </c>
      <c r="D690" s="21" t="s">
        <v>438</v>
      </c>
      <c r="E690" s="20" t="s">
        <v>439</v>
      </c>
      <c r="F690" s="22" t="s">
        <v>440</v>
      </c>
      <c r="G690" s="252">
        <v>1000</v>
      </c>
      <c r="H690" s="1"/>
      <c r="I690" s="1">
        <f>COUNTIF(Tabela1[NF],Tabela1[[#This Row],[NF]])</f>
        <v>0</v>
      </c>
      <c r="K690" s="26">
        <f>Tabela1[[#This Row],[DT. VENCIMENTO]]</f>
        <v>45988</v>
      </c>
      <c r="N690" s="14" t="str" cm="1">
        <f t="array" ref="N690">_xlfn.XLOOKUP(TRIM(D690),TRIM(DFC!A:A),DFC!A:A,"NÃO ESTÁ NA DFC")</f>
        <v xml:space="preserve">         HONORÁRIOS ADVOGATÍCIOS</v>
      </c>
      <c r="O690">
        <f t="shared" si="0"/>
        <v>129089.65</v>
      </c>
      <c r="P690" s="291">
        <f>P689+1</f>
        <v>45995</v>
      </c>
    </row>
    <row r="691" spans="1:16" customFormat="1" ht="14.4" x14ac:dyDescent="0.3">
      <c r="A691" s="24"/>
      <c r="B691" s="21">
        <v>45988</v>
      </c>
      <c r="C691" s="21" t="s">
        <v>15</v>
      </c>
      <c r="D691" s="21" t="s">
        <v>19</v>
      </c>
      <c r="E691" s="20"/>
      <c r="F691" s="22" t="s">
        <v>228</v>
      </c>
      <c r="G691" s="252">
        <v>1617</v>
      </c>
      <c r="H691" s="1"/>
      <c r="I691" s="1">
        <f>COUNTIF(Tabela1[NF],Tabela1[[#This Row],[NF]])</f>
        <v>0</v>
      </c>
      <c r="K691" s="26">
        <f>Tabela1[[#This Row],[DT. VENCIMENTO]]</f>
        <v>45988</v>
      </c>
      <c r="N691" s="14" t="str" cm="1">
        <f t="array" ref="N691">_xlfn.XLOOKUP(TRIM(D691),TRIM(DFC!A:A),DFC!A:A,"NÃO ESTÁ NA DFC")</f>
        <v xml:space="preserve">      PEÇAS</v>
      </c>
      <c r="O691">
        <f t="shared" si="0"/>
        <v>44837.03</v>
      </c>
      <c r="P691" s="291">
        <f>P690+1</f>
        <v>45996</v>
      </c>
    </row>
    <row r="692" spans="1:16" customFormat="1" ht="14.4" x14ac:dyDescent="0.3">
      <c r="A692" s="24"/>
      <c r="B692" s="21">
        <v>45988</v>
      </c>
      <c r="C692" s="21" t="s">
        <v>15</v>
      </c>
      <c r="D692" s="21" t="s">
        <v>19</v>
      </c>
      <c r="E692" s="20"/>
      <c r="F692" s="22" t="s">
        <v>210</v>
      </c>
      <c r="G692" s="285">
        <v>3879.82</v>
      </c>
      <c r="H692" s="1"/>
      <c r="I692" s="1">
        <f>COUNTIF(Tabela1[NF],Tabela1[[#This Row],[NF]])</f>
        <v>0</v>
      </c>
      <c r="K692" s="26">
        <f>Tabela1[[#This Row],[DT. VENCIMENTO]]</f>
        <v>45988</v>
      </c>
      <c r="N692" s="14" t="str" cm="1">
        <f t="array" ref="N692">_xlfn.XLOOKUP(TRIM(D692),TRIM(DFC!A:A),DFC!A:A,"NÃO ESTÁ NA DFC")</f>
        <v xml:space="preserve">      PEÇAS</v>
      </c>
      <c r="O692">
        <f t="shared" si="0"/>
        <v>0</v>
      </c>
      <c r="P692" s="291">
        <f t="shared" ref="P692:P717" si="1">P691+1</f>
        <v>45997</v>
      </c>
    </row>
    <row r="693" spans="1:16" customFormat="1" ht="14.4" x14ac:dyDescent="0.3">
      <c r="A693" s="24">
        <v>614562</v>
      </c>
      <c r="B693" s="21">
        <v>45988</v>
      </c>
      <c r="C693" s="21" t="s">
        <v>15</v>
      </c>
      <c r="D693" s="21" t="s">
        <v>19</v>
      </c>
      <c r="E693" s="20"/>
      <c r="F693" s="22" t="s">
        <v>310</v>
      </c>
      <c r="G693" s="252">
        <v>2765</v>
      </c>
      <c r="H693" s="1"/>
      <c r="I693" s="1">
        <f>COUNTIF(Tabela1[NF],Tabela1[[#This Row],[NF]])</f>
        <v>5</v>
      </c>
      <c r="K693" s="26">
        <f>Tabela1[[#This Row],[DT. VENCIMENTO]]</f>
        <v>45988</v>
      </c>
      <c r="N693" s="14" t="str" cm="1">
        <f t="array" ref="N693">_xlfn.XLOOKUP(TRIM(D693),TRIM(DFC!A:A),DFC!A:A,"NÃO ESTÁ NA DFC")</f>
        <v xml:space="preserve">      PEÇAS</v>
      </c>
      <c r="O693">
        <f t="shared" si="0"/>
        <v>0</v>
      </c>
      <c r="P693" s="291">
        <f t="shared" si="1"/>
        <v>45998</v>
      </c>
    </row>
    <row r="694" spans="1:16" customFormat="1" ht="14.4" x14ac:dyDescent="0.3">
      <c r="A694" s="19">
        <v>614512</v>
      </c>
      <c r="B694" s="21">
        <v>45988</v>
      </c>
      <c r="C694" s="21" t="s">
        <v>15</v>
      </c>
      <c r="D694" s="21" t="s">
        <v>19</v>
      </c>
      <c r="E694" s="20"/>
      <c r="F694" s="22" t="s">
        <v>310</v>
      </c>
      <c r="G694" s="252">
        <v>3358</v>
      </c>
      <c r="H694" s="1"/>
      <c r="I694" s="1">
        <f>COUNTIF(Tabela1[NF],Tabela1[[#This Row],[NF]])</f>
        <v>5</v>
      </c>
      <c r="K694" s="26">
        <f>Tabela1[[#This Row],[DT. VENCIMENTO]]</f>
        <v>45988</v>
      </c>
      <c r="N694" s="14" t="str" cm="1">
        <f t="array" ref="N694">_xlfn.XLOOKUP(TRIM(D694),TRIM(DFC!A:A),DFC!A:A,"NÃO ESTÁ NA DFC")</f>
        <v xml:space="preserve">      PEÇAS</v>
      </c>
      <c r="O694">
        <f t="shared" si="0"/>
        <v>176474.25</v>
      </c>
      <c r="P694" s="291">
        <f t="shared" si="1"/>
        <v>45999</v>
      </c>
    </row>
    <row r="695" spans="1:16" customFormat="1" ht="14.4" x14ac:dyDescent="0.3">
      <c r="A695" s="24"/>
      <c r="B695" s="21">
        <v>45989</v>
      </c>
      <c r="C695" s="21" t="s">
        <v>15</v>
      </c>
      <c r="D695" s="21" t="s">
        <v>19</v>
      </c>
      <c r="E695" s="20"/>
      <c r="F695" s="22" t="s">
        <v>210</v>
      </c>
      <c r="G695" s="252">
        <v>3086.83</v>
      </c>
      <c r="H695" s="1"/>
      <c r="I695" s="1">
        <f>COUNTIF(Tabela1[NF],Tabela1[[#This Row],[NF]])</f>
        <v>0</v>
      </c>
      <c r="K695" s="26">
        <f>Tabela1[[#This Row],[DT. VENCIMENTO]]</f>
        <v>45989</v>
      </c>
      <c r="N695" s="14" t="str" cm="1">
        <f t="array" ref="N695">_xlfn.XLOOKUP(TRIM(D695),TRIM(DFC!A:A),DFC!A:A,"NÃO ESTÁ NA DFC")</f>
        <v xml:space="preserve">      PEÇAS</v>
      </c>
      <c r="O695">
        <f t="shared" si="0"/>
        <v>20687.439999999999</v>
      </c>
      <c r="P695" s="291">
        <f t="shared" si="1"/>
        <v>46000</v>
      </c>
    </row>
    <row r="696" spans="1:16" customFormat="1" ht="14.4" x14ac:dyDescent="0.3">
      <c r="A696" s="24"/>
      <c r="B696" s="21">
        <v>45989</v>
      </c>
      <c r="C696" s="21" t="s">
        <v>15</v>
      </c>
      <c r="D696" s="21" t="s">
        <v>19</v>
      </c>
      <c r="E696" s="20"/>
      <c r="F696" s="22" t="s">
        <v>300</v>
      </c>
      <c r="G696" s="252">
        <v>7134.4</v>
      </c>
      <c r="H696" s="1"/>
      <c r="I696" s="1">
        <f>COUNTIF(Tabela1[NF],Tabela1[[#This Row],[NF]])</f>
        <v>0</v>
      </c>
      <c r="K696" s="26">
        <f>Tabela1[[#This Row],[DT. VENCIMENTO]]</f>
        <v>45989</v>
      </c>
      <c r="N696" s="14" t="str" cm="1">
        <f t="array" ref="N696">_xlfn.XLOOKUP(TRIM(D696),TRIM(DFC!A:A),DFC!A:A,"NÃO ESTÁ NA DFC")</f>
        <v xml:space="preserve">      PEÇAS</v>
      </c>
      <c r="O696">
        <f t="shared" si="0"/>
        <v>109099.51999999999</v>
      </c>
      <c r="P696" s="291">
        <f t="shared" si="1"/>
        <v>46001</v>
      </c>
    </row>
    <row r="697" spans="1:16" customFormat="1" ht="14.4" x14ac:dyDescent="0.3">
      <c r="A697" s="24"/>
      <c r="B697" s="21">
        <v>45989</v>
      </c>
      <c r="C697" s="21" t="s">
        <v>15</v>
      </c>
      <c r="D697" s="21" t="s">
        <v>19</v>
      </c>
      <c r="E697" s="20"/>
      <c r="F697" s="22" t="s">
        <v>297</v>
      </c>
      <c r="G697" s="252">
        <v>2882.8</v>
      </c>
      <c r="H697" s="1"/>
      <c r="I697" s="1">
        <f>COUNTIF(Tabela1[NF],Tabela1[[#This Row],[NF]])</f>
        <v>0</v>
      </c>
      <c r="K697" s="26">
        <f>Tabela1[[#This Row],[DT. VENCIMENTO]]</f>
        <v>45989</v>
      </c>
      <c r="N697" s="14" t="str" cm="1">
        <f t="array" ref="N697">_xlfn.XLOOKUP(TRIM(D697),TRIM(DFC!A:A),DFC!A:A,"NÃO ESTÁ NA DFC")</f>
        <v xml:space="preserve">      PEÇAS</v>
      </c>
      <c r="O697">
        <f t="shared" si="0"/>
        <v>10723.46</v>
      </c>
      <c r="P697" s="291">
        <f t="shared" si="1"/>
        <v>46002</v>
      </c>
    </row>
    <row r="698" spans="1:16" customFormat="1" ht="14.4" x14ac:dyDescent="0.3">
      <c r="A698" s="24"/>
      <c r="B698" s="21">
        <v>45989</v>
      </c>
      <c r="C698" s="21" t="s">
        <v>15</v>
      </c>
      <c r="D698" s="21" t="s">
        <v>47</v>
      </c>
      <c r="E698" s="20"/>
      <c r="F698" s="22" t="s">
        <v>319</v>
      </c>
      <c r="G698" s="252">
        <v>1205.75</v>
      </c>
      <c r="H698" s="1"/>
      <c r="I698" s="1">
        <f>COUNTIF(Tabela1[NF],Tabela1[[#This Row],[NF]])</f>
        <v>0</v>
      </c>
      <c r="K698" s="26">
        <f>Tabela1[[#This Row],[DT. VENCIMENTO]]</f>
        <v>45989</v>
      </c>
      <c r="N698" s="14" t="str" cm="1">
        <f t="array" ref="N698">_xlfn.XLOOKUP(TRIM(D698),TRIM(DFC!A:A),DFC!A:A,"NÃO ESTÁ NA DFC")</f>
        <v xml:space="preserve">          13 SALARIO</v>
      </c>
      <c r="O698">
        <f t="shared" si="0"/>
        <v>59839.509999999995</v>
      </c>
      <c r="P698" s="291">
        <f t="shared" si="1"/>
        <v>46003</v>
      </c>
    </row>
    <row r="699" spans="1:16" customFormat="1" ht="14.4" x14ac:dyDescent="0.3">
      <c r="A699" s="24"/>
      <c r="B699" s="21">
        <v>45989</v>
      </c>
      <c r="C699" s="21" t="s">
        <v>15</v>
      </c>
      <c r="D699" s="21" t="s">
        <v>47</v>
      </c>
      <c r="E699" s="20"/>
      <c r="F699" s="22" t="s">
        <v>322</v>
      </c>
      <c r="G699" s="252">
        <v>588.9</v>
      </c>
      <c r="H699" s="1"/>
      <c r="I699" s="1">
        <f>COUNTIF(Tabela1[NF],Tabela1[[#This Row],[NF]])</f>
        <v>0</v>
      </c>
      <c r="K699" s="26">
        <f>Tabela1[[#This Row],[DT. VENCIMENTO]]</f>
        <v>45989</v>
      </c>
      <c r="N699" s="14" t="str" cm="1">
        <f t="array" ref="N699">_xlfn.XLOOKUP(TRIM(D699),TRIM(DFC!A:A),DFC!A:A,"NÃO ESTÁ NA DFC")</f>
        <v xml:space="preserve">          13 SALARIO</v>
      </c>
      <c r="O699">
        <f t="shared" si="0"/>
        <v>36373.22</v>
      </c>
      <c r="P699" s="291">
        <f t="shared" si="1"/>
        <v>46004</v>
      </c>
    </row>
    <row r="700" spans="1:16" customFormat="1" ht="14.4" x14ac:dyDescent="0.3">
      <c r="A700" s="24"/>
      <c r="B700" s="21">
        <v>45989</v>
      </c>
      <c r="C700" s="21" t="s">
        <v>15</v>
      </c>
      <c r="D700" s="21" t="s">
        <v>47</v>
      </c>
      <c r="E700" s="20"/>
      <c r="F700" s="22" t="s">
        <v>321</v>
      </c>
      <c r="G700" s="252">
        <v>1729.27</v>
      </c>
      <c r="H700" s="1"/>
      <c r="I700" s="1">
        <f>COUNTIF(Tabela1[NF],Tabela1[[#This Row],[NF]])</f>
        <v>0</v>
      </c>
      <c r="K700" s="26">
        <f>Tabela1[[#This Row],[DT. VENCIMENTO]]</f>
        <v>45989</v>
      </c>
      <c r="N700" s="14" t="str" cm="1">
        <f t="array" ref="N700">_xlfn.XLOOKUP(TRIM(D700),TRIM(DFC!A:A),DFC!A:A,"NÃO ESTÁ NA DFC")</f>
        <v xml:space="preserve">          13 SALARIO</v>
      </c>
      <c r="O700">
        <f t="shared" si="0"/>
        <v>0</v>
      </c>
      <c r="P700" s="291">
        <f t="shared" si="1"/>
        <v>46005</v>
      </c>
    </row>
    <row r="701" spans="1:16" customFormat="1" ht="14.4" x14ac:dyDescent="0.3">
      <c r="A701" s="24"/>
      <c r="B701" s="21">
        <v>45989</v>
      </c>
      <c r="C701" s="21" t="s">
        <v>15</v>
      </c>
      <c r="D701" s="21" t="s">
        <v>47</v>
      </c>
      <c r="E701" s="20"/>
      <c r="F701" s="22" t="s">
        <v>326</v>
      </c>
      <c r="G701" s="252">
        <v>833.33</v>
      </c>
      <c r="H701" s="1"/>
      <c r="I701" s="1">
        <f>COUNTIF(Tabela1[NF],Tabela1[[#This Row],[NF]])</f>
        <v>0</v>
      </c>
      <c r="K701" s="26">
        <f>Tabela1[[#This Row],[DT. VENCIMENTO]]</f>
        <v>45989</v>
      </c>
      <c r="N701" s="14" t="str" cm="1">
        <f t="array" ref="N701">_xlfn.XLOOKUP(TRIM(D701),TRIM(DFC!A:A),DFC!A:A,"NÃO ESTÁ NA DFC")</f>
        <v xml:space="preserve">          13 SALARIO</v>
      </c>
      <c r="O701">
        <f t="shared" si="0"/>
        <v>42918.080000000002</v>
      </c>
      <c r="P701" s="291">
        <f t="shared" si="1"/>
        <v>46006</v>
      </c>
    </row>
    <row r="702" spans="1:16" customFormat="1" ht="14.4" x14ac:dyDescent="0.3">
      <c r="A702" s="24"/>
      <c r="B702" s="21">
        <v>45989</v>
      </c>
      <c r="C702" s="21" t="s">
        <v>15</v>
      </c>
      <c r="D702" s="21" t="s">
        <v>47</v>
      </c>
      <c r="E702" s="20"/>
      <c r="F702" s="22" t="s">
        <v>320</v>
      </c>
      <c r="G702" s="252">
        <v>786.42</v>
      </c>
      <c r="H702" s="1"/>
      <c r="I702" s="1">
        <f>COUNTIF(Tabela1[NF],Tabela1[[#This Row],[NF]])</f>
        <v>0</v>
      </c>
      <c r="K702" s="26">
        <f>Tabela1[[#This Row],[DT. VENCIMENTO]]</f>
        <v>45989</v>
      </c>
      <c r="N702" s="14" t="str" cm="1">
        <f t="array" ref="N702">_xlfn.XLOOKUP(TRIM(D702),TRIM(DFC!A:A),DFC!A:A,"NÃO ESTÁ NA DFC")</f>
        <v xml:space="preserve">          13 SALARIO</v>
      </c>
      <c r="O702">
        <f t="shared" si="0"/>
        <v>5982.43</v>
      </c>
      <c r="P702" s="291">
        <f t="shared" si="1"/>
        <v>46007</v>
      </c>
    </row>
    <row r="703" spans="1:16" customFormat="1" ht="14.4" x14ac:dyDescent="0.3">
      <c r="A703" s="24"/>
      <c r="B703" s="21">
        <v>45989</v>
      </c>
      <c r="C703" s="21" t="s">
        <v>15</v>
      </c>
      <c r="D703" s="21" t="s">
        <v>47</v>
      </c>
      <c r="E703" s="20"/>
      <c r="F703" s="22" t="s">
        <v>324</v>
      </c>
      <c r="G703" s="252">
        <v>705.31</v>
      </c>
      <c r="H703" s="1"/>
      <c r="I703" s="1">
        <f>COUNTIF(Tabela1[NF],Tabela1[[#This Row],[NF]])</f>
        <v>0</v>
      </c>
      <c r="K703" s="26">
        <f>Tabela1[[#This Row],[DT. VENCIMENTO]]</f>
        <v>45989</v>
      </c>
      <c r="N703" s="14" t="str" cm="1">
        <f t="array" ref="N703">_xlfn.XLOOKUP(TRIM(D703),TRIM(DFC!A:A),DFC!A:A,"NÃO ESTÁ NA DFC")</f>
        <v xml:space="preserve">          13 SALARIO</v>
      </c>
      <c r="O703">
        <f t="shared" si="0"/>
        <v>22528.359999999997</v>
      </c>
      <c r="P703" s="291">
        <f t="shared" si="1"/>
        <v>46008</v>
      </c>
    </row>
    <row r="704" spans="1:16" customFormat="1" ht="14.4" x14ac:dyDescent="0.3">
      <c r="A704" s="24"/>
      <c r="B704" s="21">
        <v>45989</v>
      </c>
      <c r="C704" s="21" t="s">
        <v>15</v>
      </c>
      <c r="D704" s="21" t="s">
        <v>47</v>
      </c>
      <c r="E704" s="20"/>
      <c r="F704" s="22" t="s">
        <v>325</v>
      </c>
      <c r="G704" s="252">
        <v>387.87</v>
      </c>
      <c r="H704" s="1"/>
      <c r="I704" s="1">
        <f>COUNTIF(Tabela1[NF],Tabela1[[#This Row],[NF]])</f>
        <v>0</v>
      </c>
      <c r="K704" s="26">
        <f>Tabela1[[#This Row],[DT. VENCIMENTO]]</f>
        <v>45989</v>
      </c>
      <c r="N704" s="14" t="str" cm="1">
        <f t="array" ref="N704">_xlfn.XLOOKUP(TRIM(D704),TRIM(DFC!A:A),DFC!A:A,"NÃO ESTÁ NA DFC")</f>
        <v xml:space="preserve">          13 SALARIO</v>
      </c>
      <c r="O704">
        <f t="shared" si="0"/>
        <v>48593.83</v>
      </c>
      <c r="P704" s="291">
        <f t="shared" si="1"/>
        <v>46009</v>
      </c>
    </row>
    <row r="705" spans="1:16" customFormat="1" ht="14.4" x14ac:dyDescent="0.3">
      <c r="A705" s="24"/>
      <c r="B705" s="21">
        <v>45989</v>
      </c>
      <c r="C705" s="21" t="s">
        <v>15</v>
      </c>
      <c r="D705" s="21" t="s">
        <v>47</v>
      </c>
      <c r="E705" s="20"/>
      <c r="F705" s="22" t="s">
        <v>441</v>
      </c>
      <c r="G705" s="252">
        <v>601.9</v>
      </c>
      <c r="H705" s="1"/>
      <c r="I705" s="1">
        <f>COUNTIF(Tabela1[NF],Tabela1[[#This Row],[NF]])</f>
        <v>0</v>
      </c>
      <c r="K705" s="26">
        <f>Tabela1[[#This Row],[DT. VENCIMENTO]]</f>
        <v>45989</v>
      </c>
      <c r="N705" s="14" t="str" cm="1">
        <f t="array" ref="N705">_xlfn.XLOOKUP(TRIM(D705),TRIM(DFC!A:A),DFC!A:A,"NÃO ESTÁ NA DFC")</f>
        <v xml:space="preserve">          13 SALARIO</v>
      </c>
      <c r="O705">
        <f t="shared" si="0"/>
        <v>24783.760000000002</v>
      </c>
      <c r="P705" s="291">
        <f t="shared" si="1"/>
        <v>46010</v>
      </c>
    </row>
    <row r="706" spans="1:16" customFormat="1" ht="14.4" x14ac:dyDescent="0.3">
      <c r="A706" s="24"/>
      <c r="B706" s="21">
        <v>45989</v>
      </c>
      <c r="C706" s="21" t="s">
        <v>15</v>
      </c>
      <c r="D706" s="21" t="s">
        <v>19</v>
      </c>
      <c r="E706" s="20" t="s">
        <v>442</v>
      </c>
      <c r="F706" s="22" t="s">
        <v>103</v>
      </c>
      <c r="G706" s="252">
        <v>11000.39</v>
      </c>
      <c r="H706" s="1"/>
      <c r="I706" s="1">
        <f>COUNTIF(Tabela1[NF],Tabela1[[#This Row],[NF]])</f>
        <v>0</v>
      </c>
      <c r="K706" s="26">
        <f>Tabela1[[#This Row],[DT. VENCIMENTO]]</f>
        <v>45989</v>
      </c>
      <c r="N706" s="14" t="str" cm="1">
        <f t="array" ref="N706">_xlfn.XLOOKUP(TRIM(D706),TRIM(DFC!A:A),DFC!A:A,"NÃO ESTÁ NA DFC")</f>
        <v xml:space="preserve">      PEÇAS</v>
      </c>
      <c r="O706">
        <f t="shared" si="0"/>
        <v>0</v>
      </c>
      <c r="P706" s="291">
        <f t="shared" si="1"/>
        <v>46011</v>
      </c>
    </row>
    <row r="707" spans="1:16" customFormat="1" ht="14.4" x14ac:dyDescent="0.3">
      <c r="A707" s="24"/>
      <c r="B707" s="21">
        <v>45989</v>
      </c>
      <c r="C707" s="21" t="s">
        <v>15</v>
      </c>
      <c r="D707" s="84" t="s">
        <v>19</v>
      </c>
      <c r="E707" s="81" t="s">
        <v>362</v>
      </c>
      <c r="F707" s="22" t="s">
        <v>103</v>
      </c>
      <c r="G707" s="285">
        <v>8766.67</v>
      </c>
      <c r="H707" s="1"/>
      <c r="I707" s="1">
        <f>COUNTIF(Tabela1[NF],Tabela1[[#This Row],[NF]])</f>
        <v>0</v>
      </c>
      <c r="K707" s="26">
        <f>Tabela1[[#This Row],[DT. VENCIMENTO]]</f>
        <v>45989</v>
      </c>
      <c r="N707" s="14" t="str" cm="1">
        <f t="array" ref="N707">_xlfn.XLOOKUP(TRIM(D707),TRIM(DFC!A:A),DFC!A:A,"NÃO ESTÁ NA DFC")</f>
        <v xml:space="preserve">      PEÇAS</v>
      </c>
      <c r="O707">
        <f t="shared" si="0"/>
        <v>0</v>
      </c>
      <c r="P707" s="291">
        <f t="shared" si="1"/>
        <v>46012</v>
      </c>
    </row>
    <row r="708" spans="1:16" customFormat="1" ht="14.4" x14ac:dyDescent="0.3">
      <c r="A708" s="19">
        <v>454904</v>
      </c>
      <c r="B708" s="21">
        <v>45989</v>
      </c>
      <c r="C708" s="21" t="s">
        <v>15</v>
      </c>
      <c r="D708" s="21" t="s">
        <v>19</v>
      </c>
      <c r="E708" s="20"/>
      <c r="F708" s="22" t="s">
        <v>310</v>
      </c>
      <c r="G708" s="252">
        <v>804</v>
      </c>
      <c r="H708" s="1"/>
      <c r="I708" s="1">
        <f>COUNTIF(Tabela1[NF],Tabela1[[#This Row],[NF]])</f>
        <v>3</v>
      </c>
      <c r="K708" s="26">
        <f>Tabela1[[#This Row],[DT. VENCIMENTO]]</f>
        <v>45989</v>
      </c>
      <c r="N708" s="14" t="str" cm="1">
        <f t="array" ref="N708">_xlfn.XLOOKUP(TRIM(D708),TRIM(DFC!A:A),DFC!A:A,"NÃO ESTÁ NA DFC")</f>
        <v xml:space="preserve">      PEÇAS</v>
      </c>
      <c r="O708">
        <f t="shared" si="0"/>
        <v>106851.76000000001</v>
      </c>
      <c r="P708" s="291">
        <f t="shared" si="1"/>
        <v>46013</v>
      </c>
    </row>
    <row r="709" spans="1:16" customFormat="1" ht="14.4" x14ac:dyDescent="0.3">
      <c r="A709" s="19">
        <v>622499</v>
      </c>
      <c r="B709" s="21">
        <v>45989</v>
      </c>
      <c r="C709" s="21" t="s">
        <v>15</v>
      </c>
      <c r="D709" s="21" t="s">
        <v>19</v>
      </c>
      <c r="E709" s="20"/>
      <c r="F709" s="22" t="s">
        <v>310</v>
      </c>
      <c r="G709" s="252">
        <v>5335.48</v>
      </c>
      <c r="H709" s="1"/>
      <c r="I709" s="1">
        <f>COUNTIF(Tabela1[NF],Tabela1[[#This Row],[NF]])</f>
        <v>3</v>
      </c>
      <c r="K709" s="26">
        <f>Tabela1[[#This Row],[DT. VENCIMENTO]]</f>
        <v>45989</v>
      </c>
      <c r="N709" s="14" t="str" cm="1">
        <f t="array" ref="N709">_xlfn.XLOOKUP(TRIM(D709),TRIM(DFC!A:A),DFC!A:A,"NÃO ESTÁ NA DFC")</f>
        <v xml:space="preserve">      PEÇAS</v>
      </c>
      <c r="O709">
        <f t="shared" si="0"/>
        <v>31070.74</v>
      </c>
      <c r="P709" s="291">
        <f t="shared" si="1"/>
        <v>46014</v>
      </c>
    </row>
    <row r="710" spans="1:16" customFormat="1" ht="14.4" x14ac:dyDescent="0.3">
      <c r="A710" s="24"/>
      <c r="B710" s="21">
        <v>45992</v>
      </c>
      <c r="C710" s="21" t="s">
        <v>15</v>
      </c>
      <c r="D710" s="21" t="s">
        <v>82</v>
      </c>
      <c r="E710" s="20"/>
      <c r="F710" s="22" t="s">
        <v>373</v>
      </c>
      <c r="G710" s="285">
        <v>450</v>
      </c>
      <c r="H710" s="1"/>
      <c r="I710" s="1">
        <f>COUNTIF(Tabela1[NF],Tabela1[[#This Row],[NF]])</f>
        <v>0</v>
      </c>
      <c r="K710" s="26">
        <f>Tabela1[[#This Row],[DT. VENCIMENTO]]</f>
        <v>45992</v>
      </c>
      <c r="N710" s="14" t="str" cm="1">
        <f t="array" ref="N710">_xlfn.XLOOKUP(TRIM(D710),TRIM(DFC!A:A),DFC!A:A,"NÃO ESTÁ NA DFC")</f>
        <v xml:space="preserve">          DIÁRIAS</v>
      </c>
      <c r="O710">
        <f t="shared" si="0"/>
        <v>10272.179999999998</v>
      </c>
      <c r="P710" s="291">
        <f t="shared" si="1"/>
        <v>46015</v>
      </c>
    </row>
    <row r="711" spans="1:16" customFormat="1" ht="14.4" x14ac:dyDescent="0.3">
      <c r="A711" s="24"/>
      <c r="B711" s="21">
        <v>45992</v>
      </c>
      <c r="C711" s="21" t="s">
        <v>15</v>
      </c>
      <c r="D711" s="21" t="s">
        <v>82</v>
      </c>
      <c r="E711" s="20"/>
      <c r="F711" s="22" t="s">
        <v>443</v>
      </c>
      <c r="G711" s="285">
        <v>175</v>
      </c>
      <c r="H711" s="1"/>
      <c r="I711" s="1">
        <f>COUNTIF(Tabela1[NF],Tabela1[[#This Row],[NF]])</f>
        <v>0</v>
      </c>
      <c r="K711" s="26">
        <f>Tabela1[[#This Row],[DT. VENCIMENTO]]</f>
        <v>45992</v>
      </c>
      <c r="N711" s="14" t="str" cm="1">
        <f t="array" ref="N711">_xlfn.XLOOKUP(TRIM(D711),TRIM(DFC!A:A),DFC!A:A,"NÃO ESTÁ NA DFC")</f>
        <v xml:space="preserve">          DIÁRIAS</v>
      </c>
      <c r="O711">
        <f t="shared" si="0"/>
        <v>0</v>
      </c>
      <c r="P711" s="291">
        <f t="shared" si="1"/>
        <v>46016</v>
      </c>
    </row>
    <row r="712" spans="1:16" customFormat="1" ht="14.4" x14ac:dyDescent="0.3">
      <c r="A712" s="24"/>
      <c r="B712" s="21">
        <v>45992</v>
      </c>
      <c r="C712" s="21" t="s">
        <v>15</v>
      </c>
      <c r="D712" s="21" t="s">
        <v>82</v>
      </c>
      <c r="E712" s="20"/>
      <c r="F712" s="22" t="s">
        <v>351</v>
      </c>
      <c r="G712" s="285">
        <v>140</v>
      </c>
      <c r="H712" s="1"/>
      <c r="I712" s="1">
        <f>COUNTIF(Tabela1[NF],Tabela1[[#This Row],[NF]])</f>
        <v>0</v>
      </c>
      <c r="K712" s="26">
        <f>Tabela1[[#This Row],[DT. VENCIMENTO]]</f>
        <v>45992</v>
      </c>
      <c r="N712" s="14" t="str" cm="1">
        <f t="array" ref="N712">_xlfn.XLOOKUP(TRIM(D712),TRIM(DFC!A:A),DFC!A:A,"NÃO ESTÁ NA DFC")</f>
        <v xml:space="preserve">          DIÁRIAS</v>
      </c>
      <c r="O712">
        <f t="shared" si="0"/>
        <v>96575.22</v>
      </c>
      <c r="P712" s="291">
        <f t="shared" si="1"/>
        <v>46017</v>
      </c>
    </row>
    <row r="713" spans="1:16" customFormat="1" ht="14.4" x14ac:dyDescent="0.3">
      <c r="A713" s="24"/>
      <c r="B713" s="21">
        <v>45992</v>
      </c>
      <c r="C713" s="21" t="s">
        <v>15</v>
      </c>
      <c r="D713" s="21" t="s">
        <v>82</v>
      </c>
      <c r="E713" s="20"/>
      <c r="F713" s="22" t="s">
        <v>412</v>
      </c>
      <c r="G713" s="285">
        <v>640</v>
      </c>
      <c r="H713" s="1"/>
      <c r="I713" s="1">
        <f>COUNTIF(Tabela1[NF],Tabela1[[#This Row],[NF]])</f>
        <v>0</v>
      </c>
      <c r="K713" s="26">
        <f>Tabela1[[#This Row],[DT. VENCIMENTO]]</f>
        <v>45992</v>
      </c>
      <c r="N713" s="14" t="str" cm="1">
        <f t="array" ref="N713">_xlfn.XLOOKUP(TRIM(D713),TRIM(DFC!A:A),DFC!A:A,"NÃO ESTÁ NA DFC")</f>
        <v xml:space="preserve">          DIÁRIAS</v>
      </c>
      <c r="O713">
        <f t="shared" si="0"/>
        <v>0</v>
      </c>
      <c r="P713" s="291">
        <f t="shared" si="1"/>
        <v>46018</v>
      </c>
    </row>
    <row r="714" spans="1:16" customFormat="1" ht="14.4" x14ac:dyDescent="0.3">
      <c r="A714" s="24"/>
      <c r="B714" s="21">
        <v>45992</v>
      </c>
      <c r="C714" s="21" t="s">
        <v>15</v>
      </c>
      <c r="D714" s="21" t="s">
        <v>82</v>
      </c>
      <c r="E714" s="20"/>
      <c r="F714" s="22" t="s">
        <v>347</v>
      </c>
      <c r="G714" s="285">
        <v>640</v>
      </c>
      <c r="H714" s="1"/>
      <c r="I714" s="1">
        <f>COUNTIF(Tabela1[NF],Tabela1[[#This Row],[NF]])</f>
        <v>0</v>
      </c>
      <c r="K714" s="26">
        <f>Tabela1[[#This Row],[DT. VENCIMENTO]]</f>
        <v>45992</v>
      </c>
      <c r="N714" s="14" t="str" cm="1">
        <f t="array" ref="N714">_xlfn.XLOOKUP(TRIM(D714),TRIM(DFC!A:A),DFC!A:A,"NÃO ESTÁ NA DFC")</f>
        <v xml:space="preserve">          DIÁRIAS</v>
      </c>
      <c r="O714">
        <f t="shared" si="0"/>
        <v>0</v>
      </c>
      <c r="P714" s="291">
        <f t="shared" si="1"/>
        <v>46019</v>
      </c>
    </row>
    <row r="715" spans="1:16" customFormat="1" ht="14.4" x14ac:dyDescent="0.3">
      <c r="A715" s="24"/>
      <c r="B715" s="21">
        <v>45992</v>
      </c>
      <c r="C715" s="21" t="s">
        <v>15</v>
      </c>
      <c r="D715" s="21" t="s">
        <v>82</v>
      </c>
      <c r="E715" s="20"/>
      <c r="F715" s="22" t="s">
        <v>325</v>
      </c>
      <c r="G715" s="285">
        <v>140</v>
      </c>
      <c r="H715" s="1"/>
      <c r="I715" s="1">
        <f>COUNTIF(Tabela1[NF],Tabela1[[#This Row],[NF]])</f>
        <v>0</v>
      </c>
      <c r="K715" s="26">
        <f>Tabela1[[#This Row],[DT. VENCIMENTO]]</f>
        <v>45992</v>
      </c>
      <c r="N715" s="14" t="str" cm="1">
        <f t="array" ref="N715">_xlfn.XLOOKUP(TRIM(D715),TRIM(DFC!A:A),DFC!A:A,"NÃO ESTÁ NA DFC")</f>
        <v xml:space="preserve">          DIÁRIAS</v>
      </c>
      <c r="O715">
        <f t="shared" si="0"/>
        <v>987.5</v>
      </c>
      <c r="P715" s="291">
        <f t="shared" si="1"/>
        <v>46020</v>
      </c>
    </row>
    <row r="716" spans="1:16" customFormat="1" ht="14.4" x14ac:dyDescent="0.3">
      <c r="A716" s="24"/>
      <c r="B716" s="21">
        <v>45992</v>
      </c>
      <c r="C716" s="21" t="s">
        <v>15</v>
      </c>
      <c r="D716" s="21" t="s">
        <v>82</v>
      </c>
      <c r="E716" s="20"/>
      <c r="F716" s="22" t="s">
        <v>421</v>
      </c>
      <c r="G716" s="285">
        <v>153.94</v>
      </c>
      <c r="H716" s="1"/>
      <c r="I716" s="1">
        <f>COUNTIF(Tabela1[NF],Tabela1[[#This Row],[NF]])</f>
        <v>0</v>
      </c>
      <c r="K716" s="26">
        <f>Tabela1[[#This Row],[DT. VENCIMENTO]]</f>
        <v>45992</v>
      </c>
      <c r="N716" s="14" t="str" cm="1">
        <f t="array" ref="N716">_xlfn.XLOOKUP(TRIM(D716),TRIM(DFC!A:A),DFC!A:A,"NÃO ESTÁ NA DFC")</f>
        <v xml:space="preserve">          DIÁRIAS</v>
      </c>
      <c r="O716">
        <f t="shared" si="0"/>
        <v>46005.66</v>
      </c>
      <c r="P716" s="291">
        <f t="shared" si="1"/>
        <v>46021</v>
      </c>
    </row>
    <row r="717" spans="1:16" customFormat="1" ht="14.4" x14ac:dyDescent="0.3">
      <c r="A717" s="24"/>
      <c r="B717" s="21">
        <v>45992</v>
      </c>
      <c r="C717" s="21" t="s">
        <v>15</v>
      </c>
      <c r="D717" s="21" t="s">
        <v>82</v>
      </c>
      <c r="E717" s="20"/>
      <c r="F717" s="22" t="s">
        <v>413</v>
      </c>
      <c r="G717" s="285">
        <v>300</v>
      </c>
      <c r="H717" s="1"/>
      <c r="I717" s="1">
        <f>COUNTIF(Tabela1[NF],Tabela1[[#This Row],[NF]])</f>
        <v>0</v>
      </c>
      <c r="K717" s="26">
        <f>Tabela1[[#This Row],[DT. VENCIMENTO]]</f>
        <v>45992</v>
      </c>
      <c r="N717" s="14" t="str" cm="1">
        <f t="array" ref="N717">_xlfn.XLOOKUP(TRIM(D717),TRIM(DFC!A:A),DFC!A:A,"NÃO ESTÁ NA DFC")</f>
        <v xml:space="preserve">          DIÁRIAS</v>
      </c>
      <c r="O717">
        <f t="shared" si="0"/>
        <v>1200</v>
      </c>
      <c r="P717" s="291">
        <f t="shared" si="1"/>
        <v>46022</v>
      </c>
    </row>
    <row r="718" spans="1:16" customFormat="1" ht="14.4" x14ac:dyDescent="0.3">
      <c r="A718" s="24"/>
      <c r="B718" s="21">
        <v>45992</v>
      </c>
      <c r="C718" s="21" t="s">
        <v>15</v>
      </c>
      <c r="D718" s="21" t="s">
        <v>111</v>
      </c>
      <c r="E718" s="20"/>
      <c r="F718" s="22" t="s">
        <v>114</v>
      </c>
      <c r="G718" s="285">
        <v>11</v>
      </c>
      <c r="H718" s="1"/>
      <c r="I718" s="1">
        <f>COUNTIF(Tabela1[NF],Tabela1[[#This Row],[NF]])</f>
        <v>0</v>
      </c>
      <c r="K718" s="26">
        <f>Tabela1[[#This Row],[DT. VENCIMENTO]]</f>
        <v>45992</v>
      </c>
      <c r="N718" s="14" t="str" cm="1">
        <f t="array" ref="N718">_xlfn.XLOOKUP(TRIM(D718),TRIM(DFC!A:A),DFC!A:A,"NÃO ESTÁ NA DFC")</f>
        <v xml:space="preserve">          TX. BANCÁRIA</v>
      </c>
    </row>
    <row r="719" spans="1:16" customFormat="1" ht="14.4" x14ac:dyDescent="0.3">
      <c r="A719" s="24"/>
      <c r="B719" s="21">
        <v>45992</v>
      </c>
      <c r="C719" s="21" t="s">
        <v>15</v>
      </c>
      <c r="D719" s="21" t="s">
        <v>111</v>
      </c>
      <c r="E719" s="20"/>
      <c r="F719" s="22" t="s">
        <v>114</v>
      </c>
      <c r="G719" s="285">
        <v>8.77</v>
      </c>
      <c r="H719" s="1"/>
      <c r="I719" s="1">
        <f>COUNTIF(Tabela1[NF],Tabela1[[#This Row],[NF]])</f>
        <v>0</v>
      </c>
      <c r="K719" s="26">
        <f>Tabela1[[#This Row],[DT. VENCIMENTO]]</f>
        <v>45992</v>
      </c>
      <c r="N719" s="14" t="str" cm="1">
        <f t="array" ref="N719">_xlfn.XLOOKUP(TRIM(D719),TRIM(DFC!A:A),DFC!A:A,"NÃO ESTÁ NA DFC")</f>
        <v xml:space="preserve">          TX. BANCÁRIA</v>
      </c>
    </row>
    <row r="720" spans="1:16" customFormat="1" ht="14.4" x14ac:dyDescent="0.3">
      <c r="A720" s="24"/>
      <c r="B720" s="21">
        <v>45992</v>
      </c>
      <c r="C720" s="21" t="s">
        <v>15</v>
      </c>
      <c r="D720" s="21" t="s">
        <v>117</v>
      </c>
      <c r="E720" s="20" t="s">
        <v>444</v>
      </c>
      <c r="F720" s="22" t="s">
        <v>322</v>
      </c>
      <c r="G720" s="285">
        <v>140</v>
      </c>
      <c r="H720" s="1"/>
      <c r="I720" s="1">
        <f>COUNTIF(Tabela1[NF],Tabela1[[#This Row],[NF]])</f>
        <v>0</v>
      </c>
      <c r="K720" s="26">
        <f>Tabela1[[#This Row],[DT. VENCIMENTO]]</f>
        <v>45992</v>
      </c>
      <c r="N720" s="14" t="str" cm="1">
        <f t="array" ref="N720">_xlfn.XLOOKUP(TRIM(D720),TRIM(DFC!A:A),DFC!A:A,"NÃO ESTÁ NA DFC")</f>
        <v xml:space="preserve">          SALÁRIOS</v>
      </c>
    </row>
    <row r="721" spans="1:14" customFormat="1" ht="14.4" x14ac:dyDescent="0.3">
      <c r="A721" s="24"/>
      <c r="B721" s="21">
        <v>45992</v>
      </c>
      <c r="C721" s="21" t="s">
        <v>15</v>
      </c>
      <c r="D721" s="21" t="s">
        <v>154</v>
      </c>
      <c r="E721" s="20"/>
      <c r="F721" s="22" t="s">
        <v>299</v>
      </c>
      <c r="G721" s="285">
        <v>830.34</v>
      </c>
      <c r="H721" s="1"/>
      <c r="I721" s="1">
        <f>COUNTIF(Tabela1[NF],Tabela1[[#This Row],[NF]])</f>
        <v>0</v>
      </c>
      <c r="K721" s="26">
        <f>Tabela1[[#This Row],[DT. VENCIMENTO]]</f>
        <v>45992</v>
      </c>
      <c r="N721" s="14" t="str" cm="1">
        <f t="array" ref="N721">_xlfn.XLOOKUP(TRIM(D721),TRIM(DFC!A:A),DFC!A:A,"NÃO ESTÁ NA DFC")</f>
        <v xml:space="preserve">      EMBALAGENS</v>
      </c>
    </row>
    <row r="722" spans="1:14" customFormat="1" ht="14.4" x14ac:dyDescent="0.3">
      <c r="A722" s="24"/>
      <c r="B722" s="21">
        <v>45992</v>
      </c>
      <c r="C722" s="21" t="s">
        <v>15</v>
      </c>
      <c r="D722" s="21" t="s">
        <v>19</v>
      </c>
      <c r="E722" s="20"/>
      <c r="F722" s="22" t="s">
        <v>340</v>
      </c>
      <c r="G722" s="285">
        <v>8519.15</v>
      </c>
      <c r="H722" s="1"/>
      <c r="I722" s="1">
        <f>COUNTIF(Tabela1[NF],Tabela1[[#This Row],[NF]])</f>
        <v>0</v>
      </c>
      <c r="K722" s="26">
        <f>Tabela1[[#This Row],[DT. VENCIMENTO]]</f>
        <v>45992</v>
      </c>
      <c r="N722" s="14" t="str" cm="1">
        <f t="array" ref="N722">_xlfn.XLOOKUP(TRIM(D722),TRIM(DFC!A:A),DFC!A:A,"NÃO ESTÁ NA DFC")</f>
        <v xml:space="preserve">      PEÇAS</v>
      </c>
    </row>
    <row r="723" spans="1:14" customFormat="1" ht="14.4" x14ac:dyDescent="0.3">
      <c r="A723" s="24"/>
      <c r="B723" s="21">
        <v>45992</v>
      </c>
      <c r="C723" s="21" t="s">
        <v>15</v>
      </c>
      <c r="D723" s="21" t="s">
        <v>19</v>
      </c>
      <c r="E723" s="20"/>
      <c r="F723" s="22" t="s">
        <v>340</v>
      </c>
      <c r="G723" s="285">
        <v>24917.51</v>
      </c>
      <c r="H723" s="1"/>
      <c r="I723" s="1">
        <f>COUNTIF(Tabela1[NF],Tabela1[[#This Row],[NF]])</f>
        <v>0</v>
      </c>
      <c r="K723" s="26">
        <f>Tabela1[[#This Row],[DT. VENCIMENTO]]</f>
        <v>45992</v>
      </c>
      <c r="N723" s="14" t="str" cm="1">
        <f t="array" ref="N723">_xlfn.XLOOKUP(TRIM(D723),TRIM(DFC!A:A),DFC!A:A,"NÃO ESTÁ NA DFC")</f>
        <v xml:space="preserve">      PEÇAS</v>
      </c>
    </row>
    <row r="724" spans="1:14" customFormat="1" ht="14.4" x14ac:dyDescent="0.3">
      <c r="A724" s="24"/>
      <c r="B724" s="21">
        <v>45992</v>
      </c>
      <c r="C724" s="21" t="s">
        <v>15</v>
      </c>
      <c r="D724" s="84" t="s">
        <v>37</v>
      </c>
      <c r="E724" s="20"/>
      <c r="F724" s="22" t="s">
        <v>341</v>
      </c>
      <c r="G724" s="285">
        <v>264.99</v>
      </c>
      <c r="H724" s="1"/>
      <c r="I724" s="1">
        <f>COUNTIF(Tabela1[NF],Tabela1[[#This Row],[NF]])</f>
        <v>0</v>
      </c>
      <c r="K724" s="26">
        <f>Tabela1[[#This Row],[DT. VENCIMENTO]]</f>
        <v>45992</v>
      </c>
      <c r="N724" s="14" t="str" cm="1">
        <f t="array" ref="N724">_xlfn.XLOOKUP(TRIM(D724),TRIM(DFC!A:A),DFC!A:A,"NÃO ESTÁ NA DFC")</f>
        <v xml:space="preserve">          MATERIAL DE ESCRITÓRIO</v>
      </c>
    </row>
    <row r="725" spans="1:14" customFormat="1" ht="14.4" x14ac:dyDescent="0.3">
      <c r="A725" s="24"/>
      <c r="B725" s="21">
        <v>45992</v>
      </c>
      <c r="C725" s="21" t="s">
        <v>15</v>
      </c>
      <c r="D725" s="84" t="s">
        <v>82</v>
      </c>
      <c r="E725" s="20" t="s">
        <v>445</v>
      </c>
      <c r="F725" s="22" t="s">
        <v>446</v>
      </c>
      <c r="G725" s="285">
        <v>500</v>
      </c>
      <c r="H725" s="1"/>
      <c r="I725" s="1">
        <f>COUNTIF(Tabela1[NF],Tabela1[[#This Row],[NF]])</f>
        <v>0</v>
      </c>
      <c r="K725" s="26">
        <f>Tabela1[[#This Row],[DT. VENCIMENTO]]</f>
        <v>45992</v>
      </c>
      <c r="N725" s="14" t="str" cm="1">
        <f t="array" ref="N725">_xlfn.XLOOKUP(TRIM(D725),TRIM(DFC!A:A),DFC!A:A,"NÃO ESTÁ NA DFC")</f>
        <v xml:space="preserve">          DIÁRIAS</v>
      </c>
    </row>
    <row r="726" spans="1:14" customFormat="1" ht="14.4" x14ac:dyDescent="0.3">
      <c r="A726" s="24"/>
      <c r="B726" s="21">
        <v>45992</v>
      </c>
      <c r="C726" s="21" t="s">
        <v>15</v>
      </c>
      <c r="D726" s="21" t="s">
        <v>156</v>
      </c>
      <c r="E726" s="20" t="s">
        <v>157</v>
      </c>
      <c r="F726" s="22" t="s">
        <v>314</v>
      </c>
      <c r="G726" s="285">
        <v>2175</v>
      </c>
      <c r="H726" s="1"/>
      <c r="I726" s="1">
        <f>COUNTIF(Tabela1[NF],Tabela1[[#This Row],[NF]])</f>
        <v>0</v>
      </c>
      <c r="K726" s="26">
        <f>Tabela1[[#This Row],[DT. VENCIMENTO]]</f>
        <v>45992</v>
      </c>
      <c r="N726" s="14" t="str" cm="1">
        <f t="array" ref="N726">_xlfn.XLOOKUP(TRIM(D726),TRIM(DFC!A:A),DFC!A:A,"NÃO ESTÁ NA DFC")</f>
        <v xml:space="preserve">      MONTAGEM DE RODAS</v>
      </c>
    </row>
    <row r="727" spans="1:14" customFormat="1" ht="14.4" x14ac:dyDescent="0.3">
      <c r="A727" s="24"/>
      <c r="B727" s="21">
        <v>45992</v>
      </c>
      <c r="C727" s="21" t="s">
        <v>15</v>
      </c>
      <c r="D727" s="84" t="s">
        <v>98</v>
      </c>
      <c r="E727" s="20" t="s">
        <v>307</v>
      </c>
      <c r="F727" s="22" t="s">
        <v>447</v>
      </c>
      <c r="G727" s="285">
        <v>45</v>
      </c>
      <c r="H727" s="1"/>
      <c r="I727" s="1">
        <f>COUNTIF(Tabela1[NF],Tabela1[[#This Row],[NF]])</f>
        <v>0</v>
      </c>
      <c r="K727" s="26">
        <f>Tabela1[[#This Row],[DT. VENCIMENTO]]</f>
        <v>45992</v>
      </c>
      <c r="N727" s="14" t="str" cm="1">
        <f t="array" ref="N727">_xlfn.XLOOKUP(TRIM(D727),TRIM(DFC!A:A),DFC!A:A,"NÃO ESTÁ NA DFC")</f>
        <v xml:space="preserve">     REEMBOLSO SAC</v>
      </c>
    </row>
    <row r="728" spans="1:14" customFormat="1" ht="14.4" x14ac:dyDescent="0.3">
      <c r="A728" s="24"/>
      <c r="B728" s="21">
        <v>45992</v>
      </c>
      <c r="C728" s="21" t="s">
        <v>15</v>
      </c>
      <c r="D728" s="21" t="s">
        <v>47</v>
      </c>
      <c r="E728" s="20" t="s">
        <v>448</v>
      </c>
      <c r="F728" s="22" t="s">
        <v>327</v>
      </c>
      <c r="G728" s="285">
        <v>658.48</v>
      </c>
      <c r="H728" s="1"/>
      <c r="I728" s="1">
        <f>COUNTIF(Tabela1[NF],Tabela1[[#This Row],[NF]])</f>
        <v>0</v>
      </c>
      <c r="K728" s="26">
        <f>Tabela1[[#This Row],[DT. VENCIMENTO]]</f>
        <v>45992</v>
      </c>
      <c r="N728" s="14" t="str" cm="1">
        <f t="array" ref="N728">_xlfn.XLOOKUP(TRIM(D728),TRIM(DFC!A:A),DFC!A:A,"NÃO ESTÁ NA DFC")</f>
        <v xml:space="preserve">          13 SALARIO</v>
      </c>
    </row>
    <row r="729" spans="1:14" customFormat="1" ht="14.4" x14ac:dyDescent="0.3">
      <c r="A729" s="24"/>
      <c r="B729" s="21">
        <v>45992</v>
      </c>
      <c r="C729" s="21" t="s">
        <v>15</v>
      </c>
      <c r="D729" s="84" t="s">
        <v>29</v>
      </c>
      <c r="E729" s="20" t="s">
        <v>449</v>
      </c>
      <c r="F729" s="22" t="s">
        <v>450</v>
      </c>
      <c r="G729" s="285">
        <v>100</v>
      </c>
      <c r="H729" s="1"/>
      <c r="I729" s="1">
        <f>COUNTIF(Tabela1[NF],Tabela1[[#This Row],[NF]])</f>
        <v>0</v>
      </c>
      <c r="K729" s="26">
        <f>Tabela1[[#This Row],[DT. VENCIMENTO]]</f>
        <v>45992</v>
      </c>
      <c r="N729" s="14" t="str" cm="1">
        <f t="array" ref="N729">_xlfn.XLOOKUP(TRIM(D729),TRIM(DFC!A:A),DFC!A:A,"NÃO ESTÁ NA DFC")</f>
        <v xml:space="preserve">      FRETE DE SAÍDA</v>
      </c>
    </row>
    <row r="730" spans="1:14" customFormat="1" ht="14.4" x14ac:dyDescent="0.3">
      <c r="A730" s="24"/>
      <c r="B730" s="21">
        <v>45992</v>
      </c>
      <c r="C730" s="21" t="s">
        <v>15</v>
      </c>
      <c r="D730" s="84" t="s">
        <v>98</v>
      </c>
      <c r="E730" s="20" t="s">
        <v>307</v>
      </c>
      <c r="F730" s="22" t="s">
        <v>451</v>
      </c>
      <c r="G730" s="285">
        <v>20</v>
      </c>
      <c r="H730" s="1"/>
      <c r="I730" s="1">
        <f>COUNTIF(Tabela1[NF],Tabela1[[#This Row],[NF]])</f>
        <v>0</v>
      </c>
      <c r="K730" s="26">
        <f>Tabela1[[#This Row],[DT. VENCIMENTO]]</f>
        <v>45992</v>
      </c>
      <c r="N730" s="14" t="str" cm="1">
        <f t="array" ref="N730">_xlfn.XLOOKUP(TRIM(D730),TRIM(DFC!A:A),DFC!A:A,"NÃO ESTÁ NA DFC")</f>
        <v xml:space="preserve">     REEMBOLSO SAC</v>
      </c>
    </row>
    <row r="731" spans="1:14" customFormat="1" ht="14.4" x14ac:dyDescent="0.3">
      <c r="A731" s="24"/>
      <c r="B731" s="21">
        <v>45992</v>
      </c>
      <c r="C731" s="21" t="s">
        <v>15</v>
      </c>
      <c r="D731" s="21" t="s">
        <v>29</v>
      </c>
      <c r="E731" s="20"/>
      <c r="F731" s="22" t="s">
        <v>168</v>
      </c>
      <c r="G731" s="285">
        <v>56.17</v>
      </c>
      <c r="H731" s="1"/>
      <c r="I731" s="1">
        <f>COUNTIF(Tabela1[NF],Tabela1[[#This Row],[NF]])</f>
        <v>0</v>
      </c>
      <c r="K731" s="26">
        <f>Tabela1[[#This Row],[DT. VENCIMENTO]]</f>
        <v>45992</v>
      </c>
      <c r="N731" s="14" t="str" cm="1">
        <f t="array" ref="N731">_xlfn.XLOOKUP(TRIM(D731),TRIM(DFC!A:A),DFC!A:A,"NÃO ESTÁ NA DFC")</f>
        <v xml:space="preserve">      FRETE DE SAÍDA</v>
      </c>
    </row>
    <row r="732" spans="1:14" customFormat="1" ht="14.4" x14ac:dyDescent="0.3">
      <c r="A732" s="24"/>
      <c r="B732" s="21">
        <v>45992</v>
      </c>
      <c r="C732" s="21" t="s">
        <v>15</v>
      </c>
      <c r="D732" s="21" t="s">
        <v>29</v>
      </c>
      <c r="E732" s="20"/>
      <c r="F732" s="22" t="s">
        <v>168</v>
      </c>
      <c r="G732" s="285">
        <v>340.77</v>
      </c>
      <c r="H732" s="1"/>
      <c r="I732" s="1">
        <f>COUNTIF(Tabela1[NF],Tabela1[[#This Row],[NF]])</f>
        <v>0</v>
      </c>
      <c r="K732" s="26">
        <f>Tabela1[[#This Row],[DT. VENCIMENTO]]</f>
        <v>45992</v>
      </c>
      <c r="N732" s="14" t="str" cm="1">
        <f t="array" ref="N732">_xlfn.XLOOKUP(TRIM(D732),TRIM(DFC!A:A),DFC!A:A,"NÃO ESTÁ NA DFC")</f>
        <v xml:space="preserve">      FRETE DE SAÍDA</v>
      </c>
    </row>
    <row r="733" spans="1:14" customFormat="1" ht="14.4" x14ac:dyDescent="0.3">
      <c r="A733" s="24"/>
      <c r="B733" s="21">
        <v>45992</v>
      </c>
      <c r="C733" s="21" t="s">
        <v>15</v>
      </c>
      <c r="D733" s="21" t="s">
        <v>29</v>
      </c>
      <c r="E733" s="20"/>
      <c r="F733" s="22" t="s">
        <v>168</v>
      </c>
      <c r="G733" s="285">
        <v>67.44</v>
      </c>
      <c r="H733" s="1"/>
      <c r="I733" s="1">
        <f>COUNTIF(Tabela1[NF],Tabela1[[#This Row],[NF]])</f>
        <v>0</v>
      </c>
      <c r="K733" s="26">
        <f>Tabela1[[#This Row],[DT. VENCIMENTO]]</f>
        <v>45992</v>
      </c>
      <c r="N733" s="14" t="str" cm="1">
        <f t="array" ref="N733">_xlfn.XLOOKUP(TRIM(D733),TRIM(DFC!A:A),DFC!A:A,"NÃO ESTÁ NA DFC")</f>
        <v xml:space="preserve">      FRETE DE SAÍDA</v>
      </c>
    </row>
    <row r="734" spans="1:14" customFormat="1" ht="14.4" x14ac:dyDescent="0.3">
      <c r="A734" s="24"/>
      <c r="B734" s="21">
        <v>45992</v>
      </c>
      <c r="C734" s="21" t="s">
        <v>15</v>
      </c>
      <c r="D734" s="21" t="s">
        <v>29</v>
      </c>
      <c r="E734" s="20"/>
      <c r="F734" s="22" t="s">
        <v>168</v>
      </c>
      <c r="G734" s="285">
        <v>65</v>
      </c>
      <c r="H734" s="1"/>
      <c r="I734" s="1">
        <f>COUNTIF(Tabela1[NF],Tabela1[[#This Row],[NF]])</f>
        <v>0</v>
      </c>
      <c r="K734" s="26">
        <f>Tabela1[[#This Row],[DT. VENCIMENTO]]</f>
        <v>45992</v>
      </c>
      <c r="N734" s="14" t="str" cm="1">
        <f t="array" ref="N734">_xlfn.XLOOKUP(TRIM(D734),TRIM(DFC!A:A),DFC!A:A,"NÃO ESTÁ NA DFC")</f>
        <v xml:space="preserve">      FRETE DE SAÍDA</v>
      </c>
    </row>
    <row r="735" spans="1:14" customFormat="1" ht="14.4" x14ac:dyDescent="0.3">
      <c r="A735" s="24"/>
      <c r="B735" s="21">
        <v>45992</v>
      </c>
      <c r="C735" s="21" t="s">
        <v>15</v>
      </c>
      <c r="D735" s="21" t="s">
        <v>29</v>
      </c>
      <c r="E735" s="20"/>
      <c r="F735" s="22" t="s">
        <v>168</v>
      </c>
      <c r="G735" s="285">
        <v>114.68</v>
      </c>
      <c r="H735" s="1"/>
      <c r="I735" s="1">
        <f>COUNTIF(Tabela1[NF],Tabela1[[#This Row],[NF]])</f>
        <v>0</v>
      </c>
      <c r="K735" s="26">
        <f>Tabela1[[#This Row],[DT. VENCIMENTO]]</f>
        <v>45992</v>
      </c>
      <c r="N735" s="14" t="str" cm="1">
        <f t="array" ref="N735">_xlfn.XLOOKUP(TRIM(D735),TRIM(DFC!A:A),DFC!A:A,"NÃO ESTÁ NA DFC")</f>
        <v xml:space="preserve">      FRETE DE SAÍDA</v>
      </c>
    </row>
    <row r="736" spans="1:14" customFormat="1" ht="14.4" x14ac:dyDescent="0.3">
      <c r="A736" s="24"/>
      <c r="B736" s="21">
        <v>45992</v>
      </c>
      <c r="C736" s="21" t="s">
        <v>15</v>
      </c>
      <c r="D736" s="21" t="s">
        <v>111</v>
      </c>
      <c r="E736" s="20"/>
      <c r="F736" s="22" t="s">
        <v>452</v>
      </c>
      <c r="G736" s="285">
        <v>69.2</v>
      </c>
      <c r="H736" s="1"/>
      <c r="I736" s="1">
        <f>COUNTIF(Tabela1[NF],Tabela1[[#This Row],[NF]])</f>
        <v>0</v>
      </c>
      <c r="K736" s="26">
        <f>Tabela1[[#This Row],[DT. VENCIMENTO]]</f>
        <v>45992</v>
      </c>
      <c r="N736" s="14" t="str" cm="1">
        <f t="array" ref="N736">_xlfn.XLOOKUP(TRIM(D736),TRIM(DFC!A:A),DFC!A:A,"NÃO ESTÁ NA DFC")</f>
        <v xml:space="preserve">          TX. BANCÁRIA</v>
      </c>
    </row>
    <row r="737" spans="1:14" customFormat="1" ht="14.4" x14ac:dyDescent="0.3">
      <c r="A737" s="24"/>
      <c r="B737" s="21">
        <v>45992</v>
      </c>
      <c r="C737" s="21" t="s">
        <v>15</v>
      </c>
      <c r="D737" s="21" t="s">
        <v>111</v>
      </c>
      <c r="E737" s="20"/>
      <c r="F737" s="22" t="s">
        <v>453</v>
      </c>
      <c r="G737" s="285">
        <v>0.63</v>
      </c>
      <c r="H737" s="1"/>
      <c r="I737" s="1">
        <f>COUNTIF(Tabela1[NF],Tabela1[[#This Row],[NF]])</f>
        <v>0</v>
      </c>
      <c r="K737" s="26">
        <f>Tabela1[[#This Row],[DT. VENCIMENTO]]</f>
        <v>45992</v>
      </c>
      <c r="N737" s="14" t="str" cm="1">
        <f t="array" ref="N737">_xlfn.XLOOKUP(TRIM(D737),TRIM(DFC!A:A),DFC!A:A,"NÃO ESTÁ NA DFC")</f>
        <v xml:space="preserve">          TX. BANCÁRIA</v>
      </c>
    </row>
    <row r="738" spans="1:14" customFormat="1" ht="14.4" x14ac:dyDescent="0.3">
      <c r="A738" s="19">
        <v>618596</v>
      </c>
      <c r="B738" s="21">
        <v>45992</v>
      </c>
      <c r="C738" s="21" t="s">
        <v>15</v>
      </c>
      <c r="D738" s="21" t="s">
        <v>19</v>
      </c>
      <c r="E738" s="20"/>
      <c r="F738" s="22" t="s">
        <v>310</v>
      </c>
      <c r="G738" s="285">
        <v>10583</v>
      </c>
      <c r="H738" s="1"/>
      <c r="I738" s="1">
        <f>COUNTIF(Tabela1[NF],Tabela1[[#This Row],[NF]])</f>
        <v>6</v>
      </c>
      <c r="K738" s="26">
        <f>Tabela1[[#This Row],[DT. VENCIMENTO]]</f>
        <v>45992</v>
      </c>
      <c r="N738" s="14" t="str" cm="1">
        <f t="array" ref="N738">_xlfn.XLOOKUP(TRIM(D738),TRIM(DFC!A:A),DFC!A:A,"NÃO ESTÁ NA DFC")</f>
        <v xml:space="preserve">      PEÇAS</v>
      </c>
    </row>
    <row r="739" spans="1:14" customFormat="1" ht="14.4" x14ac:dyDescent="0.3">
      <c r="A739" s="24"/>
      <c r="B739" s="21">
        <v>45993</v>
      </c>
      <c r="C739" s="21" t="s">
        <v>15</v>
      </c>
      <c r="D739" s="84" t="s">
        <v>19</v>
      </c>
      <c r="E739" s="20"/>
      <c r="F739" s="22" t="s">
        <v>454</v>
      </c>
      <c r="G739" s="285">
        <v>8626.2999999999993</v>
      </c>
      <c r="H739" s="1"/>
      <c r="I739" s="1">
        <f>COUNTIF(Tabela1[NF],Tabela1[[#This Row],[NF]])</f>
        <v>0</v>
      </c>
      <c r="K739" s="26">
        <f>Tabela1[[#This Row],[DT. VENCIMENTO]]</f>
        <v>45993</v>
      </c>
      <c r="N739" s="14" t="str" cm="1">
        <f t="array" ref="N739">_xlfn.XLOOKUP(TRIM(D739),TRIM(DFC!A:A),DFC!A:A,"NÃO ESTÁ NA DFC")</f>
        <v xml:space="preserve">      PEÇAS</v>
      </c>
    </row>
    <row r="740" spans="1:14" customFormat="1" ht="14.4" x14ac:dyDescent="0.3">
      <c r="A740" s="24"/>
      <c r="B740" s="21">
        <v>45993</v>
      </c>
      <c r="C740" s="21" t="s">
        <v>15</v>
      </c>
      <c r="D740" s="21" t="s">
        <v>72</v>
      </c>
      <c r="E740" s="20"/>
      <c r="F740" s="22" t="s">
        <v>380</v>
      </c>
      <c r="G740" s="285">
        <v>580.38</v>
      </c>
      <c r="H740" s="1"/>
      <c r="I740" s="1">
        <f>COUNTIF(Tabela1[NF],Tabela1[[#This Row],[NF]])</f>
        <v>0</v>
      </c>
      <c r="K740" s="26">
        <f>Tabela1[[#This Row],[DT. VENCIMENTO]]</f>
        <v>45993</v>
      </c>
      <c r="N740" s="14" t="str" cm="1">
        <f t="array" ref="N740">_xlfn.XLOOKUP(TRIM(D740),TRIM(DFC!A:A),DFC!A:A,"NÃO ESTÁ NA DFC")</f>
        <v xml:space="preserve">          COMBUSTÍVEL</v>
      </c>
    </row>
    <row r="741" spans="1:14" customFormat="1" ht="14.4" x14ac:dyDescent="0.3">
      <c r="A741" s="24"/>
      <c r="B741" s="21">
        <v>45993</v>
      </c>
      <c r="C741" s="21" t="s">
        <v>15</v>
      </c>
      <c r="D741" s="21" t="s">
        <v>19</v>
      </c>
      <c r="E741" s="20"/>
      <c r="F741" s="22" t="s">
        <v>301</v>
      </c>
      <c r="G741" s="285">
        <v>1988.45</v>
      </c>
      <c r="H741" s="1"/>
      <c r="I741" s="1">
        <f>COUNTIF(Tabela1[NF],Tabela1[[#This Row],[NF]])</f>
        <v>0</v>
      </c>
      <c r="K741" s="26">
        <f>Tabela1[[#This Row],[DT. VENCIMENTO]]</f>
        <v>45993</v>
      </c>
      <c r="N741" s="14" t="str" cm="1">
        <f t="array" ref="N741">_xlfn.XLOOKUP(TRIM(D741),TRIM(DFC!A:A),DFC!A:A,"NÃO ESTÁ NA DFC")</f>
        <v xml:space="preserve">      PEÇAS</v>
      </c>
    </row>
    <row r="742" spans="1:14" customFormat="1" ht="14.4" x14ac:dyDescent="0.3">
      <c r="A742" s="24"/>
      <c r="B742" s="21">
        <v>45993</v>
      </c>
      <c r="C742" s="21" t="s">
        <v>15</v>
      </c>
      <c r="D742" s="21" t="s">
        <v>154</v>
      </c>
      <c r="E742" s="20"/>
      <c r="F742" s="22" t="s">
        <v>302</v>
      </c>
      <c r="G742" s="285">
        <v>4499.6000000000004</v>
      </c>
      <c r="H742" s="1"/>
      <c r="I742" s="1">
        <f>COUNTIF(Tabela1[NF],Tabela1[[#This Row],[NF]])</f>
        <v>0</v>
      </c>
      <c r="K742" s="26">
        <f>Tabela1[[#This Row],[DT. VENCIMENTO]]</f>
        <v>45993</v>
      </c>
      <c r="N742" s="14" t="str" cm="1">
        <f t="array" ref="N742">_xlfn.XLOOKUP(TRIM(D742),TRIM(DFC!A:A),DFC!A:A,"NÃO ESTÁ NA DFC")</f>
        <v xml:space="preserve">      EMBALAGENS</v>
      </c>
    </row>
    <row r="743" spans="1:14" customFormat="1" ht="14.4" x14ac:dyDescent="0.3">
      <c r="A743" s="24"/>
      <c r="B743" s="21">
        <v>45993</v>
      </c>
      <c r="C743" s="21" t="s">
        <v>15</v>
      </c>
      <c r="D743" s="21" t="s">
        <v>154</v>
      </c>
      <c r="E743" s="20"/>
      <c r="F743" s="22" t="s">
        <v>302</v>
      </c>
      <c r="G743" s="285">
        <v>1790.28</v>
      </c>
      <c r="H743" s="1"/>
      <c r="I743" s="1">
        <f>COUNTIF(Tabela1[NF],Tabela1[[#This Row],[NF]])</f>
        <v>0</v>
      </c>
      <c r="K743" s="26">
        <f>Tabela1[[#This Row],[DT. VENCIMENTO]]</f>
        <v>45993</v>
      </c>
      <c r="N743" s="14" t="str" cm="1">
        <f t="array" ref="N743">_xlfn.XLOOKUP(TRIM(D743),TRIM(DFC!A:A),DFC!A:A,"NÃO ESTÁ NA DFC")</f>
        <v xml:space="preserve">      EMBALAGENS</v>
      </c>
    </row>
    <row r="744" spans="1:14" customFormat="1" ht="14.4" x14ac:dyDescent="0.3">
      <c r="A744" s="24"/>
      <c r="B744" s="21">
        <v>45993</v>
      </c>
      <c r="C744" s="21" t="s">
        <v>15</v>
      </c>
      <c r="D744" s="21" t="s">
        <v>19</v>
      </c>
      <c r="E744" s="20"/>
      <c r="F744" s="22" t="s">
        <v>315</v>
      </c>
      <c r="G744" s="285">
        <v>632.08000000000004</v>
      </c>
      <c r="H744" s="1"/>
      <c r="I744" s="1">
        <f>COUNTIF(Tabela1[NF],Tabela1[[#This Row],[NF]])</f>
        <v>0</v>
      </c>
      <c r="K744" s="26">
        <f>Tabela1[[#This Row],[DT. VENCIMENTO]]</f>
        <v>45993</v>
      </c>
      <c r="N744" s="14" t="str" cm="1">
        <f t="array" ref="N744">_xlfn.XLOOKUP(TRIM(D744),TRIM(DFC!A:A),DFC!A:A,"NÃO ESTÁ NA DFC")</f>
        <v xml:space="preserve">      PEÇAS</v>
      </c>
    </row>
    <row r="745" spans="1:14" customFormat="1" ht="14.4" x14ac:dyDescent="0.3">
      <c r="A745" s="24"/>
      <c r="B745" s="21">
        <v>45993</v>
      </c>
      <c r="C745" s="21" t="s">
        <v>15</v>
      </c>
      <c r="D745" s="21" t="s">
        <v>19</v>
      </c>
      <c r="E745" s="20"/>
      <c r="F745" s="22" t="s">
        <v>315</v>
      </c>
      <c r="G745" s="285">
        <v>1330.43</v>
      </c>
      <c r="H745" s="1"/>
      <c r="I745" s="1">
        <f>COUNTIF(Tabela1[NF],Tabela1[[#This Row],[NF]])</f>
        <v>0</v>
      </c>
      <c r="K745" s="26">
        <f>Tabela1[[#This Row],[DT. VENCIMENTO]]</f>
        <v>45993</v>
      </c>
      <c r="N745" s="14" t="str" cm="1">
        <f t="array" ref="N745">_xlfn.XLOOKUP(TRIM(D745),TRIM(DFC!A:A),DFC!A:A,"NÃO ESTÁ NA DFC")</f>
        <v xml:space="preserve">      PEÇAS</v>
      </c>
    </row>
    <row r="746" spans="1:14" customFormat="1" ht="14.4" x14ac:dyDescent="0.3">
      <c r="A746" s="24"/>
      <c r="B746" s="21">
        <v>45993</v>
      </c>
      <c r="C746" s="21" t="s">
        <v>15</v>
      </c>
      <c r="D746" s="21" t="s">
        <v>19</v>
      </c>
      <c r="E746" s="20"/>
      <c r="F746" s="22" t="s">
        <v>298</v>
      </c>
      <c r="G746" s="285">
        <v>696.07</v>
      </c>
      <c r="H746" s="1"/>
      <c r="I746" s="1">
        <f>COUNTIF(Tabela1[NF],Tabela1[[#This Row],[NF]])</f>
        <v>0</v>
      </c>
      <c r="K746" s="26">
        <f>Tabela1[[#This Row],[DT. VENCIMENTO]]</f>
        <v>45993</v>
      </c>
      <c r="N746" s="14" t="str" cm="1">
        <f t="array" ref="N746">_xlfn.XLOOKUP(TRIM(D746),TRIM(DFC!A:A),DFC!A:A,"NÃO ESTÁ NA DFC")</f>
        <v xml:space="preserve">      PEÇAS</v>
      </c>
    </row>
    <row r="747" spans="1:14" customFormat="1" ht="14.4" x14ac:dyDescent="0.3">
      <c r="A747" s="24"/>
      <c r="B747" s="21">
        <v>45993</v>
      </c>
      <c r="C747" s="21" t="s">
        <v>15</v>
      </c>
      <c r="D747" s="21" t="s">
        <v>19</v>
      </c>
      <c r="E747" s="20"/>
      <c r="F747" s="22" t="s">
        <v>228</v>
      </c>
      <c r="G747" s="285">
        <v>2408.64</v>
      </c>
      <c r="H747" s="1"/>
      <c r="I747" s="1">
        <f>COUNTIF(Tabela1[NF],Tabela1[[#This Row],[NF]])</f>
        <v>0</v>
      </c>
      <c r="K747" s="26">
        <f>Tabela1[[#This Row],[DT. VENCIMENTO]]</f>
        <v>45993</v>
      </c>
      <c r="N747" s="14" t="str" cm="1">
        <f t="array" ref="N747">_xlfn.XLOOKUP(TRIM(D747),TRIM(DFC!A:A),DFC!A:A,"NÃO ESTÁ NA DFC")</f>
        <v xml:space="preserve">      PEÇAS</v>
      </c>
    </row>
    <row r="748" spans="1:14" customFormat="1" ht="14.4" x14ac:dyDescent="0.3">
      <c r="A748" s="24"/>
      <c r="B748" s="21">
        <v>45993</v>
      </c>
      <c r="C748" s="21" t="s">
        <v>15</v>
      </c>
      <c r="D748" s="21" t="s">
        <v>154</v>
      </c>
      <c r="E748" s="20"/>
      <c r="F748" s="22" t="s">
        <v>299</v>
      </c>
      <c r="G748" s="285">
        <v>2772.34</v>
      </c>
      <c r="H748" s="1"/>
      <c r="I748" s="1">
        <f>COUNTIF(Tabela1[NF],Tabela1[[#This Row],[NF]])</f>
        <v>0</v>
      </c>
      <c r="K748" s="26">
        <f>Tabela1[[#This Row],[DT. VENCIMENTO]]</f>
        <v>45993</v>
      </c>
      <c r="N748" s="14" t="str" cm="1">
        <f t="array" ref="N748">_xlfn.XLOOKUP(TRIM(D748),TRIM(DFC!A:A),DFC!A:A,"NÃO ESTÁ NA DFC")</f>
        <v xml:space="preserve">      EMBALAGENS</v>
      </c>
    </row>
    <row r="749" spans="1:14" customFormat="1" ht="14.4" x14ac:dyDescent="0.3">
      <c r="A749" s="24"/>
      <c r="B749" s="21">
        <v>45993</v>
      </c>
      <c r="C749" s="21" t="s">
        <v>15</v>
      </c>
      <c r="D749" s="21" t="s">
        <v>19</v>
      </c>
      <c r="E749" s="20"/>
      <c r="F749" s="22" t="s">
        <v>315</v>
      </c>
      <c r="G749" s="285">
        <v>2750.41</v>
      </c>
      <c r="H749" s="1"/>
      <c r="I749" s="1">
        <f>COUNTIF(Tabela1[NF],Tabela1[[#This Row],[NF]])</f>
        <v>0</v>
      </c>
      <c r="K749" s="26">
        <f>Tabela1[[#This Row],[DT. VENCIMENTO]]</f>
        <v>45993</v>
      </c>
      <c r="N749" s="14" t="str" cm="1">
        <f t="array" ref="N749">_xlfn.XLOOKUP(TRIM(D749),TRIM(DFC!A:A),DFC!A:A,"NÃO ESTÁ NA DFC")</f>
        <v xml:space="preserve">      PEÇAS</v>
      </c>
    </row>
    <row r="750" spans="1:14" customFormat="1" ht="14.4" x14ac:dyDescent="0.3">
      <c r="A750" s="24"/>
      <c r="B750" s="21">
        <v>45993</v>
      </c>
      <c r="C750" s="21" t="s">
        <v>15</v>
      </c>
      <c r="D750" s="21" t="s">
        <v>19</v>
      </c>
      <c r="E750" s="20"/>
      <c r="F750" s="22" t="s">
        <v>315</v>
      </c>
      <c r="G750" s="285">
        <v>8251.23</v>
      </c>
      <c r="H750" s="1"/>
      <c r="I750" s="1">
        <f>COUNTIF(Tabela1[NF],Tabela1[[#This Row],[NF]])</f>
        <v>0</v>
      </c>
      <c r="K750" s="26">
        <f>Tabela1[[#This Row],[DT. VENCIMENTO]]</f>
        <v>45993</v>
      </c>
      <c r="N750" s="14" t="str" cm="1">
        <f t="array" ref="N750">_xlfn.XLOOKUP(TRIM(D750),TRIM(DFC!A:A),DFC!A:A,"NÃO ESTÁ NA DFC")</f>
        <v xml:space="preserve">      PEÇAS</v>
      </c>
    </row>
    <row r="751" spans="1:14" customFormat="1" ht="14.4" x14ac:dyDescent="0.3">
      <c r="A751" s="24"/>
      <c r="B751" s="21">
        <v>45993</v>
      </c>
      <c r="C751" s="21" t="s">
        <v>15</v>
      </c>
      <c r="D751" s="21" t="s">
        <v>19</v>
      </c>
      <c r="E751" s="20"/>
      <c r="F751" s="22" t="s">
        <v>315</v>
      </c>
      <c r="G751" s="285">
        <v>7801.26</v>
      </c>
      <c r="H751" s="1"/>
      <c r="I751" s="1">
        <f>COUNTIF(Tabela1[NF],Tabela1[[#This Row],[NF]])</f>
        <v>0</v>
      </c>
      <c r="K751" s="26">
        <f>Tabela1[[#This Row],[DT. VENCIMENTO]]</f>
        <v>45993</v>
      </c>
      <c r="N751" s="14" t="str" cm="1">
        <f t="array" ref="N751">_xlfn.XLOOKUP(TRIM(D751),TRIM(DFC!A:A),DFC!A:A,"NÃO ESTÁ NA DFC")</f>
        <v xml:space="preserve">      PEÇAS</v>
      </c>
    </row>
    <row r="752" spans="1:14" customFormat="1" ht="14.4" x14ac:dyDescent="0.3">
      <c r="A752" s="24"/>
      <c r="B752" s="21">
        <v>45993</v>
      </c>
      <c r="C752" s="21" t="s">
        <v>15</v>
      </c>
      <c r="D752" s="21" t="s">
        <v>19</v>
      </c>
      <c r="E752" s="20"/>
      <c r="F752" s="22" t="s">
        <v>315</v>
      </c>
      <c r="G752" s="285">
        <v>2600.42</v>
      </c>
      <c r="H752" s="1"/>
      <c r="I752" s="1">
        <f>COUNTIF(Tabela1[NF],Tabela1[[#This Row],[NF]])</f>
        <v>0</v>
      </c>
      <c r="K752" s="26">
        <f>Tabela1[[#This Row],[DT. VENCIMENTO]]</f>
        <v>45993</v>
      </c>
      <c r="N752" s="14" t="str" cm="1">
        <f t="array" ref="N752">_xlfn.XLOOKUP(TRIM(D752),TRIM(DFC!A:A),DFC!A:A,"NÃO ESTÁ NA DFC")</f>
        <v xml:space="preserve">      PEÇAS</v>
      </c>
    </row>
    <row r="753" spans="1:14" customFormat="1" ht="14.4" x14ac:dyDescent="0.3">
      <c r="A753" s="24"/>
      <c r="B753" s="21">
        <v>45993</v>
      </c>
      <c r="C753" s="21" t="s">
        <v>15</v>
      </c>
      <c r="D753" s="21" t="s">
        <v>19</v>
      </c>
      <c r="E753" s="20"/>
      <c r="F753" s="22" t="s">
        <v>315</v>
      </c>
      <c r="G753" s="285">
        <v>443.47</v>
      </c>
      <c r="H753" s="1"/>
      <c r="I753" s="1">
        <f>COUNTIF(Tabela1[NF],Tabela1[[#This Row],[NF]])</f>
        <v>0</v>
      </c>
      <c r="K753" s="26">
        <f>Tabela1[[#This Row],[DT. VENCIMENTO]]</f>
        <v>45993</v>
      </c>
      <c r="N753" s="14" t="str" cm="1">
        <f t="array" ref="N753">_xlfn.XLOOKUP(TRIM(D753),TRIM(DFC!A:A),DFC!A:A,"NÃO ESTÁ NA DFC")</f>
        <v xml:space="preserve">      PEÇAS</v>
      </c>
    </row>
    <row r="754" spans="1:14" customFormat="1" ht="14.4" x14ac:dyDescent="0.3">
      <c r="A754" s="24"/>
      <c r="B754" s="21">
        <v>45993</v>
      </c>
      <c r="C754" s="21" t="s">
        <v>15</v>
      </c>
      <c r="D754" s="21" t="s">
        <v>19</v>
      </c>
      <c r="E754" s="20"/>
      <c r="F754" s="22" t="s">
        <v>315</v>
      </c>
      <c r="G754" s="285">
        <v>1896.23</v>
      </c>
      <c r="H754" s="1"/>
      <c r="I754" s="1">
        <f>COUNTIF(Tabela1[NF],Tabela1[[#This Row],[NF]])</f>
        <v>0</v>
      </c>
      <c r="K754" s="26">
        <f>Tabela1[[#This Row],[DT. VENCIMENTO]]</f>
        <v>45993</v>
      </c>
      <c r="N754" s="14" t="str" cm="1">
        <f t="array" ref="N754">_xlfn.XLOOKUP(TRIM(D754),TRIM(DFC!A:A),DFC!A:A,"NÃO ESTÁ NA DFC")</f>
        <v xml:space="preserve">      PEÇAS</v>
      </c>
    </row>
    <row r="755" spans="1:14" customFormat="1" ht="14.4" x14ac:dyDescent="0.3">
      <c r="A755" s="24"/>
      <c r="B755" s="21">
        <v>45993</v>
      </c>
      <c r="C755" s="21" t="s">
        <v>15</v>
      </c>
      <c r="D755" s="21" t="s">
        <v>19</v>
      </c>
      <c r="E755" s="20"/>
      <c r="F755" s="22" t="s">
        <v>301</v>
      </c>
      <c r="G755" s="285">
        <v>4628.3900000000003</v>
      </c>
      <c r="H755" s="1"/>
      <c r="I755" s="1">
        <f>COUNTIF(Tabela1[NF],Tabela1[[#This Row],[NF]])</f>
        <v>0</v>
      </c>
      <c r="K755" s="26">
        <f>Tabela1[[#This Row],[DT. VENCIMENTO]]</f>
        <v>45993</v>
      </c>
      <c r="N755" s="14" t="str" cm="1">
        <f t="array" ref="N755">_xlfn.XLOOKUP(TRIM(D755),TRIM(DFC!A:A),DFC!A:A,"NÃO ESTÁ NA DFC")</f>
        <v xml:space="preserve">      PEÇAS</v>
      </c>
    </row>
    <row r="756" spans="1:14" customFormat="1" ht="14.4" x14ac:dyDescent="0.3">
      <c r="A756" s="24"/>
      <c r="B756" s="21">
        <v>45993</v>
      </c>
      <c r="C756" s="21" t="s">
        <v>15</v>
      </c>
      <c r="D756" s="21" t="s">
        <v>19</v>
      </c>
      <c r="E756" s="20"/>
      <c r="F756" s="22" t="s">
        <v>298</v>
      </c>
      <c r="G756" s="285">
        <v>1621.13</v>
      </c>
      <c r="H756" s="1"/>
      <c r="I756" s="1">
        <f>COUNTIF(Tabela1[NF],Tabela1[[#This Row],[NF]])</f>
        <v>0</v>
      </c>
      <c r="K756" s="26">
        <f>Tabela1[[#This Row],[DT. VENCIMENTO]]</f>
        <v>45993</v>
      </c>
      <c r="N756" s="14" t="str" cm="1">
        <f t="array" ref="N756">_xlfn.XLOOKUP(TRIM(D756),TRIM(DFC!A:A),DFC!A:A,"NÃO ESTÁ NA DFC")</f>
        <v xml:space="preserve">      PEÇAS</v>
      </c>
    </row>
    <row r="757" spans="1:14" customFormat="1" ht="14.4" x14ac:dyDescent="0.3">
      <c r="A757" s="24"/>
      <c r="B757" s="21">
        <v>45993</v>
      </c>
      <c r="C757" s="21" t="s">
        <v>15</v>
      </c>
      <c r="D757" s="21" t="s">
        <v>19</v>
      </c>
      <c r="E757" s="20"/>
      <c r="F757" s="22" t="s">
        <v>228</v>
      </c>
      <c r="G757" s="285">
        <v>2351.5700000000002</v>
      </c>
      <c r="H757" s="1"/>
      <c r="I757" s="1">
        <f>COUNTIF(Tabela1[NF],Tabela1[[#This Row],[NF]])</f>
        <v>0</v>
      </c>
      <c r="K757" s="26">
        <f>Tabela1[[#This Row],[DT. VENCIMENTO]]</f>
        <v>45993</v>
      </c>
      <c r="N757" s="14" t="str" cm="1">
        <f t="array" ref="N757">_xlfn.XLOOKUP(TRIM(D757),TRIM(DFC!A:A),DFC!A:A,"NÃO ESTÁ NA DFC")</f>
        <v xml:space="preserve">      PEÇAS</v>
      </c>
    </row>
    <row r="758" spans="1:14" customFormat="1" ht="14.4" x14ac:dyDescent="0.3">
      <c r="A758" s="24"/>
      <c r="B758" s="21">
        <v>45993</v>
      </c>
      <c r="C758" s="21" t="s">
        <v>15</v>
      </c>
      <c r="D758" s="21" t="s">
        <v>19</v>
      </c>
      <c r="E758" s="20"/>
      <c r="F758" s="22" t="s">
        <v>228</v>
      </c>
      <c r="G758" s="285">
        <v>4318.3</v>
      </c>
      <c r="H758" s="1"/>
      <c r="I758" s="1">
        <f>COUNTIF(Tabela1[NF],Tabela1[[#This Row],[NF]])</f>
        <v>0</v>
      </c>
      <c r="K758" s="26">
        <f>Tabela1[[#This Row],[DT. VENCIMENTO]]</f>
        <v>45993</v>
      </c>
      <c r="N758" s="14" t="str" cm="1">
        <f t="array" ref="N758">_xlfn.XLOOKUP(TRIM(D758),TRIM(DFC!A:A),DFC!A:A,"NÃO ESTÁ NA DFC")</f>
        <v xml:space="preserve">      PEÇAS</v>
      </c>
    </row>
    <row r="759" spans="1:14" customFormat="1" ht="14.4" x14ac:dyDescent="0.3">
      <c r="A759" s="24"/>
      <c r="B759" s="21">
        <v>45993</v>
      </c>
      <c r="C759" s="21" t="s">
        <v>15</v>
      </c>
      <c r="D759" s="21" t="s">
        <v>19</v>
      </c>
      <c r="E759" s="20"/>
      <c r="F759" s="22" t="s">
        <v>228</v>
      </c>
      <c r="G759" s="285">
        <v>6001.37</v>
      </c>
      <c r="H759" s="1"/>
      <c r="I759" s="1">
        <f>COUNTIF(Tabela1[NF],Tabela1[[#This Row],[NF]])</f>
        <v>0</v>
      </c>
      <c r="K759" s="82">
        <f>Tabela1[[#This Row],[DT. VENCIMENTO]]</f>
        <v>45993</v>
      </c>
      <c r="N759" s="14" t="str" cm="1">
        <f t="array" ref="N759">_xlfn.XLOOKUP(TRIM(D759),TRIM(DFC!A:A),DFC!A:A,"NÃO ESTÁ NA DFC")</f>
        <v xml:space="preserve">      PEÇAS</v>
      </c>
    </row>
    <row r="760" spans="1:14" customFormat="1" ht="14.4" x14ac:dyDescent="0.3">
      <c r="A760" s="24"/>
      <c r="B760" s="21">
        <v>45993</v>
      </c>
      <c r="C760" s="21" t="s">
        <v>15</v>
      </c>
      <c r="D760" s="21" t="s">
        <v>19</v>
      </c>
      <c r="E760" s="20"/>
      <c r="F760" s="22" t="s">
        <v>228</v>
      </c>
      <c r="G760" s="285">
        <v>3568.59</v>
      </c>
      <c r="H760" s="1"/>
      <c r="I760" s="1">
        <f>COUNTIF(Tabela1[NF],Tabela1[[#This Row],[NF]])</f>
        <v>0</v>
      </c>
      <c r="K760" s="82">
        <f>Tabela1[[#This Row],[DT. VENCIMENTO]]</f>
        <v>45993</v>
      </c>
      <c r="N760" s="14" t="str" cm="1">
        <f t="array" ref="N760">_xlfn.XLOOKUP(TRIM(D760),TRIM(DFC!A:A),DFC!A:A,"NÃO ESTÁ NA DFC")</f>
        <v xml:space="preserve">      PEÇAS</v>
      </c>
    </row>
    <row r="761" spans="1:14" customFormat="1" ht="14.4" x14ac:dyDescent="0.3">
      <c r="A761" s="24"/>
      <c r="B761" s="21">
        <v>45993</v>
      </c>
      <c r="C761" s="21" t="s">
        <v>15</v>
      </c>
      <c r="D761" s="21" t="s">
        <v>19</v>
      </c>
      <c r="E761" s="20"/>
      <c r="F761" s="22" t="s">
        <v>300</v>
      </c>
      <c r="G761" s="285">
        <v>7846.61</v>
      </c>
      <c r="H761" s="1"/>
      <c r="I761" s="1">
        <f>COUNTIF(Tabela1[NF],Tabela1[[#This Row],[NF]])</f>
        <v>0</v>
      </c>
      <c r="K761" s="82">
        <f>Tabela1[[#This Row],[DT. VENCIMENTO]]</f>
        <v>45993</v>
      </c>
      <c r="N761" s="14" t="str" cm="1">
        <f t="array" ref="N761">_xlfn.XLOOKUP(TRIM(D761),TRIM(DFC!A:A),DFC!A:A,"NÃO ESTÁ NA DFC")</f>
        <v xml:space="preserve">      PEÇAS</v>
      </c>
    </row>
    <row r="762" spans="1:14" customFormat="1" ht="14.4" x14ac:dyDescent="0.3">
      <c r="A762" s="24"/>
      <c r="B762" s="21">
        <v>45993</v>
      </c>
      <c r="C762" s="21" t="s">
        <v>15</v>
      </c>
      <c r="D762" s="21" t="s">
        <v>154</v>
      </c>
      <c r="E762" s="20"/>
      <c r="F762" s="22" t="s">
        <v>390</v>
      </c>
      <c r="G762" s="285">
        <v>1201.75</v>
      </c>
      <c r="H762" s="1"/>
      <c r="I762" s="1">
        <f>COUNTIF(Tabela1[NF],Tabela1[[#This Row],[NF]])</f>
        <v>0</v>
      </c>
      <c r="K762" s="82">
        <f>Tabela1[[#This Row],[DT. VENCIMENTO]]</f>
        <v>45993</v>
      </c>
      <c r="N762" s="14" t="str" cm="1">
        <f t="array" ref="N762">_xlfn.XLOOKUP(TRIM(D762),TRIM(DFC!A:A),DFC!A:A,"NÃO ESTÁ NA DFC")</f>
        <v xml:space="preserve">      EMBALAGENS</v>
      </c>
    </row>
    <row r="763" spans="1:14" customFormat="1" ht="14.4" x14ac:dyDescent="0.3">
      <c r="A763" s="24"/>
      <c r="B763" s="21">
        <v>45993</v>
      </c>
      <c r="C763" s="21" t="s">
        <v>15</v>
      </c>
      <c r="D763" s="21" t="s">
        <v>19</v>
      </c>
      <c r="E763" s="20"/>
      <c r="F763" s="22" t="s">
        <v>315</v>
      </c>
      <c r="G763" s="285">
        <v>1500</v>
      </c>
      <c r="H763" s="1"/>
      <c r="I763" s="1">
        <f>COUNTIF(Tabela1[NF],Tabela1[[#This Row],[NF]])</f>
        <v>0</v>
      </c>
      <c r="K763" s="26">
        <f>Tabela1[[#This Row],[DT. VENCIMENTO]]</f>
        <v>45993</v>
      </c>
      <c r="N763" s="14" t="str" cm="1">
        <f t="array" ref="N763">_xlfn.XLOOKUP(TRIM(D763),TRIM(DFC!A:A),DFC!A:A,"NÃO ESTÁ NA DFC")</f>
        <v xml:space="preserve">      PEÇAS</v>
      </c>
    </row>
    <row r="764" spans="1:14" customFormat="1" ht="14.4" x14ac:dyDescent="0.3">
      <c r="A764" s="24"/>
      <c r="B764" s="21">
        <v>45993</v>
      </c>
      <c r="C764" s="21" t="s">
        <v>15</v>
      </c>
      <c r="D764" s="21" t="s">
        <v>19</v>
      </c>
      <c r="E764" s="20"/>
      <c r="F764" s="22" t="s">
        <v>315</v>
      </c>
      <c r="G764" s="285">
        <v>2950</v>
      </c>
      <c r="H764" s="1"/>
      <c r="I764" s="1">
        <f>COUNTIF(Tabela1[NF],Tabela1[[#This Row],[NF]])</f>
        <v>0</v>
      </c>
      <c r="K764" s="26">
        <f>Tabela1[[#This Row],[DT. VENCIMENTO]]</f>
        <v>45993</v>
      </c>
      <c r="N764" s="14" t="str" cm="1">
        <f t="array" ref="N764">_xlfn.XLOOKUP(TRIM(D764),TRIM(DFC!A:A),DFC!A:A,"NÃO ESTÁ NA DFC")</f>
        <v xml:space="preserve">      PEÇAS</v>
      </c>
    </row>
    <row r="765" spans="1:14" customFormat="1" ht="14.4" x14ac:dyDescent="0.3">
      <c r="A765" s="24"/>
      <c r="B765" s="21">
        <v>45993</v>
      </c>
      <c r="C765" s="21" t="s">
        <v>15</v>
      </c>
      <c r="D765" s="21" t="s">
        <v>19</v>
      </c>
      <c r="E765" s="20"/>
      <c r="F765" s="22" t="s">
        <v>315</v>
      </c>
      <c r="G765" s="285">
        <v>500</v>
      </c>
      <c r="H765" s="1"/>
      <c r="I765" s="1">
        <f>COUNTIF(Tabela1[NF],Tabela1[[#This Row],[NF]])</f>
        <v>0</v>
      </c>
      <c r="K765" s="26">
        <f>Tabela1[[#This Row],[DT. VENCIMENTO]]</f>
        <v>45993</v>
      </c>
      <c r="N765" s="14" t="str" cm="1">
        <f t="array" ref="N765">_xlfn.XLOOKUP(TRIM(D765),TRIM(DFC!A:A),DFC!A:A,"NÃO ESTÁ NA DFC")</f>
        <v xml:space="preserve">      PEÇAS</v>
      </c>
    </row>
    <row r="766" spans="1:14" customFormat="1" ht="14.4" x14ac:dyDescent="0.3">
      <c r="A766" s="24"/>
      <c r="B766" s="21">
        <v>45993</v>
      </c>
      <c r="C766" s="21" t="s">
        <v>15</v>
      </c>
      <c r="D766" s="21" t="s">
        <v>19</v>
      </c>
      <c r="E766" s="20"/>
      <c r="F766" s="22" t="s">
        <v>455</v>
      </c>
      <c r="G766" s="285">
        <v>376.99</v>
      </c>
      <c r="H766" s="1"/>
      <c r="I766" s="1">
        <f>COUNTIF(Tabela1[NF],Tabela1[[#This Row],[NF]])</f>
        <v>0</v>
      </c>
      <c r="K766" s="26">
        <f>Tabela1[[#This Row],[DT. VENCIMENTO]]</f>
        <v>45993</v>
      </c>
      <c r="N766" s="14" t="str" cm="1">
        <f t="array" ref="N766">_xlfn.XLOOKUP(TRIM(D766),TRIM(DFC!A:A),DFC!A:A,"NÃO ESTÁ NA DFC")</f>
        <v xml:space="preserve">      PEÇAS</v>
      </c>
    </row>
    <row r="767" spans="1:14" customFormat="1" ht="14.4" x14ac:dyDescent="0.3">
      <c r="A767" s="24"/>
      <c r="B767" s="21">
        <v>45993</v>
      </c>
      <c r="C767" s="21" t="s">
        <v>15</v>
      </c>
      <c r="D767" s="21" t="s">
        <v>19</v>
      </c>
      <c r="E767" s="20"/>
      <c r="F767" s="22" t="s">
        <v>297</v>
      </c>
      <c r="G767" s="285">
        <v>202.89</v>
      </c>
      <c r="H767" s="1"/>
      <c r="I767" s="1">
        <f>COUNTIF(Tabela1[NF],Tabela1[[#This Row],[NF]])</f>
        <v>0</v>
      </c>
      <c r="K767" s="26">
        <f>Tabela1[[#This Row],[DT. VENCIMENTO]]</f>
        <v>45993</v>
      </c>
      <c r="N767" s="14" t="str" cm="1">
        <f t="array" ref="N767">_xlfn.XLOOKUP(TRIM(D767),TRIM(DFC!A:A),DFC!A:A,"NÃO ESTÁ NA DFC")</f>
        <v xml:space="preserve">      PEÇAS</v>
      </c>
    </row>
    <row r="768" spans="1:14" customFormat="1" ht="14.4" x14ac:dyDescent="0.3">
      <c r="A768" s="24"/>
      <c r="B768" s="21">
        <v>45993</v>
      </c>
      <c r="C768" s="21" t="s">
        <v>15</v>
      </c>
      <c r="D768" s="21" t="s">
        <v>19</v>
      </c>
      <c r="E768" s="20"/>
      <c r="F768" s="22" t="s">
        <v>301</v>
      </c>
      <c r="G768" s="285">
        <v>1705.2</v>
      </c>
      <c r="H768" s="1"/>
      <c r="I768" s="1">
        <f>COUNTIF(Tabela1[NF],Tabela1[[#This Row],[NF]])</f>
        <v>0</v>
      </c>
      <c r="K768" s="26">
        <f>Tabela1[[#This Row],[DT. VENCIMENTO]]</f>
        <v>45993</v>
      </c>
      <c r="N768" s="14" t="str" cm="1">
        <f t="array" ref="N768">_xlfn.XLOOKUP(TRIM(D768),TRIM(DFC!A:A),DFC!A:A,"NÃO ESTÁ NA DFC")</f>
        <v xml:space="preserve">      PEÇAS</v>
      </c>
    </row>
    <row r="769" spans="1:14" customFormat="1" ht="14.4" x14ac:dyDescent="0.3">
      <c r="A769" s="24"/>
      <c r="B769" s="21">
        <v>45993</v>
      </c>
      <c r="C769" s="91" t="s">
        <v>15</v>
      </c>
      <c r="D769" s="21" t="s">
        <v>19</v>
      </c>
      <c r="E769" s="20"/>
      <c r="F769" s="22" t="s">
        <v>315</v>
      </c>
      <c r="G769" s="285">
        <v>983.33</v>
      </c>
      <c r="H769" s="1"/>
      <c r="I769" s="1">
        <f>COUNTIF(Tabela1[NF],Tabela1[[#This Row],[NF]])</f>
        <v>0</v>
      </c>
      <c r="K769" s="82">
        <f>Tabela1[[#This Row],[DT. VENCIMENTO]]</f>
        <v>45993</v>
      </c>
      <c r="N769" s="14" t="str" cm="1">
        <f t="array" ref="N769">_xlfn.XLOOKUP(TRIM(D769),TRIM(DFC!A:A),DFC!A:A,"NÃO ESTÁ NA DFC")</f>
        <v xml:space="preserve">      PEÇAS</v>
      </c>
    </row>
    <row r="770" spans="1:14" customFormat="1" ht="14.4" x14ac:dyDescent="0.3">
      <c r="A770" s="24"/>
      <c r="B770" s="21">
        <v>45993</v>
      </c>
      <c r="C770" s="91" t="s">
        <v>15</v>
      </c>
      <c r="D770" s="21" t="s">
        <v>57</v>
      </c>
      <c r="E770" s="20"/>
      <c r="F770" s="22" t="s">
        <v>421</v>
      </c>
      <c r="G770" s="285">
        <v>88.96</v>
      </c>
      <c r="H770" s="1"/>
      <c r="I770" s="1">
        <f>COUNTIF(Tabela1[NF],Tabela1[[#This Row],[NF]])</f>
        <v>0</v>
      </c>
      <c r="K770" s="82">
        <f>Tabela1[[#This Row],[DT. VENCIMENTO]]</f>
        <v>45993</v>
      </c>
      <c r="N770" s="14" t="str" cm="1">
        <f t="array" ref="N770">_xlfn.XLOOKUP(TRIM(D770),TRIM(DFC!A:A),DFC!A:A,"NÃO ESTÁ NA DFC")</f>
        <v xml:space="preserve">          ALIMENTAÇÃO</v>
      </c>
    </row>
    <row r="771" spans="1:14" customFormat="1" ht="14.4" x14ac:dyDescent="0.3">
      <c r="A771" s="24"/>
      <c r="B771" s="21">
        <v>45993</v>
      </c>
      <c r="C771" s="91" t="s">
        <v>15</v>
      </c>
      <c r="D771" s="84" t="s">
        <v>19</v>
      </c>
      <c r="E771" s="20" t="s">
        <v>456</v>
      </c>
      <c r="F771" s="22" t="s">
        <v>103</v>
      </c>
      <c r="G771" s="285">
        <v>12833.33</v>
      </c>
      <c r="H771" s="1"/>
      <c r="I771" s="1">
        <f>COUNTIF(Tabela1[NF],Tabela1[[#This Row],[NF]])</f>
        <v>0</v>
      </c>
      <c r="K771" s="26">
        <f>Tabela1[[#This Row],[DT. VENCIMENTO]]</f>
        <v>45993</v>
      </c>
      <c r="N771" s="14" t="str" cm="1">
        <f t="array" ref="N771">_xlfn.XLOOKUP(TRIM(D771),TRIM(DFC!A:A),DFC!A:A,"NÃO ESTÁ NA DFC")</f>
        <v xml:space="preserve">      PEÇAS</v>
      </c>
    </row>
    <row r="772" spans="1:14" customFormat="1" ht="14.4" x14ac:dyDescent="0.3">
      <c r="A772" s="24">
        <v>466115</v>
      </c>
      <c r="B772" s="21">
        <v>45993</v>
      </c>
      <c r="C772" s="91" t="s">
        <v>15</v>
      </c>
      <c r="D772" s="21" t="s">
        <v>19</v>
      </c>
      <c r="E772" s="20"/>
      <c r="F772" s="22" t="s">
        <v>24</v>
      </c>
      <c r="G772" s="285">
        <v>1363.13</v>
      </c>
      <c r="H772" s="1"/>
      <c r="I772" s="1">
        <f>COUNTIF(Tabela1[NF],Tabela1[[#This Row],[NF]])</f>
        <v>3</v>
      </c>
      <c r="K772" s="26">
        <f>Tabela1[[#This Row],[DT. VENCIMENTO]]</f>
        <v>45993</v>
      </c>
      <c r="N772" s="14" t="str" cm="1">
        <f t="array" ref="N772">_xlfn.XLOOKUP(TRIM(D772),TRIM(DFC!A:A),DFC!A:A,"NÃO ESTÁ NA DFC")</f>
        <v xml:space="preserve">      PEÇAS</v>
      </c>
    </row>
    <row r="773" spans="1:14" customFormat="1" ht="14.4" x14ac:dyDescent="0.3">
      <c r="A773" s="24">
        <v>609659</v>
      </c>
      <c r="B773" s="21">
        <v>45993</v>
      </c>
      <c r="C773" s="91" t="s">
        <v>15</v>
      </c>
      <c r="D773" s="21" t="s">
        <v>19</v>
      </c>
      <c r="E773" s="20"/>
      <c r="F773" s="22" t="s">
        <v>24</v>
      </c>
      <c r="G773" s="285">
        <v>7764.32</v>
      </c>
      <c r="H773" s="1"/>
      <c r="I773" s="1">
        <f>COUNTIF(Tabela1[NF],Tabela1[[#This Row],[NF]])</f>
        <v>4</v>
      </c>
      <c r="K773" s="26">
        <f>Tabela1[[#This Row],[DT. VENCIMENTO]]</f>
        <v>45993</v>
      </c>
      <c r="N773" s="14" t="str" cm="1">
        <f t="array" ref="N773">_xlfn.XLOOKUP(TRIM(D773),TRIM(DFC!A:A),DFC!A:A,"NÃO ESTÁ NA DFC")</f>
        <v xml:space="preserve">      PEÇAS</v>
      </c>
    </row>
    <row r="774" spans="1:14" customFormat="1" ht="14.4" x14ac:dyDescent="0.3">
      <c r="A774" s="24">
        <v>435665</v>
      </c>
      <c r="B774" s="21">
        <v>45993</v>
      </c>
      <c r="C774" s="91" t="s">
        <v>15</v>
      </c>
      <c r="D774" s="21" t="s">
        <v>19</v>
      </c>
      <c r="E774" s="20"/>
      <c r="F774" s="22" t="s">
        <v>24</v>
      </c>
      <c r="G774" s="285">
        <v>1305.2</v>
      </c>
      <c r="H774" s="1"/>
      <c r="I774" s="1">
        <f>COUNTIF(Tabela1[NF],Tabela1[[#This Row],[NF]])</f>
        <v>3</v>
      </c>
      <c r="K774" s="82">
        <f>Tabela1[[#This Row],[DT. VENCIMENTO]]</f>
        <v>45993</v>
      </c>
      <c r="N774" s="14" t="str" cm="1">
        <f t="array" ref="N774">_xlfn.XLOOKUP(TRIM(D774),TRIM(DFC!A:A),DFC!A:A,"NÃO ESTÁ NA DFC")</f>
        <v xml:space="preserve">      PEÇAS</v>
      </c>
    </row>
    <row r="775" spans="1:14" customFormat="1" ht="14.4" x14ac:dyDescent="0.3">
      <c r="A775" s="19">
        <v>442271</v>
      </c>
      <c r="B775" s="21">
        <v>45993</v>
      </c>
      <c r="C775" s="91" t="s">
        <v>15</v>
      </c>
      <c r="D775" s="21" t="s">
        <v>19</v>
      </c>
      <c r="E775" s="20"/>
      <c r="F775" s="22" t="s">
        <v>30</v>
      </c>
      <c r="G775" s="285">
        <v>2291.12</v>
      </c>
      <c r="H775" s="1"/>
      <c r="I775" s="1">
        <f>COUNTIF(Tabela1[NF],Tabela1[[#This Row],[NF]])</f>
        <v>4</v>
      </c>
      <c r="K775" s="26">
        <f>Tabela1[[#This Row],[DT. VENCIMENTO]]</f>
        <v>45993</v>
      </c>
      <c r="N775" s="14" t="str" cm="1">
        <f t="array" ref="N775">_xlfn.XLOOKUP(TRIM(D775),TRIM(DFC!A:A),DFC!A:A,"NÃO ESTÁ NA DFC")</f>
        <v xml:space="preserve">      PEÇAS</v>
      </c>
    </row>
    <row r="776" spans="1:14" customFormat="1" ht="14.4" x14ac:dyDescent="0.3">
      <c r="A776" s="24"/>
      <c r="B776" s="21">
        <v>45994</v>
      </c>
      <c r="C776" s="91" t="s">
        <v>15</v>
      </c>
      <c r="D776" s="21" t="s">
        <v>111</v>
      </c>
      <c r="E776" s="20"/>
      <c r="F776" s="22" t="s">
        <v>114</v>
      </c>
      <c r="G776" s="285">
        <v>12.83</v>
      </c>
      <c r="H776" s="1"/>
      <c r="I776" s="1">
        <f>COUNTIF(Tabela1[NF],Tabela1[[#This Row],[NF]])</f>
        <v>0</v>
      </c>
      <c r="K776" s="82">
        <f>Tabela1[[#This Row],[DT. VENCIMENTO]]</f>
        <v>45994</v>
      </c>
      <c r="N776" s="14" t="str" cm="1">
        <f t="array" ref="N776">_xlfn.XLOOKUP(TRIM(D776),TRIM(DFC!A:A),DFC!A:A,"NÃO ESTÁ NA DFC")</f>
        <v xml:space="preserve">          TX. BANCÁRIA</v>
      </c>
    </row>
    <row r="777" spans="1:14" customFormat="1" ht="14.4" x14ac:dyDescent="0.3">
      <c r="A777" s="24"/>
      <c r="B777" s="21">
        <v>45994</v>
      </c>
      <c r="C777" s="91" t="s">
        <v>15</v>
      </c>
      <c r="D777" s="21" t="s">
        <v>19</v>
      </c>
      <c r="E777" s="20"/>
      <c r="F777" s="22" t="s">
        <v>457</v>
      </c>
      <c r="G777" s="285">
        <v>6785.09</v>
      </c>
      <c r="H777" s="1"/>
      <c r="I777" s="1">
        <f>COUNTIF(Tabela1[NF],Tabela1[[#This Row],[NF]])</f>
        <v>0</v>
      </c>
      <c r="K777" s="82">
        <f>Tabela1[[#This Row],[DT. VENCIMENTO]]</f>
        <v>45994</v>
      </c>
      <c r="N777" s="14" t="str" cm="1">
        <f t="array" ref="N777">_xlfn.XLOOKUP(TRIM(D777),TRIM(DFC!A:A),DFC!A:A,"NÃO ESTÁ NA DFC")</f>
        <v xml:space="preserve">      PEÇAS</v>
      </c>
    </row>
    <row r="778" spans="1:14" customFormat="1" ht="14.4" x14ac:dyDescent="0.3">
      <c r="A778" s="24"/>
      <c r="B778" s="21">
        <v>45994</v>
      </c>
      <c r="C778" s="91" t="s">
        <v>15</v>
      </c>
      <c r="D778" s="21" t="s">
        <v>19</v>
      </c>
      <c r="E778" s="20"/>
      <c r="F778" s="22" t="s">
        <v>228</v>
      </c>
      <c r="G778" s="285">
        <v>2588.6799999999998</v>
      </c>
      <c r="H778" s="1"/>
      <c r="I778" s="1">
        <f>COUNTIF(Tabela1[NF],Tabela1[[#This Row],[NF]])</f>
        <v>0</v>
      </c>
      <c r="K778" s="82">
        <f>Tabela1[[#This Row],[DT. VENCIMENTO]]</f>
        <v>45994</v>
      </c>
      <c r="N778" s="14" t="str" cm="1">
        <f t="array" ref="N778">_xlfn.XLOOKUP(TRIM(D778),TRIM(DFC!A:A),DFC!A:A,"NÃO ESTÁ NA DFC")</f>
        <v xml:space="preserve">      PEÇAS</v>
      </c>
    </row>
    <row r="779" spans="1:14" customFormat="1" ht="14.4" x14ac:dyDescent="0.3">
      <c r="A779" s="24"/>
      <c r="B779" s="21">
        <v>45994</v>
      </c>
      <c r="C779" s="91" t="s">
        <v>15</v>
      </c>
      <c r="D779" s="21" t="s">
        <v>19</v>
      </c>
      <c r="E779" s="20"/>
      <c r="F779" s="22" t="s">
        <v>302</v>
      </c>
      <c r="G779" s="285">
        <v>5932.74</v>
      </c>
      <c r="H779" s="1"/>
      <c r="I779" s="1">
        <f>COUNTIF(Tabela1[NF],Tabela1[[#This Row],[NF]])</f>
        <v>0</v>
      </c>
      <c r="K779" s="26">
        <f>Tabela1[[#This Row],[DT. VENCIMENTO]]</f>
        <v>45994</v>
      </c>
      <c r="N779" s="14" t="str" cm="1">
        <f t="array" ref="N779">_xlfn.XLOOKUP(TRIM(D779),TRIM(DFC!A:A),DFC!A:A,"NÃO ESTÁ NA DFC")</f>
        <v xml:space="preserve">      PEÇAS</v>
      </c>
    </row>
    <row r="780" spans="1:14" customFormat="1" ht="14.4" x14ac:dyDescent="0.3">
      <c r="A780" s="24"/>
      <c r="B780" s="21">
        <v>45994</v>
      </c>
      <c r="C780" s="91" t="s">
        <v>15</v>
      </c>
      <c r="D780" s="21" t="s">
        <v>19</v>
      </c>
      <c r="E780" s="20"/>
      <c r="F780" s="22" t="s">
        <v>300</v>
      </c>
      <c r="G780" s="285">
        <v>1876.36</v>
      </c>
      <c r="H780" s="1"/>
      <c r="I780" s="1">
        <f>COUNTIF(Tabela1[NF],Tabela1[[#This Row],[NF]])</f>
        <v>0</v>
      </c>
      <c r="K780" s="26">
        <f>Tabela1[[#This Row],[DT. VENCIMENTO]]</f>
        <v>45994</v>
      </c>
      <c r="N780" s="14" t="str" cm="1">
        <f t="array" ref="N780">_xlfn.XLOOKUP(TRIM(D780),TRIM(DFC!A:A),DFC!A:A,"NÃO ESTÁ NA DFC")</f>
        <v xml:space="preserve">      PEÇAS</v>
      </c>
    </row>
    <row r="781" spans="1:14" customFormat="1" ht="14.4" x14ac:dyDescent="0.3">
      <c r="A781" s="24"/>
      <c r="B781" s="21">
        <v>45994</v>
      </c>
      <c r="C781" s="91" t="s">
        <v>15</v>
      </c>
      <c r="D781" s="21" t="s">
        <v>19</v>
      </c>
      <c r="E781" s="20"/>
      <c r="F781" s="22" t="s">
        <v>300</v>
      </c>
      <c r="G781" s="285">
        <v>1876.33</v>
      </c>
      <c r="H781" s="1"/>
      <c r="I781" s="1">
        <f>COUNTIF(Tabela1[NF],Tabela1[[#This Row],[NF]])</f>
        <v>0</v>
      </c>
      <c r="K781" s="26">
        <f>Tabela1[[#This Row],[DT. VENCIMENTO]]</f>
        <v>45994</v>
      </c>
      <c r="N781" s="14" t="str" cm="1">
        <f t="array" ref="N781">_xlfn.XLOOKUP(TRIM(D781),TRIM(DFC!A:A),DFC!A:A,"NÃO ESTÁ NA DFC")</f>
        <v xml:space="preserve">      PEÇAS</v>
      </c>
    </row>
    <row r="782" spans="1:14" customFormat="1" ht="14.4" x14ac:dyDescent="0.3">
      <c r="A782" s="24"/>
      <c r="B782" s="21">
        <v>45994</v>
      </c>
      <c r="C782" s="91" t="s">
        <v>15</v>
      </c>
      <c r="D782" s="21" t="s">
        <v>19</v>
      </c>
      <c r="E782" s="20"/>
      <c r="F782" s="22" t="s">
        <v>395</v>
      </c>
      <c r="G782" s="285">
        <v>697.57</v>
      </c>
      <c r="H782" s="1"/>
      <c r="I782" s="1">
        <f>COUNTIF(Tabela1[NF],Tabela1[[#This Row],[NF]])</f>
        <v>0</v>
      </c>
      <c r="K782" s="82">
        <f>Tabela1[[#This Row],[DT. VENCIMENTO]]</f>
        <v>45994</v>
      </c>
      <c r="N782" s="14" t="str" cm="1">
        <f t="array" ref="N782">_xlfn.XLOOKUP(TRIM(D782),TRIM(DFC!A:A),DFC!A:A,"NÃO ESTÁ NA DFC")</f>
        <v xml:space="preserve">      PEÇAS</v>
      </c>
    </row>
    <row r="783" spans="1:14" customFormat="1" ht="14.4" x14ac:dyDescent="0.3">
      <c r="A783" s="24"/>
      <c r="B783" s="21">
        <v>45994</v>
      </c>
      <c r="C783" s="91" t="s">
        <v>15</v>
      </c>
      <c r="D783" s="21" t="s">
        <v>19</v>
      </c>
      <c r="E783" s="20"/>
      <c r="F783" s="22" t="s">
        <v>315</v>
      </c>
      <c r="G783" s="285">
        <v>570.33000000000004</v>
      </c>
      <c r="H783" s="1"/>
      <c r="I783" s="1">
        <f>COUNTIF(Tabela1[NF],Tabela1[[#This Row],[NF]])</f>
        <v>0</v>
      </c>
      <c r="K783" s="82">
        <f>Tabela1[[#This Row],[DT. VENCIMENTO]]</f>
        <v>45994</v>
      </c>
      <c r="N783" s="14" t="str" cm="1">
        <f t="array" ref="N783">_xlfn.XLOOKUP(TRIM(D783),TRIM(DFC!A:A),DFC!A:A,"NÃO ESTÁ NA DFC")</f>
        <v xml:space="preserve">      PEÇAS</v>
      </c>
    </row>
    <row r="784" spans="1:14" customFormat="1" ht="14.4" x14ac:dyDescent="0.3">
      <c r="A784" s="24"/>
      <c r="B784" s="21">
        <v>45994</v>
      </c>
      <c r="C784" s="91" t="s">
        <v>15</v>
      </c>
      <c r="D784" s="21" t="s">
        <v>19</v>
      </c>
      <c r="E784" s="20"/>
      <c r="F784" s="22" t="s">
        <v>315</v>
      </c>
      <c r="G784" s="285">
        <v>1711</v>
      </c>
      <c r="H784" s="1"/>
      <c r="I784" s="1">
        <f>COUNTIF(Tabela1[NF],Tabela1[[#This Row],[NF]])</f>
        <v>0</v>
      </c>
      <c r="K784" s="82">
        <f>Tabela1[[#This Row],[DT. VENCIMENTO]]</f>
        <v>45994</v>
      </c>
      <c r="N784" s="14" t="str" cm="1">
        <f t="array" ref="N784">_xlfn.XLOOKUP(TRIM(D784),TRIM(DFC!A:A),DFC!A:A,"NÃO ESTÁ NA DFC")</f>
        <v xml:space="preserve">      PEÇAS</v>
      </c>
    </row>
    <row r="785" spans="1:14" customFormat="1" ht="14.4" x14ac:dyDescent="0.3">
      <c r="A785" s="24"/>
      <c r="B785" s="21">
        <v>45994</v>
      </c>
      <c r="C785" s="91" t="s">
        <v>15</v>
      </c>
      <c r="D785" s="21" t="s">
        <v>386</v>
      </c>
      <c r="E785" s="20"/>
      <c r="F785" s="22" t="s">
        <v>458</v>
      </c>
      <c r="G785" s="285">
        <v>74.8</v>
      </c>
      <c r="H785" s="1"/>
      <c r="I785" s="1">
        <f>COUNTIF(Tabela1[NF],Tabela1[[#This Row],[NF]])</f>
        <v>0</v>
      </c>
      <c r="K785" s="82">
        <f>Tabela1[[#This Row],[DT. VENCIMENTO]]</f>
        <v>45994</v>
      </c>
      <c r="N785" s="14" t="str" cm="1">
        <f t="array" ref="N785">_xlfn.XLOOKUP(TRIM(D785),TRIM(DFC!A:A),DFC!A:A,"NÃO ESTÁ NA DFC")</f>
        <v xml:space="preserve">          MATERIAIS DE USO E CONSUMO</v>
      </c>
    </row>
    <row r="786" spans="1:14" customFormat="1" ht="14.4" x14ac:dyDescent="0.3">
      <c r="A786" s="24"/>
      <c r="B786" s="21">
        <v>45994</v>
      </c>
      <c r="C786" s="91" t="s">
        <v>15</v>
      </c>
      <c r="D786" s="21" t="s">
        <v>19</v>
      </c>
      <c r="E786" s="20"/>
      <c r="F786" s="22" t="s">
        <v>228</v>
      </c>
      <c r="G786" s="285">
        <v>1526.93</v>
      </c>
      <c r="H786" s="1"/>
      <c r="I786" s="1">
        <f>COUNTIF(Tabela1[NF],Tabela1[[#This Row],[NF]])</f>
        <v>0</v>
      </c>
      <c r="K786" s="82">
        <f>Tabela1[[#This Row],[DT. VENCIMENTO]]</f>
        <v>45994</v>
      </c>
      <c r="N786" s="14" t="str" cm="1">
        <f t="array" ref="N786">_xlfn.XLOOKUP(TRIM(D786),TRIM(DFC!A:A),DFC!A:A,"NÃO ESTÁ NA DFC")</f>
        <v xml:space="preserve">      PEÇAS</v>
      </c>
    </row>
    <row r="787" spans="1:14" customFormat="1" ht="14.4" x14ac:dyDescent="0.3">
      <c r="A787" s="24"/>
      <c r="B787" s="21">
        <v>45994</v>
      </c>
      <c r="C787" s="91" t="s">
        <v>15</v>
      </c>
      <c r="D787" s="21" t="s">
        <v>19</v>
      </c>
      <c r="E787" s="20"/>
      <c r="F787" s="22" t="s">
        <v>300</v>
      </c>
      <c r="G787" s="285">
        <v>4093.88</v>
      </c>
      <c r="H787" s="1"/>
      <c r="I787" s="1">
        <f>COUNTIF(Tabela1[NF],Tabela1[[#This Row],[NF]])</f>
        <v>0</v>
      </c>
      <c r="K787" s="82">
        <f>Tabela1[[#This Row],[DT. VENCIMENTO]]</f>
        <v>45994</v>
      </c>
      <c r="N787" s="14" t="str" cm="1">
        <f t="array" ref="N787">_xlfn.XLOOKUP(TRIM(D787),TRIM(DFC!A:A),DFC!A:A,"NÃO ESTÁ NA DFC")</f>
        <v xml:space="preserve">      PEÇAS</v>
      </c>
    </row>
    <row r="788" spans="1:14" customFormat="1" ht="14.4" x14ac:dyDescent="0.3">
      <c r="A788" s="24"/>
      <c r="B788" s="21">
        <v>45994</v>
      </c>
      <c r="C788" s="91" t="s">
        <v>15</v>
      </c>
      <c r="D788" s="84" t="s">
        <v>40</v>
      </c>
      <c r="E788" s="20" t="s">
        <v>459</v>
      </c>
      <c r="F788" s="22" t="s">
        <v>198</v>
      </c>
      <c r="G788" s="285">
        <v>500</v>
      </c>
      <c r="H788" s="1"/>
      <c r="I788" s="1">
        <f>COUNTIF(Tabela1[NF],Tabela1[[#This Row],[NF]])</f>
        <v>0</v>
      </c>
      <c r="K788" s="82">
        <f>Tabela1[[#This Row],[DT. VENCIMENTO]]</f>
        <v>45994</v>
      </c>
      <c r="N788" s="14" t="str" cm="1">
        <f t="array" ref="N788">_xlfn.XLOOKUP(TRIM(D788),TRIM(DFC!A:A),DFC!A:A,"NÃO ESTÁ NA DFC")</f>
        <v xml:space="preserve">         SERVIÇO TERCEIRIZADO</v>
      </c>
    </row>
    <row r="789" spans="1:14" customFormat="1" ht="14.4" x14ac:dyDescent="0.3">
      <c r="A789" s="24"/>
      <c r="B789" s="21">
        <v>45994</v>
      </c>
      <c r="C789" s="91" t="s">
        <v>15</v>
      </c>
      <c r="D789" s="84" t="s">
        <v>19</v>
      </c>
      <c r="E789" s="20"/>
      <c r="F789" s="22" t="s">
        <v>460</v>
      </c>
      <c r="G789" s="285">
        <v>100</v>
      </c>
      <c r="H789" s="1"/>
      <c r="I789" s="1">
        <f>COUNTIF(Tabela1[NF],Tabela1[[#This Row],[NF]])</f>
        <v>0</v>
      </c>
      <c r="K789" s="82">
        <f>Tabela1[[#This Row],[DT. VENCIMENTO]]</f>
        <v>45994</v>
      </c>
      <c r="N789" s="14" t="str" cm="1">
        <f t="array" ref="N789">_xlfn.XLOOKUP(TRIM(D789),TRIM(DFC!A:A),DFC!A:A,"NÃO ESTÁ NA DFC")</f>
        <v xml:space="preserve">      PEÇAS</v>
      </c>
    </row>
    <row r="790" spans="1:14" customFormat="1" ht="14.4" x14ac:dyDescent="0.3">
      <c r="A790" s="24"/>
      <c r="B790" s="21">
        <v>45994</v>
      </c>
      <c r="C790" s="91" t="s">
        <v>15</v>
      </c>
      <c r="D790" s="21" t="s">
        <v>57</v>
      </c>
      <c r="E790" s="20"/>
      <c r="F790" s="22" t="s">
        <v>461</v>
      </c>
      <c r="G790" s="285">
        <v>68</v>
      </c>
      <c r="H790" s="1"/>
      <c r="I790" s="1">
        <f>COUNTIF(Tabela1[NF],Tabela1[[#This Row],[NF]])</f>
        <v>0</v>
      </c>
      <c r="K790" s="82">
        <f>Tabela1[[#This Row],[DT. VENCIMENTO]]</f>
        <v>45994</v>
      </c>
      <c r="N790" s="14" t="str" cm="1">
        <f t="array" ref="N790">_xlfn.XLOOKUP(TRIM(D790),TRIM(DFC!A:A),DFC!A:A,"NÃO ESTÁ NA DFC")</f>
        <v xml:space="preserve">          ALIMENTAÇÃO</v>
      </c>
    </row>
    <row r="791" spans="1:14" customFormat="1" ht="14.4" x14ac:dyDescent="0.3">
      <c r="A791" s="24"/>
      <c r="B791" s="21">
        <v>45994</v>
      </c>
      <c r="C791" s="91" t="s">
        <v>15</v>
      </c>
      <c r="D791" s="21" t="s">
        <v>154</v>
      </c>
      <c r="E791" s="20"/>
      <c r="F791" s="22" t="s">
        <v>462</v>
      </c>
      <c r="G791" s="285">
        <v>2095.64</v>
      </c>
      <c r="H791" s="1"/>
      <c r="I791" s="1">
        <f>COUNTIF(Tabela1[NF],Tabela1[[#This Row],[NF]])</f>
        <v>0</v>
      </c>
      <c r="K791" s="82">
        <f>Tabela1[[#This Row],[DT. VENCIMENTO]]</f>
        <v>45994</v>
      </c>
      <c r="N791" s="14" t="str" cm="1">
        <f t="array" ref="N791">_xlfn.XLOOKUP(TRIM(D791),TRIM(DFC!A:A),DFC!A:A,"NÃO ESTÁ NA DFC")</f>
        <v xml:space="preserve">      EMBALAGENS</v>
      </c>
    </row>
    <row r="792" spans="1:14" customFormat="1" ht="14.4" x14ac:dyDescent="0.3">
      <c r="A792" s="24"/>
      <c r="B792" s="21">
        <v>45994</v>
      </c>
      <c r="C792" s="91" t="s">
        <v>15</v>
      </c>
      <c r="D792" s="84" t="s">
        <v>19</v>
      </c>
      <c r="E792" s="20" t="s">
        <v>463</v>
      </c>
      <c r="F792" s="22" t="s">
        <v>103</v>
      </c>
      <c r="G792" s="285">
        <v>10999.99</v>
      </c>
      <c r="H792" s="1"/>
      <c r="I792" s="1">
        <f>COUNTIF(Tabela1[NF],Tabela1[[#This Row],[NF]])</f>
        <v>0</v>
      </c>
      <c r="K792" s="82">
        <f>Tabela1[[#This Row],[DT. VENCIMENTO]]</f>
        <v>45994</v>
      </c>
      <c r="N792" s="14" t="str" cm="1">
        <f t="array" ref="N792">_xlfn.XLOOKUP(TRIM(D792),TRIM(DFC!A:A),DFC!A:A,"NÃO ESTÁ NA DFC")</f>
        <v xml:space="preserve">      PEÇAS</v>
      </c>
    </row>
    <row r="793" spans="1:14" customFormat="1" ht="14.4" x14ac:dyDescent="0.3">
      <c r="A793" s="24"/>
      <c r="B793" s="21">
        <v>45995</v>
      </c>
      <c r="C793" s="91" t="s">
        <v>15</v>
      </c>
      <c r="D793" s="21" t="s">
        <v>111</v>
      </c>
      <c r="E793" s="20"/>
      <c r="F793" s="22" t="s">
        <v>114</v>
      </c>
      <c r="G793" s="285">
        <v>11</v>
      </c>
      <c r="H793" s="1"/>
      <c r="I793" s="1">
        <f>COUNTIF(Tabela1[NF],Tabela1[[#This Row],[NF]])</f>
        <v>0</v>
      </c>
      <c r="K793" s="82">
        <f>Tabela1[[#This Row],[DT. VENCIMENTO]]</f>
        <v>45995</v>
      </c>
      <c r="N793" s="14" t="str" cm="1">
        <f t="array" ref="N793">_xlfn.XLOOKUP(TRIM(D793),TRIM(DFC!A:A),DFC!A:A,"NÃO ESTÁ NA DFC")</f>
        <v xml:space="preserve">          TX. BANCÁRIA</v>
      </c>
    </row>
    <row r="794" spans="1:14" customFormat="1" ht="14.4" x14ac:dyDescent="0.3">
      <c r="A794" s="24"/>
      <c r="B794" s="21">
        <v>45995</v>
      </c>
      <c r="C794" s="91" t="s">
        <v>15</v>
      </c>
      <c r="D794" s="21" t="s">
        <v>154</v>
      </c>
      <c r="E794" s="20"/>
      <c r="F794" s="22" t="s">
        <v>396</v>
      </c>
      <c r="G794" s="285">
        <v>691.2</v>
      </c>
      <c r="H794" s="1"/>
      <c r="I794" s="1">
        <f>COUNTIF(Tabela1[NF],Tabela1[[#This Row],[NF]])</f>
        <v>0</v>
      </c>
      <c r="K794" s="82">
        <f>Tabela1[[#This Row],[DT. VENCIMENTO]]</f>
        <v>45995</v>
      </c>
      <c r="N794" s="14" t="str" cm="1">
        <f t="array" ref="N794">_xlfn.XLOOKUP(TRIM(D794),TRIM(DFC!A:A),DFC!A:A,"NÃO ESTÁ NA DFC")</f>
        <v xml:space="preserve">      EMBALAGENS</v>
      </c>
    </row>
    <row r="795" spans="1:14" customFormat="1" ht="14.4" x14ac:dyDescent="0.3">
      <c r="A795" s="24"/>
      <c r="B795" s="21">
        <v>45995</v>
      </c>
      <c r="C795" s="91" t="s">
        <v>15</v>
      </c>
      <c r="D795" s="21" t="s">
        <v>19</v>
      </c>
      <c r="E795" s="20"/>
      <c r="F795" s="22" t="s">
        <v>228</v>
      </c>
      <c r="G795" s="285">
        <v>714.8</v>
      </c>
      <c r="H795" s="1"/>
      <c r="I795" s="1">
        <f>COUNTIF(Tabela1[NF],Tabela1[[#This Row],[NF]])</f>
        <v>0</v>
      </c>
      <c r="K795" s="82">
        <f>Tabela1[[#This Row],[DT. VENCIMENTO]]</f>
        <v>45995</v>
      </c>
      <c r="N795" s="14" t="str" cm="1">
        <f t="array" ref="N795">_xlfn.XLOOKUP(TRIM(D795),TRIM(DFC!A:A),DFC!A:A,"NÃO ESTÁ NA DFC")</f>
        <v xml:space="preserve">      PEÇAS</v>
      </c>
    </row>
    <row r="796" spans="1:14" customFormat="1" ht="14.4" x14ac:dyDescent="0.3">
      <c r="A796" s="24"/>
      <c r="B796" s="21">
        <v>45995</v>
      </c>
      <c r="C796" s="91" t="s">
        <v>15</v>
      </c>
      <c r="D796" s="21" t="s">
        <v>19</v>
      </c>
      <c r="E796" s="20"/>
      <c r="F796" s="22" t="s">
        <v>300</v>
      </c>
      <c r="G796" s="285">
        <v>16957.740000000002</v>
      </c>
      <c r="H796" s="1"/>
      <c r="I796" s="1">
        <f>COUNTIF(Tabela1[NF],Tabela1[[#This Row],[NF]])</f>
        <v>0</v>
      </c>
      <c r="K796" s="82">
        <f>Tabela1[[#This Row],[DT. VENCIMENTO]]</f>
        <v>45995</v>
      </c>
      <c r="N796" s="14" t="str" cm="1">
        <f t="array" ref="N796">_xlfn.XLOOKUP(TRIM(D796),TRIM(DFC!A:A),DFC!A:A,"NÃO ESTÁ NA DFC")</f>
        <v xml:space="preserve">      PEÇAS</v>
      </c>
    </row>
    <row r="797" spans="1:14" customFormat="1" ht="14.4" x14ac:dyDescent="0.3">
      <c r="A797" s="24"/>
      <c r="B797" s="21">
        <v>45995</v>
      </c>
      <c r="C797" s="91" t="s">
        <v>15</v>
      </c>
      <c r="D797" s="21" t="s">
        <v>154</v>
      </c>
      <c r="E797" s="20"/>
      <c r="F797" s="22" t="s">
        <v>390</v>
      </c>
      <c r="G797" s="285">
        <v>2095.64</v>
      </c>
      <c r="H797" s="1"/>
      <c r="I797" s="1">
        <f>COUNTIF(Tabela1[NF],Tabela1[[#This Row],[NF]])</f>
        <v>0</v>
      </c>
      <c r="K797" s="82">
        <f>Tabela1[[#This Row],[DT. VENCIMENTO]]</f>
        <v>45995</v>
      </c>
      <c r="N797" s="14" t="str" cm="1">
        <f t="array" ref="N797">_xlfn.XLOOKUP(TRIM(D797),TRIM(DFC!A:A),DFC!A:A,"NÃO ESTÁ NA DFC")</f>
        <v xml:space="preserve">      EMBALAGENS</v>
      </c>
    </row>
    <row r="798" spans="1:14" customFormat="1" ht="14.4" x14ac:dyDescent="0.3">
      <c r="A798" s="24"/>
      <c r="B798" s="21">
        <v>45995</v>
      </c>
      <c r="C798" s="91" t="s">
        <v>15</v>
      </c>
      <c r="D798" s="21" t="s">
        <v>19</v>
      </c>
      <c r="E798" s="20"/>
      <c r="F798" s="22" t="s">
        <v>301</v>
      </c>
      <c r="G798" s="285">
        <v>2002.27</v>
      </c>
      <c r="H798" s="1"/>
      <c r="I798" s="1">
        <f>COUNTIF(Tabela1[NF],Tabela1[[#This Row],[NF]])</f>
        <v>0</v>
      </c>
      <c r="K798" s="82">
        <f>Tabela1[[#This Row],[DT. VENCIMENTO]]</f>
        <v>45995</v>
      </c>
      <c r="N798" s="14" t="str" cm="1">
        <f t="array" ref="N798">_xlfn.XLOOKUP(TRIM(D798),TRIM(DFC!A:A),DFC!A:A,"NÃO ESTÁ NA DFC")</f>
        <v xml:space="preserve">      PEÇAS</v>
      </c>
    </row>
    <row r="799" spans="1:14" customFormat="1" ht="14.4" x14ac:dyDescent="0.3">
      <c r="A799" s="24"/>
      <c r="B799" s="21">
        <v>45995</v>
      </c>
      <c r="C799" s="91" t="s">
        <v>15</v>
      </c>
      <c r="D799" s="21" t="s">
        <v>106</v>
      </c>
      <c r="E799" s="20"/>
      <c r="F799" s="22" t="s">
        <v>361</v>
      </c>
      <c r="G799" s="285">
        <v>20000</v>
      </c>
      <c r="H799" s="1"/>
      <c r="I799" s="1">
        <f>COUNTIF(Tabela1[NF],Tabela1[[#This Row],[NF]])</f>
        <v>0</v>
      </c>
      <c r="K799" s="82">
        <f>Tabela1[[#This Row],[DT. VENCIMENTO]]</f>
        <v>45995</v>
      </c>
      <c r="N799" s="14" t="str" cm="1">
        <f t="array" ref="N799">_xlfn.XLOOKUP(TRIM(D799),TRIM(DFC!A:A),DFC!A:A,"NÃO ESTÁ NA DFC")</f>
        <v xml:space="preserve">          PAGAMENTO DE EMPRÉSTIMOS </v>
      </c>
    </row>
    <row r="800" spans="1:14" customFormat="1" ht="14.4" x14ac:dyDescent="0.3">
      <c r="A800" s="24"/>
      <c r="B800" s="21">
        <v>45995</v>
      </c>
      <c r="C800" s="91" t="s">
        <v>15</v>
      </c>
      <c r="D800" s="84" t="s">
        <v>65</v>
      </c>
      <c r="E800" s="20" t="s">
        <v>464</v>
      </c>
      <c r="F800" s="22" t="s">
        <v>103</v>
      </c>
      <c r="G800" s="285">
        <v>10000</v>
      </c>
      <c r="H800" s="1"/>
      <c r="I800" s="1">
        <f>COUNTIF(Tabela1[NF],Tabela1[[#This Row],[NF]])</f>
        <v>0</v>
      </c>
      <c r="K800" s="82">
        <f>Tabela1[[#This Row],[DT. VENCIMENTO]]</f>
        <v>45995</v>
      </c>
      <c r="N800" s="14" t="str" cm="1">
        <f t="array" ref="N800">_xlfn.XLOOKUP(TRIM(D800),TRIM(DFC!A:A),DFC!A:A,"NÃO ESTÁ NA DFC")</f>
        <v xml:space="preserve">          AMORTIZAÇÃO FELIPE </v>
      </c>
    </row>
    <row r="801" spans="1:14" customFormat="1" ht="14.4" x14ac:dyDescent="0.3">
      <c r="A801" s="19">
        <v>436412</v>
      </c>
      <c r="B801" s="21">
        <v>45995</v>
      </c>
      <c r="C801" s="91" t="s">
        <v>15</v>
      </c>
      <c r="D801" s="21" t="s">
        <v>19</v>
      </c>
      <c r="E801" s="20"/>
      <c r="F801" s="22" t="s">
        <v>24</v>
      </c>
      <c r="G801" s="285">
        <v>5157</v>
      </c>
      <c r="H801" s="1"/>
      <c r="I801" s="1">
        <f>COUNTIF(Tabela1[NF],Tabela1[[#This Row],[NF]])</f>
        <v>5</v>
      </c>
      <c r="K801" s="82">
        <f>Tabela1[[#This Row],[DT. VENCIMENTO]]</f>
        <v>45995</v>
      </c>
      <c r="N801" s="14" t="str" cm="1">
        <f t="array" ref="N801">_xlfn.XLOOKUP(TRIM(D801),TRIM(DFC!A:A),DFC!A:A,"NÃO ESTÁ NA DFC")</f>
        <v xml:space="preserve">      PEÇAS</v>
      </c>
    </row>
    <row r="802" spans="1:14" customFormat="1" ht="14.4" x14ac:dyDescent="0.3">
      <c r="A802" s="19">
        <v>436424</v>
      </c>
      <c r="B802" s="21">
        <v>45995</v>
      </c>
      <c r="C802" s="91" t="s">
        <v>15</v>
      </c>
      <c r="D802" s="21" t="s">
        <v>19</v>
      </c>
      <c r="E802" s="20"/>
      <c r="F802" s="22" t="s">
        <v>24</v>
      </c>
      <c r="G802" s="285">
        <v>2959</v>
      </c>
      <c r="H802" s="1"/>
      <c r="I802" s="1">
        <f>COUNTIF(Tabela1[NF],Tabela1[[#This Row],[NF]])</f>
        <v>4</v>
      </c>
      <c r="K802" s="82">
        <f>Tabela1[[#This Row],[DT. VENCIMENTO]]</f>
        <v>45995</v>
      </c>
      <c r="N802" s="14" t="str" cm="1">
        <f t="array" ref="N802">_xlfn.XLOOKUP(TRIM(D802),TRIM(DFC!A:A),DFC!A:A,"NÃO ESTÁ NA DFC")</f>
        <v xml:space="preserve">      PEÇAS</v>
      </c>
    </row>
    <row r="803" spans="1:14" customFormat="1" ht="14.4" x14ac:dyDescent="0.3">
      <c r="A803" s="19">
        <v>443246</v>
      </c>
      <c r="B803" s="21">
        <v>45995</v>
      </c>
      <c r="C803" s="91" t="s">
        <v>15</v>
      </c>
      <c r="D803" s="21" t="s">
        <v>19</v>
      </c>
      <c r="E803" s="20"/>
      <c r="F803" s="22" t="s">
        <v>24</v>
      </c>
      <c r="G803" s="285">
        <v>776</v>
      </c>
      <c r="H803" s="1"/>
      <c r="I803" s="1">
        <f>COUNTIF(Tabela1[NF],Tabela1[[#This Row],[NF]])</f>
        <v>3</v>
      </c>
      <c r="K803" s="82">
        <f>Tabela1[[#This Row],[DT. VENCIMENTO]]</f>
        <v>45995</v>
      </c>
      <c r="N803" s="14" t="str" cm="1">
        <f t="array" ref="N803">_xlfn.XLOOKUP(TRIM(D803),TRIM(DFC!A:A),DFC!A:A,"NÃO ESTÁ NA DFC")</f>
        <v xml:space="preserve">      PEÇAS</v>
      </c>
    </row>
    <row r="804" spans="1:14" customFormat="1" ht="14.4" x14ac:dyDescent="0.3">
      <c r="A804" s="19">
        <v>443343</v>
      </c>
      <c r="B804" s="21">
        <v>45995</v>
      </c>
      <c r="C804" s="91" t="s">
        <v>15</v>
      </c>
      <c r="D804" s="21" t="s">
        <v>19</v>
      </c>
      <c r="E804" s="20"/>
      <c r="F804" s="22" t="s">
        <v>310</v>
      </c>
      <c r="G804" s="285">
        <v>4824</v>
      </c>
      <c r="H804" s="1"/>
      <c r="I804" s="1">
        <f>COUNTIF(Tabela1[NF],Tabela1[[#This Row],[NF]])</f>
        <v>4</v>
      </c>
      <c r="K804" s="82">
        <f>Tabela1[[#This Row],[DT. VENCIMENTO]]</f>
        <v>45995</v>
      </c>
      <c r="N804" s="14" t="str" cm="1">
        <f t="array" ref="N804">_xlfn.XLOOKUP(TRIM(D804),TRIM(DFC!A:A),DFC!A:A,"NÃO ESTÁ NA DFC")</f>
        <v xml:space="preserve">      PEÇAS</v>
      </c>
    </row>
    <row r="805" spans="1:14" customFormat="1" ht="14.4" x14ac:dyDescent="0.3">
      <c r="A805" s="19">
        <v>436358</v>
      </c>
      <c r="B805" s="21">
        <v>45995</v>
      </c>
      <c r="C805" s="91" t="s">
        <v>15</v>
      </c>
      <c r="D805" s="21" t="s">
        <v>19</v>
      </c>
      <c r="E805" s="20"/>
      <c r="F805" s="22" t="s">
        <v>24</v>
      </c>
      <c r="G805" s="285">
        <v>6115</v>
      </c>
      <c r="H805" s="1"/>
      <c r="I805" s="1">
        <f>COUNTIF(Tabela1[NF],Tabela1[[#This Row],[NF]])</f>
        <v>5</v>
      </c>
      <c r="K805" s="82">
        <f>Tabela1[[#This Row],[DT. VENCIMENTO]]</f>
        <v>45995</v>
      </c>
      <c r="N805" s="14" t="str" cm="1">
        <f t="array" ref="N805">_xlfn.XLOOKUP(TRIM(D805),TRIM(DFC!A:A),DFC!A:A,"NÃO ESTÁ NA DFC")</f>
        <v xml:space="preserve">      PEÇAS</v>
      </c>
    </row>
    <row r="806" spans="1:14" customFormat="1" ht="14.4" x14ac:dyDescent="0.3">
      <c r="A806" s="19">
        <v>443185</v>
      </c>
      <c r="B806" s="21">
        <v>45995</v>
      </c>
      <c r="C806" s="91" t="s">
        <v>15</v>
      </c>
      <c r="D806" s="21" t="s">
        <v>19</v>
      </c>
      <c r="E806" s="20"/>
      <c r="F806" s="22" t="s">
        <v>310</v>
      </c>
      <c r="G806" s="285">
        <v>4824</v>
      </c>
      <c r="H806" s="1"/>
      <c r="I806" s="1">
        <f>COUNTIF(Tabela1[NF],Tabela1[[#This Row],[NF]])</f>
        <v>4</v>
      </c>
      <c r="K806" s="82">
        <f>Tabela1[[#This Row],[DT. VENCIMENTO]]</f>
        <v>45995</v>
      </c>
      <c r="N806" s="14" t="str" cm="1">
        <f t="array" ref="N806">_xlfn.XLOOKUP(TRIM(D806),TRIM(DFC!A:A),DFC!A:A,"NÃO ESTÁ NA DFC")</f>
        <v xml:space="preserve">      PEÇAS</v>
      </c>
    </row>
    <row r="807" spans="1:14" customFormat="1" ht="14.4" x14ac:dyDescent="0.3">
      <c r="A807" s="19">
        <v>436345</v>
      </c>
      <c r="B807" s="21">
        <v>45995</v>
      </c>
      <c r="C807" s="91" t="s">
        <v>15</v>
      </c>
      <c r="D807" s="21" t="s">
        <v>19</v>
      </c>
      <c r="E807" s="20"/>
      <c r="F807" s="22" t="s">
        <v>24</v>
      </c>
      <c r="G807" s="285">
        <v>51962</v>
      </c>
      <c r="H807" s="1"/>
      <c r="I807" s="1">
        <f>COUNTIF(Tabela1[NF],Tabela1[[#This Row],[NF]])</f>
        <v>6</v>
      </c>
      <c r="K807" s="82">
        <f>Tabela1[[#This Row],[DT. VENCIMENTO]]</f>
        <v>45995</v>
      </c>
      <c r="N807" s="14" t="str" cm="1">
        <f t="array" ref="N807">_xlfn.XLOOKUP(TRIM(D807),TRIM(DFC!A:A),DFC!A:A,"NÃO ESTÁ NA DFC")</f>
        <v xml:space="preserve">      PEÇAS</v>
      </c>
    </row>
    <row r="808" spans="1:14" customFormat="1" ht="14.4" x14ac:dyDescent="0.3">
      <c r="A808" s="24"/>
      <c r="B808" s="21">
        <v>45996</v>
      </c>
      <c r="C808" s="91" t="s">
        <v>15</v>
      </c>
      <c r="D808" s="21" t="s">
        <v>111</v>
      </c>
      <c r="E808" s="20"/>
      <c r="F808" s="22" t="s">
        <v>114</v>
      </c>
      <c r="G808" s="285">
        <v>10</v>
      </c>
      <c r="H808" s="1"/>
      <c r="I808" s="1">
        <f>COUNTIF(Tabela1[NF],Tabela1[[#This Row],[NF]])</f>
        <v>0</v>
      </c>
      <c r="K808" s="82">
        <f>Tabela1[[#This Row],[DT. VENCIMENTO]]</f>
        <v>45996</v>
      </c>
      <c r="N808" s="14" t="str" cm="1">
        <f t="array" ref="N808">_xlfn.XLOOKUP(TRIM(D808),TRIM(DFC!A:A),DFC!A:A,"NÃO ESTÁ NA DFC")</f>
        <v xml:space="preserve">          TX. BANCÁRIA</v>
      </c>
    </row>
    <row r="809" spans="1:14" customFormat="1" ht="14.4" x14ac:dyDescent="0.3">
      <c r="A809" s="24"/>
      <c r="B809" s="21">
        <v>45996</v>
      </c>
      <c r="C809" s="91" t="s">
        <v>15</v>
      </c>
      <c r="D809" s="84" t="s">
        <v>19</v>
      </c>
      <c r="E809" s="28" t="s">
        <v>465</v>
      </c>
      <c r="F809" s="22" t="s">
        <v>372</v>
      </c>
      <c r="G809" s="285">
        <v>12966.68</v>
      </c>
      <c r="H809" s="1"/>
      <c r="I809" s="1">
        <f>COUNTIF(Tabela1[NF],Tabela1[[#This Row],[NF]])</f>
        <v>0</v>
      </c>
      <c r="K809" s="82">
        <f>Tabela1[[#This Row],[DT. VENCIMENTO]]</f>
        <v>45996</v>
      </c>
      <c r="N809" s="14" t="str" cm="1">
        <f t="array" ref="N809">_xlfn.XLOOKUP(TRIM(D809),TRIM(DFC!A:A),DFC!A:A,"NÃO ESTÁ NA DFC")</f>
        <v xml:space="preserve">      PEÇAS</v>
      </c>
    </row>
    <row r="810" spans="1:14" customFormat="1" ht="14.4" x14ac:dyDescent="0.3">
      <c r="A810" s="24"/>
      <c r="B810" s="21">
        <v>45996</v>
      </c>
      <c r="C810" s="91" t="s">
        <v>15</v>
      </c>
      <c r="D810" s="21" t="s">
        <v>117</v>
      </c>
      <c r="E810" s="20" t="s">
        <v>466</v>
      </c>
      <c r="F810" s="22" t="s">
        <v>319</v>
      </c>
      <c r="G810" s="285">
        <v>1348.77</v>
      </c>
      <c r="H810" s="1"/>
      <c r="I810" s="1">
        <f>COUNTIF(Tabela1[NF],Tabela1[[#This Row],[NF]])</f>
        <v>0</v>
      </c>
      <c r="K810" s="82">
        <f>Tabela1[[#This Row],[DT. VENCIMENTO]]</f>
        <v>45996</v>
      </c>
      <c r="N810" s="14" t="str" cm="1">
        <f t="array" ref="N810">_xlfn.XLOOKUP(TRIM(D810),TRIM(DFC!A:A),DFC!A:A,"NÃO ESTÁ NA DFC")</f>
        <v xml:space="preserve">          SALÁRIOS</v>
      </c>
    </row>
    <row r="811" spans="1:14" customFormat="1" ht="14.4" x14ac:dyDescent="0.3">
      <c r="A811" s="24"/>
      <c r="B811" s="21">
        <v>45996</v>
      </c>
      <c r="C811" s="91" t="s">
        <v>15</v>
      </c>
      <c r="D811" s="21" t="s">
        <v>117</v>
      </c>
      <c r="E811" s="20" t="s">
        <v>466</v>
      </c>
      <c r="F811" s="22" t="s">
        <v>320</v>
      </c>
      <c r="G811" s="285">
        <v>1429.23</v>
      </c>
      <c r="H811" s="1"/>
      <c r="I811" s="1">
        <f>COUNTIF(Tabela1[NF],Tabela1[[#This Row],[NF]])</f>
        <v>0</v>
      </c>
      <c r="K811" s="82">
        <f>Tabela1[[#This Row],[DT. VENCIMENTO]]</f>
        <v>45996</v>
      </c>
      <c r="N811" s="14" t="str" cm="1">
        <f t="array" ref="N811">_xlfn.XLOOKUP(TRIM(D811),TRIM(DFC!A:A),DFC!A:A,"NÃO ESTÁ NA DFC")</f>
        <v xml:space="preserve">          SALÁRIOS</v>
      </c>
    </row>
    <row r="812" spans="1:14" customFormat="1" ht="14.4" x14ac:dyDescent="0.3">
      <c r="A812" s="24"/>
      <c r="B812" s="21">
        <v>45996</v>
      </c>
      <c r="C812" s="91" t="s">
        <v>15</v>
      </c>
      <c r="D812" s="21" t="s">
        <v>117</v>
      </c>
      <c r="E812" s="20" t="s">
        <v>466</v>
      </c>
      <c r="F812" s="22" t="s">
        <v>321</v>
      </c>
      <c r="G812" s="285">
        <v>3249.52</v>
      </c>
      <c r="H812" s="1"/>
      <c r="I812" s="1">
        <f>COUNTIF(Tabela1[NF],Tabela1[[#This Row],[NF]])</f>
        <v>0</v>
      </c>
      <c r="K812" s="82">
        <f>Tabela1[[#This Row],[DT. VENCIMENTO]]</f>
        <v>45996</v>
      </c>
      <c r="N812" s="14" t="str" cm="1">
        <f t="array" ref="N812">_xlfn.XLOOKUP(TRIM(D812),TRIM(DFC!A:A),DFC!A:A,"NÃO ESTÁ NA DFC")</f>
        <v xml:space="preserve">          SALÁRIOS</v>
      </c>
    </row>
    <row r="813" spans="1:14" customFormat="1" ht="14.4" x14ac:dyDescent="0.3">
      <c r="A813" s="24"/>
      <c r="B813" s="21">
        <v>45996</v>
      </c>
      <c r="C813" s="91" t="s">
        <v>15</v>
      </c>
      <c r="D813" s="21" t="s">
        <v>117</v>
      </c>
      <c r="E813" s="20" t="s">
        <v>466</v>
      </c>
      <c r="F813" s="22" t="s">
        <v>324</v>
      </c>
      <c r="G813" s="285">
        <v>2259.91</v>
      </c>
      <c r="H813" s="1"/>
      <c r="I813" s="1">
        <f>COUNTIF(Tabela1[NF],Tabela1[[#This Row],[NF]])</f>
        <v>0</v>
      </c>
      <c r="K813" s="82">
        <f>Tabela1[[#This Row],[DT. VENCIMENTO]]</f>
        <v>45996</v>
      </c>
      <c r="N813" s="14" t="str" cm="1">
        <f t="array" ref="N813">_xlfn.XLOOKUP(TRIM(D813),TRIM(DFC!A:A),DFC!A:A,"NÃO ESTÁ NA DFC")</f>
        <v xml:space="preserve">          SALÁRIOS</v>
      </c>
    </row>
    <row r="814" spans="1:14" customFormat="1" ht="14.4" x14ac:dyDescent="0.3">
      <c r="A814" s="24"/>
      <c r="B814" s="21">
        <v>45996</v>
      </c>
      <c r="C814" s="91" t="s">
        <v>15</v>
      </c>
      <c r="D814" s="21" t="s">
        <v>117</v>
      </c>
      <c r="E814" s="20" t="s">
        <v>466</v>
      </c>
      <c r="F814" s="22" t="s">
        <v>322</v>
      </c>
      <c r="G814" s="285">
        <v>2034.51</v>
      </c>
      <c r="H814" s="1"/>
      <c r="I814" s="1">
        <f>COUNTIF(Tabela1[NF],Tabela1[[#This Row],[NF]])</f>
        <v>0</v>
      </c>
      <c r="K814" s="26">
        <f>Tabela1[[#This Row],[DT. VENCIMENTO]]</f>
        <v>45996</v>
      </c>
      <c r="N814" s="14" t="str" cm="1">
        <f t="array" ref="N814">_xlfn.XLOOKUP(TRIM(D814),TRIM(DFC!A:A),DFC!A:A,"NÃO ESTÁ NA DFC")</f>
        <v xml:space="preserve">          SALÁRIOS</v>
      </c>
    </row>
    <row r="815" spans="1:14" customFormat="1" ht="14.4" x14ac:dyDescent="0.3">
      <c r="A815" s="24"/>
      <c r="B815" s="21">
        <v>45996</v>
      </c>
      <c r="C815" s="91" t="s">
        <v>15</v>
      </c>
      <c r="D815" s="21" t="s">
        <v>117</v>
      </c>
      <c r="E815" s="20" t="s">
        <v>466</v>
      </c>
      <c r="F815" s="22" t="s">
        <v>326</v>
      </c>
      <c r="G815" s="285">
        <v>1280</v>
      </c>
      <c r="H815" s="1"/>
      <c r="I815" s="1">
        <f>COUNTIF(Tabela1[NF],Tabela1[[#This Row],[NF]])</f>
        <v>0</v>
      </c>
      <c r="K815" s="82">
        <f>Tabela1[[#This Row],[DT. VENCIMENTO]]</f>
        <v>45996</v>
      </c>
      <c r="N815" s="14" t="str" cm="1">
        <f t="array" ref="N815">_xlfn.XLOOKUP(TRIM(D815),TRIM(DFC!A:A),DFC!A:A,"NÃO ESTÁ NA DFC")</f>
        <v xml:space="preserve">          SALÁRIOS</v>
      </c>
    </row>
    <row r="816" spans="1:14" customFormat="1" ht="14.4" x14ac:dyDescent="0.3">
      <c r="A816" s="24"/>
      <c r="B816" s="21">
        <v>45996</v>
      </c>
      <c r="C816" s="91" t="s">
        <v>15</v>
      </c>
      <c r="D816" s="21" t="s">
        <v>117</v>
      </c>
      <c r="E816" s="20" t="s">
        <v>466</v>
      </c>
      <c r="F816" s="22" t="s">
        <v>326</v>
      </c>
      <c r="G816" s="285">
        <v>2490.42</v>
      </c>
      <c r="H816" s="1"/>
      <c r="I816" s="1">
        <f>COUNTIF(Tabela1[NF],Tabela1[[#This Row],[NF]])</f>
        <v>0</v>
      </c>
      <c r="K816" s="82">
        <f>Tabela1[[#This Row],[DT. VENCIMENTO]]</f>
        <v>45996</v>
      </c>
      <c r="N816" s="14" t="str" cm="1">
        <f t="array" ref="N816">_xlfn.XLOOKUP(TRIM(D816),TRIM(DFC!A:A),DFC!A:A,"NÃO ESTÁ NA DFC")</f>
        <v xml:space="preserve">          SALÁRIOS</v>
      </c>
    </row>
    <row r="817" spans="1:14" customFormat="1" ht="14.4" x14ac:dyDescent="0.3">
      <c r="A817" s="24"/>
      <c r="B817" s="21">
        <v>45996</v>
      </c>
      <c r="C817" s="91" t="s">
        <v>15</v>
      </c>
      <c r="D817" s="21" t="s">
        <v>117</v>
      </c>
      <c r="E817" s="20" t="s">
        <v>466</v>
      </c>
      <c r="F817" s="22" t="s">
        <v>327</v>
      </c>
      <c r="G817" s="285">
        <v>2755.6</v>
      </c>
      <c r="H817" s="1"/>
      <c r="I817" s="1">
        <f>COUNTIF(Tabela1[NF],Tabela1[[#This Row],[NF]])</f>
        <v>0</v>
      </c>
      <c r="K817" s="82">
        <f>Tabela1[[#This Row],[DT. VENCIMENTO]]</f>
        <v>45996</v>
      </c>
      <c r="N817" s="14" t="str" cm="1">
        <f t="array" ref="N817">_xlfn.XLOOKUP(TRIM(D817),TRIM(DFC!A:A),DFC!A:A,"NÃO ESTÁ NA DFC")</f>
        <v xml:space="preserve">          SALÁRIOS</v>
      </c>
    </row>
    <row r="818" spans="1:14" customFormat="1" ht="14.4" x14ac:dyDescent="0.3">
      <c r="A818" s="24"/>
      <c r="B818" s="21">
        <v>45996</v>
      </c>
      <c r="C818" s="91" t="s">
        <v>15</v>
      </c>
      <c r="D818" s="21" t="s">
        <v>117</v>
      </c>
      <c r="E818" s="20" t="s">
        <v>466</v>
      </c>
      <c r="F818" s="22" t="s">
        <v>325</v>
      </c>
      <c r="G818" s="285">
        <v>125.06</v>
      </c>
      <c r="H818" s="1"/>
      <c r="I818" s="1">
        <f>COUNTIF(Tabela1[NF],Tabela1[[#This Row],[NF]])</f>
        <v>0</v>
      </c>
      <c r="K818" s="82">
        <f>Tabela1[[#This Row],[DT. VENCIMENTO]]</f>
        <v>45996</v>
      </c>
      <c r="N818" s="14" t="str" cm="1">
        <f t="array" ref="N818">_xlfn.XLOOKUP(TRIM(D818),TRIM(DFC!A:A),DFC!A:A,"NÃO ESTÁ NA DFC")</f>
        <v xml:space="preserve">          SALÁRIOS</v>
      </c>
    </row>
    <row r="819" spans="1:14" customFormat="1" ht="14.4" x14ac:dyDescent="0.3">
      <c r="A819" s="24"/>
      <c r="B819" s="21">
        <v>45996</v>
      </c>
      <c r="C819" s="91" t="s">
        <v>15</v>
      </c>
      <c r="D819" s="21" t="s">
        <v>19</v>
      </c>
      <c r="E819" s="20"/>
      <c r="F819" s="22" t="s">
        <v>455</v>
      </c>
      <c r="G819" s="285">
        <v>484.58</v>
      </c>
      <c r="H819" s="1"/>
      <c r="I819" s="1">
        <f>COUNTIF(Tabela1[NF],Tabela1[[#This Row],[NF]])</f>
        <v>0</v>
      </c>
      <c r="K819" s="82">
        <f>Tabela1[[#This Row],[DT. VENCIMENTO]]</f>
        <v>45996</v>
      </c>
      <c r="N819" s="14" t="str" cm="1">
        <f t="array" ref="N819">_xlfn.XLOOKUP(TRIM(D819),TRIM(DFC!A:A),DFC!A:A,"NÃO ESTÁ NA DFC")</f>
        <v xml:space="preserve">      PEÇAS</v>
      </c>
    </row>
    <row r="820" spans="1:14" customFormat="1" ht="14.4" x14ac:dyDescent="0.3">
      <c r="A820" s="24"/>
      <c r="B820" s="21">
        <v>45996</v>
      </c>
      <c r="C820" s="91" t="s">
        <v>15</v>
      </c>
      <c r="D820" s="21" t="s">
        <v>19</v>
      </c>
      <c r="E820" s="20"/>
      <c r="F820" s="22" t="s">
        <v>228</v>
      </c>
      <c r="G820" s="285">
        <v>4663.76</v>
      </c>
      <c r="H820" s="1"/>
      <c r="I820" s="1">
        <f>COUNTIF(Tabela1[NF],Tabela1[[#This Row],[NF]])</f>
        <v>0</v>
      </c>
      <c r="K820" s="82">
        <f>Tabela1[[#This Row],[DT. VENCIMENTO]]</f>
        <v>45996</v>
      </c>
      <c r="N820" s="14" t="str" cm="1">
        <f t="array" ref="N820">_xlfn.XLOOKUP(TRIM(D820),TRIM(DFC!A:A),DFC!A:A,"NÃO ESTÁ NA DFC")</f>
        <v xml:space="preserve">      PEÇAS</v>
      </c>
    </row>
    <row r="821" spans="1:14" customFormat="1" ht="14.4" x14ac:dyDescent="0.3">
      <c r="A821" s="24"/>
      <c r="B821" s="21">
        <v>45996</v>
      </c>
      <c r="C821" s="91" t="s">
        <v>15</v>
      </c>
      <c r="D821" s="21" t="s">
        <v>19</v>
      </c>
      <c r="E821" s="20"/>
      <c r="F821" s="22" t="s">
        <v>297</v>
      </c>
      <c r="G821" s="285">
        <v>106.5</v>
      </c>
      <c r="H821" s="1"/>
      <c r="I821" s="1">
        <f>COUNTIF(Tabela1[NF],Tabela1[[#This Row],[NF]])</f>
        <v>0</v>
      </c>
      <c r="K821" s="82">
        <f>Tabela1[[#This Row],[DT. VENCIMENTO]]</f>
        <v>45996</v>
      </c>
      <c r="N821" s="14" t="str" cm="1">
        <f t="array" ref="N821">_xlfn.XLOOKUP(TRIM(D821),TRIM(DFC!A:A),DFC!A:A,"NÃO ESTÁ NA DFC")</f>
        <v xml:space="preserve">      PEÇAS</v>
      </c>
    </row>
    <row r="822" spans="1:14" customFormat="1" ht="14.4" x14ac:dyDescent="0.3">
      <c r="A822" s="24"/>
      <c r="B822" s="21">
        <v>45996</v>
      </c>
      <c r="C822" s="91" t="s">
        <v>15</v>
      </c>
      <c r="D822" s="21" t="s">
        <v>19</v>
      </c>
      <c r="E822" s="20"/>
      <c r="F822" s="22" t="s">
        <v>301</v>
      </c>
      <c r="G822" s="285">
        <v>1453.2</v>
      </c>
      <c r="H822" s="1"/>
      <c r="I822" s="1">
        <f>COUNTIF(Tabela1[NF],Tabela1[[#This Row],[NF]])</f>
        <v>0</v>
      </c>
      <c r="K822" s="82">
        <f>Tabela1[[#This Row],[DT. VENCIMENTO]]</f>
        <v>45996</v>
      </c>
      <c r="N822" s="14" t="str" cm="1">
        <f t="array" ref="N822">_xlfn.XLOOKUP(TRIM(D822),TRIM(DFC!A:A),DFC!A:A,"NÃO ESTÁ NA DFC")</f>
        <v xml:space="preserve">      PEÇAS</v>
      </c>
    </row>
    <row r="823" spans="1:14" customFormat="1" ht="14.4" x14ac:dyDescent="0.3">
      <c r="A823" s="24"/>
      <c r="B823" s="21">
        <v>45996</v>
      </c>
      <c r="C823" s="91" t="s">
        <v>15</v>
      </c>
      <c r="D823" s="21" t="s">
        <v>127</v>
      </c>
      <c r="E823" s="20"/>
      <c r="F823" s="22" t="s">
        <v>153</v>
      </c>
      <c r="G823" s="285">
        <v>152</v>
      </c>
      <c r="H823" s="1"/>
      <c r="I823" s="1">
        <f>COUNTIF(Tabela1[NF],Tabela1[[#This Row],[NF]])</f>
        <v>0</v>
      </c>
      <c r="K823" s="82">
        <f>Tabela1[[#This Row],[DT. VENCIMENTO]]</f>
        <v>45996</v>
      </c>
      <c r="N823" s="14" t="str" cm="1">
        <f t="array" ref="N823">_xlfn.XLOOKUP(TRIM(D823),TRIM(DFC!A:A),DFC!A:A,"NÃO ESTÁ NA DFC")</f>
        <v xml:space="preserve">          SERVIÇOS DE SEGURANÇA</v>
      </c>
    </row>
    <row r="824" spans="1:14" customFormat="1" ht="14.4" x14ac:dyDescent="0.3">
      <c r="A824" s="24"/>
      <c r="B824" s="21">
        <v>45996</v>
      </c>
      <c r="C824" s="91" t="s">
        <v>15</v>
      </c>
      <c r="D824" s="84" t="s">
        <v>305</v>
      </c>
      <c r="E824" s="20"/>
      <c r="F824" s="22" t="s">
        <v>467</v>
      </c>
      <c r="G824" s="285">
        <v>84.31</v>
      </c>
      <c r="H824" s="1"/>
      <c r="I824" s="1">
        <f>COUNTIF(Tabela1[NF],Tabela1[[#This Row],[NF]])</f>
        <v>0</v>
      </c>
      <c r="K824" s="82">
        <f>Tabela1[[#This Row],[DT. VENCIMENTO]]</f>
        <v>45996</v>
      </c>
      <c r="N824" s="14" t="str" cm="1">
        <f t="array" ref="N824">_xlfn.XLOOKUP(TRIM(D824),TRIM(DFC!A:A),DFC!A:A,"NÃO ESTÁ NA DFC")</f>
        <v xml:space="preserve">      FRETE ENTRADA</v>
      </c>
    </row>
    <row r="825" spans="1:14" customFormat="1" ht="14.4" x14ac:dyDescent="0.3">
      <c r="A825" s="24"/>
      <c r="B825" s="21">
        <v>45996</v>
      </c>
      <c r="C825" s="91" t="s">
        <v>15</v>
      </c>
      <c r="D825" s="84" t="s">
        <v>19</v>
      </c>
      <c r="E825" s="20"/>
      <c r="F825" s="22" t="s">
        <v>149</v>
      </c>
      <c r="G825" s="285">
        <v>1970.67</v>
      </c>
      <c r="H825" s="1"/>
      <c r="I825" s="1">
        <f>COUNTIF(Tabela1[NF],Tabela1[[#This Row],[NF]])</f>
        <v>0</v>
      </c>
      <c r="K825" s="82">
        <f>Tabela1[[#This Row],[DT. VENCIMENTO]]</f>
        <v>45996</v>
      </c>
      <c r="N825" s="14" t="str" cm="1">
        <f t="array" ref="N825">_xlfn.XLOOKUP(TRIM(D825),TRIM(DFC!A:A),DFC!A:A,"NÃO ESTÁ NA DFC")</f>
        <v xml:space="preserve">      PEÇAS</v>
      </c>
    </row>
    <row r="826" spans="1:14" customFormat="1" ht="14.4" x14ac:dyDescent="0.3">
      <c r="A826" s="24"/>
      <c r="B826" s="21">
        <v>45996</v>
      </c>
      <c r="C826" s="91" t="s">
        <v>15</v>
      </c>
      <c r="D826" s="84" t="s">
        <v>60</v>
      </c>
      <c r="E826" s="20" t="s">
        <v>146</v>
      </c>
      <c r="F826" s="22" t="s">
        <v>147</v>
      </c>
      <c r="G826" s="285">
        <v>405.65</v>
      </c>
      <c r="H826" s="1"/>
      <c r="I826" s="1">
        <f>COUNTIF(Tabela1[NF],Tabela1[[#This Row],[NF]])</f>
        <v>0</v>
      </c>
      <c r="K826" s="82">
        <f>Tabela1[[#This Row],[DT. VENCIMENTO]]</f>
        <v>45996</v>
      </c>
      <c r="N826" s="14" t="str" cm="1">
        <f t="array" ref="N826">_xlfn.XLOOKUP(TRIM(D826),TRIM(DFC!A:A),DFC!A:A,"NÃO ESTÁ NA DFC")</f>
        <v xml:space="preserve">          ALUGUEL</v>
      </c>
    </row>
    <row r="827" spans="1:14" customFormat="1" ht="14.4" x14ac:dyDescent="0.3">
      <c r="A827" s="24"/>
      <c r="B827" s="21">
        <v>45996</v>
      </c>
      <c r="C827" s="91" t="s">
        <v>15</v>
      </c>
      <c r="D827" s="21" t="s">
        <v>19</v>
      </c>
      <c r="E827" s="20"/>
      <c r="F827" s="22" t="s">
        <v>315</v>
      </c>
      <c r="G827" s="285">
        <v>3816.66</v>
      </c>
      <c r="H827" s="1"/>
      <c r="I827" s="1">
        <f>COUNTIF(Tabela1[NF],Tabela1[[#This Row],[NF]])</f>
        <v>0</v>
      </c>
      <c r="K827" s="82">
        <f>Tabela1[[#This Row],[DT. VENCIMENTO]]</f>
        <v>45996</v>
      </c>
      <c r="N827" s="14" t="str" cm="1">
        <f t="array" ref="N827">_xlfn.XLOOKUP(TRIM(D827),TRIM(DFC!A:A),DFC!A:A,"NÃO ESTÁ NA DFC")</f>
        <v xml:space="preserve">      PEÇAS</v>
      </c>
    </row>
    <row r="828" spans="1:14" customFormat="1" ht="14.4" x14ac:dyDescent="0.3">
      <c r="A828" s="24"/>
      <c r="B828" s="21">
        <v>45996</v>
      </c>
      <c r="C828" s="91" t="s">
        <v>15</v>
      </c>
      <c r="D828" s="84" t="s">
        <v>85</v>
      </c>
      <c r="E828" s="20" t="s">
        <v>468</v>
      </c>
      <c r="F828" s="22" t="s">
        <v>103</v>
      </c>
      <c r="G828" s="285">
        <v>1750</v>
      </c>
      <c r="H828" s="1"/>
      <c r="I828" s="1">
        <f>COUNTIF(Tabela1[NF],Tabela1[[#This Row],[NF]])</f>
        <v>0</v>
      </c>
      <c r="K828" s="82">
        <f>Tabela1[[#This Row],[DT. VENCIMENTO]]</f>
        <v>45996</v>
      </c>
      <c r="N828" s="14" t="str" cm="1">
        <f t="array" ref="N828">_xlfn.XLOOKUP(TRIM(D828),TRIM(DFC!A:A),DFC!A:A,"NÃO ESTÁ NA DFC")</f>
        <v xml:space="preserve">         EQUIPAMENTOS DE INFORMÁTICA</v>
      </c>
    </row>
    <row r="829" spans="1:14" customFormat="1" ht="14.4" x14ac:dyDescent="0.3">
      <c r="A829" s="24"/>
      <c r="B829" s="21">
        <v>45999</v>
      </c>
      <c r="C829" s="91" t="s">
        <v>15</v>
      </c>
      <c r="D829" s="21" t="s">
        <v>82</v>
      </c>
      <c r="E829" s="20"/>
      <c r="F829" s="22" t="s">
        <v>469</v>
      </c>
      <c r="G829" s="285">
        <v>325</v>
      </c>
      <c r="H829" s="1"/>
      <c r="I829" s="1">
        <f>COUNTIF(Tabela1[NF],Tabela1[[#This Row],[NF]])</f>
        <v>0</v>
      </c>
      <c r="K829" s="82">
        <f>Tabela1[[#This Row],[DT. VENCIMENTO]]</f>
        <v>45999</v>
      </c>
      <c r="N829" s="14" t="str" cm="1">
        <f t="array" ref="N829">_xlfn.XLOOKUP(TRIM(D829),TRIM(DFC!A:A),DFC!A:A,"NÃO ESTÁ NA DFC")</f>
        <v xml:space="preserve">          DIÁRIAS</v>
      </c>
    </row>
    <row r="830" spans="1:14" customFormat="1" ht="14.4" x14ac:dyDescent="0.3">
      <c r="A830" s="24"/>
      <c r="B830" s="21">
        <v>45999</v>
      </c>
      <c r="C830" s="91" t="s">
        <v>15</v>
      </c>
      <c r="D830" s="21" t="s">
        <v>82</v>
      </c>
      <c r="E830" s="20"/>
      <c r="F830" s="22" t="s">
        <v>411</v>
      </c>
      <c r="G830" s="285">
        <v>320</v>
      </c>
      <c r="H830" s="1"/>
      <c r="I830" s="1">
        <f>COUNTIF(Tabela1[NF],Tabela1[[#This Row],[NF]])</f>
        <v>0</v>
      </c>
      <c r="K830" s="26">
        <f>Tabela1[[#This Row],[DT. VENCIMENTO]]</f>
        <v>45999</v>
      </c>
      <c r="N830" s="14" t="str" cm="1">
        <f t="array" ref="N830">_xlfn.XLOOKUP(TRIM(D830),TRIM(DFC!A:A),DFC!A:A,"NÃO ESTÁ NA DFC")</f>
        <v xml:space="preserve">          DIÁRIAS</v>
      </c>
    </row>
    <row r="831" spans="1:14" customFormat="1" ht="14.4" x14ac:dyDescent="0.3">
      <c r="A831" s="24"/>
      <c r="B831" s="21">
        <v>45999</v>
      </c>
      <c r="C831" s="91" t="s">
        <v>15</v>
      </c>
      <c r="D831" s="21" t="s">
        <v>82</v>
      </c>
      <c r="E831" s="20"/>
      <c r="F831" s="22" t="s">
        <v>373</v>
      </c>
      <c r="G831" s="285">
        <v>425</v>
      </c>
      <c r="H831" s="1"/>
      <c r="I831" s="1">
        <f>COUNTIF(Tabela1[NF],Tabela1[[#This Row],[NF]])</f>
        <v>0</v>
      </c>
      <c r="K831" s="82">
        <f>Tabela1[[#This Row],[DT. VENCIMENTO]]</f>
        <v>45999</v>
      </c>
      <c r="N831" s="14" t="str" cm="1">
        <f t="array" ref="N831">_xlfn.XLOOKUP(TRIM(D831),TRIM(DFC!A:A),DFC!A:A,"NÃO ESTÁ NA DFC")</f>
        <v xml:space="preserve">          DIÁRIAS</v>
      </c>
    </row>
    <row r="832" spans="1:14" customFormat="1" ht="14.4" x14ac:dyDescent="0.3">
      <c r="A832" s="24"/>
      <c r="B832" s="21">
        <v>45999</v>
      </c>
      <c r="C832" s="91" t="s">
        <v>15</v>
      </c>
      <c r="D832" s="21" t="s">
        <v>82</v>
      </c>
      <c r="E832" s="20"/>
      <c r="F832" s="22" t="s">
        <v>351</v>
      </c>
      <c r="G832" s="285">
        <v>637.75</v>
      </c>
      <c r="H832" s="1"/>
      <c r="I832" s="1">
        <f>COUNTIF(Tabela1[NF],Tabela1[[#This Row],[NF]])</f>
        <v>0</v>
      </c>
      <c r="K832" s="82">
        <f>Tabela1[[#This Row],[DT. VENCIMENTO]]</f>
        <v>45999</v>
      </c>
      <c r="N832" s="14" t="str" cm="1">
        <f t="array" ref="N832">_xlfn.XLOOKUP(TRIM(D832),TRIM(DFC!A:A),DFC!A:A,"NÃO ESTÁ NA DFC")</f>
        <v xml:space="preserve">          DIÁRIAS</v>
      </c>
    </row>
    <row r="833" spans="1:14" customFormat="1" ht="14.4" x14ac:dyDescent="0.3">
      <c r="A833" s="24"/>
      <c r="B833" s="21">
        <v>45999</v>
      </c>
      <c r="C833" s="91" t="s">
        <v>15</v>
      </c>
      <c r="D833" s="21" t="s">
        <v>82</v>
      </c>
      <c r="E833" s="20"/>
      <c r="F833" s="22" t="s">
        <v>470</v>
      </c>
      <c r="G833" s="285">
        <v>295</v>
      </c>
      <c r="H833" s="1"/>
      <c r="I833" s="1">
        <f>COUNTIF(Tabela1[NF],Tabela1[[#This Row],[NF]])</f>
        <v>0</v>
      </c>
      <c r="K833" s="82">
        <f>Tabela1[[#This Row],[DT. VENCIMENTO]]</f>
        <v>45999</v>
      </c>
      <c r="N833" s="14" t="str" cm="1">
        <f t="array" ref="N833">_xlfn.XLOOKUP(TRIM(D833),TRIM(DFC!A:A),DFC!A:A,"NÃO ESTÁ NA DFC")</f>
        <v xml:space="preserve">          DIÁRIAS</v>
      </c>
    </row>
    <row r="834" spans="1:14" customFormat="1" ht="14.4" x14ac:dyDescent="0.3">
      <c r="A834" s="24"/>
      <c r="B834" s="21">
        <v>45999</v>
      </c>
      <c r="C834" s="91" t="s">
        <v>15</v>
      </c>
      <c r="D834" s="21" t="s">
        <v>82</v>
      </c>
      <c r="E834" s="20"/>
      <c r="F834" s="22" t="s">
        <v>412</v>
      </c>
      <c r="G834" s="285">
        <v>575</v>
      </c>
      <c r="H834" s="1"/>
      <c r="I834" s="1">
        <f>COUNTIF(Tabela1[NF],Tabela1[[#This Row],[NF]])</f>
        <v>0</v>
      </c>
      <c r="K834" s="26">
        <f>Tabela1[[#This Row],[DT. VENCIMENTO]]</f>
        <v>45999</v>
      </c>
      <c r="N834" s="14" t="str" cm="1">
        <f t="array" ref="N834">_xlfn.XLOOKUP(TRIM(D834),TRIM(DFC!A:A),DFC!A:A,"NÃO ESTÁ NA DFC")</f>
        <v xml:space="preserve">          DIÁRIAS</v>
      </c>
    </row>
    <row r="835" spans="1:14" customFormat="1" ht="14.4" x14ac:dyDescent="0.3">
      <c r="A835" s="24"/>
      <c r="B835" s="21">
        <v>45999</v>
      </c>
      <c r="C835" s="91" t="s">
        <v>15</v>
      </c>
      <c r="D835" s="21" t="s">
        <v>82</v>
      </c>
      <c r="E835" s="20"/>
      <c r="F835" s="22" t="s">
        <v>347</v>
      </c>
      <c r="G835" s="285">
        <v>475</v>
      </c>
      <c r="H835" s="1"/>
      <c r="I835" s="1">
        <f>COUNTIF(Tabela1[NF],Tabela1[[#This Row],[NF]])</f>
        <v>0</v>
      </c>
      <c r="K835" s="82">
        <f>Tabela1[[#This Row],[DT. VENCIMENTO]]</f>
        <v>45999</v>
      </c>
      <c r="N835" s="14" t="str" cm="1">
        <f t="array" ref="N835">_xlfn.XLOOKUP(TRIM(D835),TRIM(DFC!A:A),DFC!A:A,"NÃO ESTÁ NA DFC")</f>
        <v xml:space="preserve">          DIÁRIAS</v>
      </c>
    </row>
    <row r="836" spans="1:14" customFormat="1" ht="14.4" x14ac:dyDescent="0.3">
      <c r="A836" s="24"/>
      <c r="B836" s="21">
        <v>45999</v>
      </c>
      <c r="C836" s="91" t="s">
        <v>15</v>
      </c>
      <c r="D836" s="21" t="s">
        <v>82</v>
      </c>
      <c r="E836" s="20"/>
      <c r="F836" s="22" t="s">
        <v>471</v>
      </c>
      <c r="G836" s="285">
        <v>100</v>
      </c>
      <c r="H836" s="1"/>
      <c r="I836" s="1">
        <f>COUNTIF(Tabela1[NF],Tabela1[[#This Row],[NF]])</f>
        <v>0</v>
      </c>
      <c r="K836" s="82">
        <f>Tabela1[[#This Row],[DT. VENCIMENTO]]</f>
        <v>45999</v>
      </c>
      <c r="N836" s="14" t="str" cm="1">
        <f t="array" ref="N836">_xlfn.XLOOKUP(TRIM(D836),TRIM(DFC!A:A),DFC!A:A,"NÃO ESTÁ NA DFC")</f>
        <v xml:space="preserve">          DIÁRIAS</v>
      </c>
    </row>
    <row r="837" spans="1:14" customFormat="1" ht="14.4" x14ac:dyDescent="0.3">
      <c r="A837" s="24"/>
      <c r="B837" s="21">
        <v>45999</v>
      </c>
      <c r="C837" s="91" t="s">
        <v>15</v>
      </c>
      <c r="D837" s="21" t="s">
        <v>29</v>
      </c>
      <c r="E837" s="20"/>
      <c r="F837" s="22" t="s">
        <v>420</v>
      </c>
      <c r="G837" s="285">
        <v>111.34</v>
      </c>
      <c r="H837" s="1"/>
      <c r="I837" s="1">
        <f>COUNTIF(Tabela1[NF],Tabela1[[#This Row],[NF]])</f>
        <v>0</v>
      </c>
      <c r="K837" s="26">
        <f>Tabela1[[#This Row],[DT. VENCIMENTO]]</f>
        <v>45999</v>
      </c>
      <c r="N837" s="14" t="str" cm="1">
        <f t="array" ref="N837">_xlfn.XLOOKUP(TRIM(D837),TRIM(DFC!A:A),DFC!A:A,"NÃO ESTÁ NA DFC")</f>
        <v xml:space="preserve">      FRETE DE SAÍDA</v>
      </c>
    </row>
    <row r="838" spans="1:14" customFormat="1" ht="14.4" x14ac:dyDescent="0.3">
      <c r="A838" s="24"/>
      <c r="B838" s="21">
        <v>45999</v>
      </c>
      <c r="C838" s="91" t="s">
        <v>15</v>
      </c>
      <c r="D838" s="21" t="s">
        <v>19</v>
      </c>
      <c r="E838" s="20"/>
      <c r="F838" s="22" t="s">
        <v>315</v>
      </c>
      <c r="G838" s="285">
        <v>11736.23</v>
      </c>
      <c r="H838" s="1"/>
      <c r="I838" s="1">
        <f>COUNTIF(Tabela1[NF],Tabela1[[#This Row],[NF]])</f>
        <v>0</v>
      </c>
      <c r="K838" s="82">
        <f>Tabela1[[#This Row],[DT. VENCIMENTO]]</f>
        <v>45999</v>
      </c>
      <c r="N838" s="14" t="str" cm="1">
        <f t="array" ref="N838">_xlfn.XLOOKUP(TRIM(D838),TRIM(DFC!A:A),DFC!A:A,"NÃO ESTÁ NA DFC")</f>
        <v xml:space="preserve">      PEÇAS</v>
      </c>
    </row>
    <row r="839" spans="1:14" customFormat="1" ht="14.4" x14ac:dyDescent="0.3">
      <c r="A839" s="24"/>
      <c r="B839" s="21">
        <v>45999</v>
      </c>
      <c r="C839" s="91" t="s">
        <v>15</v>
      </c>
      <c r="D839" s="21" t="s">
        <v>137</v>
      </c>
      <c r="E839" s="20"/>
      <c r="F839" s="22" t="s">
        <v>323</v>
      </c>
      <c r="G839" s="285">
        <v>1680</v>
      </c>
      <c r="H839" s="1"/>
      <c r="I839" s="1">
        <f>COUNTIF(Tabela1[NF],Tabela1[[#This Row],[NF]])</f>
        <v>0</v>
      </c>
      <c r="K839" s="82">
        <f>Tabela1[[#This Row],[DT. VENCIMENTO]]</f>
        <v>45999</v>
      </c>
      <c r="N839" s="14" t="str" cm="1">
        <f t="array" ref="N839">_xlfn.XLOOKUP(TRIM(D839),TRIM(DFC!A:A),DFC!A:A,"NÃO ESTÁ NA DFC")</f>
        <v xml:space="preserve">          TICKET ALIMENTAÇÃO</v>
      </c>
    </row>
    <row r="840" spans="1:14" customFormat="1" ht="14.4" x14ac:dyDescent="0.3">
      <c r="A840" s="24"/>
      <c r="B840" s="21">
        <v>45999</v>
      </c>
      <c r="C840" s="91" t="s">
        <v>15</v>
      </c>
      <c r="D840" s="21" t="s">
        <v>117</v>
      </c>
      <c r="E840" s="20" t="s">
        <v>444</v>
      </c>
      <c r="F840" s="22" t="s">
        <v>327</v>
      </c>
      <c r="G840" s="285">
        <v>280</v>
      </c>
      <c r="H840" s="1"/>
      <c r="I840" s="1">
        <f>COUNTIF(Tabela1[NF],Tabela1[[#This Row],[NF]])</f>
        <v>0</v>
      </c>
      <c r="K840" s="82">
        <f>Tabela1[[#This Row],[DT. VENCIMENTO]]</f>
        <v>45999</v>
      </c>
      <c r="N840" s="14" t="str" cm="1">
        <f t="array" ref="N840">_xlfn.XLOOKUP(TRIM(D840),TRIM(DFC!A:A),DFC!A:A,"NÃO ESTÁ NA DFC")</f>
        <v xml:space="preserve">          SALÁRIOS</v>
      </c>
    </row>
    <row r="841" spans="1:14" customFormat="1" ht="14.4" x14ac:dyDescent="0.3">
      <c r="A841" s="24"/>
      <c r="B841" s="21">
        <v>45999</v>
      </c>
      <c r="C841" s="91" t="s">
        <v>15</v>
      </c>
      <c r="D841" s="21" t="s">
        <v>117</v>
      </c>
      <c r="E841" s="20" t="s">
        <v>444</v>
      </c>
      <c r="F841" s="22" t="s">
        <v>322</v>
      </c>
      <c r="G841" s="285">
        <v>2000</v>
      </c>
      <c r="H841" s="1"/>
      <c r="I841" s="1">
        <f>COUNTIF(Tabela1[NF],Tabela1[[#This Row],[NF]])</f>
        <v>0</v>
      </c>
      <c r="K841" s="82">
        <f>Tabela1[[#This Row],[DT. VENCIMENTO]]</f>
        <v>45999</v>
      </c>
      <c r="N841" s="14" t="str" cm="1">
        <f t="array" ref="N841">_xlfn.XLOOKUP(TRIM(D841),TRIM(DFC!A:A),DFC!A:A,"NÃO ESTÁ NA DFC")</f>
        <v xml:space="preserve">          SALÁRIOS</v>
      </c>
    </row>
    <row r="842" spans="1:14" customFormat="1" ht="14.4" x14ac:dyDescent="0.3">
      <c r="A842" s="24"/>
      <c r="B842" s="21">
        <v>45999</v>
      </c>
      <c r="C842" s="91" t="s">
        <v>15</v>
      </c>
      <c r="D842" s="21" t="s">
        <v>117</v>
      </c>
      <c r="E842" s="20" t="s">
        <v>472</v>
      </c>
      <c r="F842" s="22" t="s">
        <v>319</v>
      </c>
      <c r="G842" s="285">
        <v>254.33</v>
      </c>
      <c r="H842" s="1"/>
      <c r="I842" s="1">
        <f>COUNTIF(Tabela1[NF],Tabela1[[#This Row],[NF]])</f>
        <v>0</v>
      </c>
      <c r="K842" s="26">
        <f>Tabela1[[#This Row],[DT. VENCIMENTO]]</f>
        <v>45999</v>
      </c>
      <c r="N842" s="14" t="str" cm="1">
        <f t="array" ref="N842">_xlfn.XLOOKUP(TRIM(D842),TRIM(DFC!A:A),DFC!A:A,"NÃO ESTÁ NA DFC")</f>
        <v xml:space="preserve">          SALÁRIOS</v>
      </c>
    </row>
    <row r="843" spans="1:14" customFormat="1" ht="14.4" x14ac:dyDescent="0.3">
      <c r="A843" s="24"/>
      <c r="B843" s="21">
        <v>45999</v>
      </c>
      <c r="C843" s="91" t="s">
        <v>15</v>
      </c>
      <c r="D843" s="21" t="s">
        <v>82</v>
      </c>
      <c r="E843" s="20"/>
      <c r="F843" s="22" t="s">
        <v>319</v>
      </c>
      <c r="G843" s="285">
        <v>100</v>
      </c>
      <c r="H843" s="1"/>
      <c r="I843" s="1">
        <f>COUNTIF(Tabela1[NF],Tabela1[[#This Row],[NF]])</f>
        <v>0</v>
      </c>
      <c r="K843" s="82">
        <f>Tabela1[[#This Row],[DT. VENCIMENTO]]</f>
        <v>45999</v>
      </c>
      <c r="N843" s="14" t="str" cm="1">
        <f t="array" ref="N843">_xlfn.XLOOKUP(TRIM(D843),TRIM(DFC!A:A),DFC!A:A,"NÃO ESTÁ NA DFC")</f>
        <v xml:space="preserve">          DIÁRIAS</v>
      </c>
    </row>
    <row r="844" spans="1:14" customFormat="1" ht="14.4" x14ac:dyDescent="0.3">
      <c r="A844" s="24"/>
      <c r="B844" s="21">
        <v>45999</v>
      </c>
      <c r="C844" s="91" t="s">
        <v>15</v>
      </c>
      <c r="D844" s="84" t="s">
        <v>43</v>
      </c>
      <c r="E844" s="20" t="s">
        <v>473</v>
      </c>
      <c r="F844" s="22" t="s">
        <v>474</v>
      </c>
      <c r="G844" s="285">
        <v>2000</v>
      </c>
      <c r="H844" s="1"/>
      <c r="I844" s="1">
        <f>COUNTIF(Tabela1[NF],Tabela1[[#This Row],[NF]])</f>
        <v>0</v>
      </c>
      <c r="K844" s="82">
        <f>Tabela1[[#This Row],[DT. VENCIMENTO]]</f>
        <v>45999</v>
      </c>
      <c r="N844" s="14" t="str" cm="1">
        <f t="array" ref="N844">_xlfn.XLOOKUP(TRIM(D844),TRIM(DFC!A:A),DFC!A:A,"NÃO ESTÁ NA DFC")</f>
        <v xml:space="preserve">          TRABALHISTA</v>
      </c>
    </row>
    <row r="845" spans="1:14" customFormat="1" ht="14.4" x14ac:dyDescent="0.3">
      <c r="A845" s="24"/>
      <c r="B845" s="21">
        <v>45999</v>
      </c>
      <c r="C845" s="91" t="s">
        <v>15</v>
      </c>
      <c r="D845" s="84" t="s">
        <v>475</v>
      </c>
      <c r="E845" s="20" t="s">
        <v>476</v>
      </c>
      <c r="F845" s="22" t="s">
        <v>477</v>
      </c>
      <c r="G845" s="285">
        <v>3094.83</v>
      </c>
      <c r="H845" s="1"/>
      <c r="I845" s="1">
        <f>COUNTIF(Tabela1[NF],Tabela1[[#This Row],[NF]])</f>
        <v>0</v>
      </c>
      <c r="K845" s="82">
        <f>Tabela1[[#This Row],[DT. VENCIMENTO]]</f>
        <v>45999</v>
      </c>
      <c r="N845" s="14" t="str" cm="1">
        <f t="array" ref="N845">_xlfn.XLOOKUP(TRIM(D845),TRIM(DFC!A:A),DFC!A:A,"NÃO ESTÁ NA DFC")</f>
        <v xml:space="preserve">          SEGURO DE VEICULOS</v>
      </c>
    </row>
    <row r="846" spans="1:14" customFormat="1" ht="14.4" x14ac:dyDescent="0.3">
      <c r="A846" s="24"/>
      <c r="B846" s="21">
        <v>45999</v>
      </c>
      <c r="C846" s="91" t="s">
        <v>15</v>
      </c>
      <c r="D846" s="84" t="s">
        <v>98</v>
      </c>
      <c r="E846" s="20" t="s">
        <v>307</v>
      </c>
      <c r="F846" s="22" t="s">
        <v>478</v>
      </c>
      <c r="G846" s="285">
        <v>20</v>
      </c>
      <c r="H846" s="1"/>
      <c r="I846" s="1">
        <f>COUNTIF(Tabela1[NF],Tabela1[[#This Row],[NF]])</f>
        <v>0</v>
      </c>
      <c r="K846" s="82">
        <f>Tabela1[[#This Row],[DT. VENCIMENTO]]</f>
        <v>45999</v>
      </c>
      <c r="N846" s="14" t="str" cm="1">
        <f t="array" ref="N846">_xlfn.XLOOKUP(TRIM(D846),TRIM(DFC!A:A),DFC!A:A,"NÃO ESTÁ NA DFC")</f>
        <v xml:space="preserve">     REEMBOLSO SAC</v>
      </c>
    </row>
    <row r="847" spans="1:14" customFormat="1" ht="14.4" x14ac:dyDescent="0.3">
      <c r="A847" s="24"/>
      <c r="B847" s="21">
        <v>45999</v>
      </c>
      <c r="C847" s="91" t="s">
        <v>15</v>
      </c>
      <c r="D847" s="84" t="s">
        <v>98</v>
      </c>
      <c r="E847" s="20" t="s">
        <v>307</v>
      </c>
      <c r="F847" s="22" t="s">
        <v>479</v>
      </c>
      <c r="G847" s="285">
        <v>40</v>
      </c>
      <c r="H847" s="1"/>
      <c r="I847" s="1">
        <f>COUNTIF(Tabela1[NF],Tabela1[[#This Row],[NF]])</f>
        <v>0</v>
      </c>
      <c r="K847" s="82">
        <f>Tabela1[[#This Row],[DT. VENCIMENTO]]</f>
        <v>45999</v>
      </c>
      <c r="N847" s="14" t="str" cm="1">
        <f t="array" ref="N847">_xlfn.XLOOKUP(TRIM(D847),TRIM(DFC!A:A),DFC!A:A,"NÃO ESTÁ NA DFC")</f>
        <v xml:space="preserve">     REEMBOLSO SAC</v>
      </c>
    </row>
    <row r="848" spans="1:14" customFormat="1" ht="14.4" x14ac:dyDescent="0.3">
      <c r="A848" s="24"/>
      <c r="B848" s="21">
        <v>45999</v>
      </c>
      <c r="C848" s="91" t="s">
        <v>15</v>
      </c>
      <c r="D848" s="21" t="s">
        <v>19</v>
      </c>
      <c r="E848" s="20"/>
      <c r="F848" s="22" t="s">
        <v>300</v>
      </c>
      <c r="G848" s="285">
        <v>4118.3</v>
      </c>
      <c r="H848" s="1"/>
      <c r="I848" s="1">
        <f>COUNTIF(Tabela1[NF],Tabela1[[#This Row],[NF]])</f>
        <v>0</v>
      </c>
      <c r="K848" s="82">
        <f>Tabela1[[#This Row],[DT. VENCIMENTO]]</f>
        <v>45999</v>
      </c>
      <c r="N848" s="14" t="str" cm="1">
        <f t="array" ref="N848">_xlfn.XLOOKUP(TRIM(D848),TRIM(DFC!A:A),DFC!A:A,"NÃO ESTÁ NA DFC")</f>
        <v xml:space="preserve">      PEÇAS</v>
      </c>
    </row>
    <row r="849" spans="1:14" customFormat="1" ht="14.4" x14ac:dyDescent="0.3">
      <c r="A849" s="24"/>
      <c r="B849" s="21">
        <v>45999</v>
      </c>
      <c r="C849" s="91" t="s">
        <v>15</v>
      </c>
      <c r="D849" s="21" t="s">
        <v>19</v>
      </c>
      <c r="E849" s="20"/>
      <c r="F849" s="22" t="s">
        <v>455</v>
      </c>
      <c r="G849" s="285">
        <v>1453.73</v>
      </c>
      <c r="H849" s="1"/>
      <c r="I849" s="1">
        <f>COUNTIF(Tabela1[NF],Tabela1[[#This Row],[NF]])</f>
        <v>0</v>
      </c>
      <c r="K849" s="82">
        <f>Tabela1[[#This Row],[DT. VENCIMENTO]]</f>
        <v>45999</v>
      </c>
      <c r="N849" s="14" t="str" cm="1">
        <f t="array" ref="N849">_xlfn.XLOOKUP(TRIM(D849),TRIM(DFC!A:A),DFC!A:A,"NÃO ESTÁ NA DFC")</f>
        <v xml:space="preserve">      PEÇAS</v>
      </c>
    </row>
    <row r="850" spans="1:14" customFormat="1" ht="14.4" x14ac:dyDescent="0.3">
      <c r="A850" s="24"/>
      <c r="B850" s="21">
        <v>45999</v>
      </c>
      <c r="C850" s="91" t="s">
        <v>15</v>
      </c>
      <c r="D850" s="21" t="s">
        <v>19</v>
      </c>
      <c r="E850" s="20"/>
      <c r="F850" s="22" t="s">
        <v>301</v>
      </c>
      <c r="G850" s="285">
        <v>2864.4</v>
      </c>
      <c r="H850" s="1"/>
      <c r="I850" s="1">
        <f>COUNTIF(Tabela1[NF],Tabela1[[#This Row],[NF]])</f>
        <v>0</v>
      </c>
      <c r="K850" s="82">
        <f>Tabela1[[#This Row],[DT. VENCIMENTO]]</f>
        <v>45999</v>
      </c>
      <c r="N850" s="14" t="str" cm="1">
        <f t="array" ref="N850">_xlfn.XLOOKUP(TRIM(D850),TRIM(DFC!A:A),DFC!A:A,"NÃO ESTÁ NA DFC")</f>
        <v xml:space="preserve">      PEÇAS</v>
      </c>
    </row>
    <row r="851" spans="1:14" customFormat="1" ht="14.4" x14ac:dyDescent="0.3">
      <c r="A851" s="24"/>
      <c r="B851" s="21">
        <v>45999</v>
      </c>
      <c r="C851" s="91" t="s">
        <v>15</v>
      </c>
      <c r="D851" s="84" t="s">
        <v>37</v>
      </c>
      <c r="E851" s="20"/>
      <c r="F851" s="22" t="s">
        <v>341</v>
      </c>
      <c r="G851" s="285">
        <v>56.36</v>
      </c>
      <c r="H851" s="1"/>
      <c r="I851" s="1">
        <f>COUNTIF(Tabela1[NF],Tabela1[[#This Row],[NF]])</f>
        <v>0</v>
      </c>
      <c r="K851" s="82">
        <f>Tabela1[[#This Row],[DT. VENCIMENTO]]</f>
        <v>45999</v>
      </c>
      <c r="N851" s="14" t="str" cm="1">
        <f t="array" ref="N851">_xlfn.XLOOKUP(TRIM(D851),TRIM(DFC!A:A),DFC!A:A,"NÃO ESTÁ NA DFC")</f>
        <v xml:space="preserve">          MATERIAL DE ESCRITÓRIO</v>
      </c>
    </row>
    <row r="852" spans="1:14" customFormat="1" ht="14.4" x14ac:dyDescent="0.3">
      <c r="A852" s="24"/>
      <c r="B852" s="21">
        <v>45999</v>
      </c>
      <c r="C852" s="91" t="s">
        <v>15</v>
      </c>
      <c r="D852" s="21" t="s">
        <v>19</v>
      </c>
      <c r="E852" s="20"/>
      <c r="F852" s="22" t="s">
        <v>344</v>
      </c>
      <c r="G852" s="285">
        <v>4166.68</v>
      </c>
      <c r="H852" s="1"/>
      <c r="I852" s="1">
        <f>COUNTIF(Tabela1[NF],Tabela1[[#This Row],[NF]])</f>
        <v>0</v>
      </c>
      <c r="K852" s="82">
        <f>Tabela1[[#This Row],[DT. VENCIMENTO]]</f>
        <v>45999</v>
      </c>
      <c r="N852" s="14" t="str" cm="1">
        <f t="array" ref="N852">_xlfn.XLOOKUP(TRIM(D852),TRIM(DFC!A:A),DFC!A:A,"NÃO ESTÁ NA DFC")</f>
        <v xml:space="preserve">      PEÇAS</v>
      </c>
    </row>
    <row r="853" spans="1:14" customFormat="1" ht="14.4" x14ac:dyDescent="0.3">
      <c r="A853" s="24"/>
      <c r="B853" s="21">
        <v>45999</v>
      </c>
      <c r="C853" s="91" t="s">
        <v>15</v>
      </c>
      <c r="D853" s="21" t="s">
        <v>19</v>
      </c>
      <c r="E853" s="20"/>
      <c r="F853" s="22" t="s">
        <v>340</v>
      </c>
      <c r="G853" s="285">
        <v>12500.02</v>
      </c>
      <c r="H853" s="1"/>
      <c r="I853" s="1">
        <f>COUNTIF(Tabela1[NF],Tabela1[[#This Row],[NF]])</f>
        <v>0</v>
      </c>
      <c r="K853" s="82">
        <f>Tabela1[[#This Row],[DT. VENCIMENTO]]</f>
        <v>45999</v>
      </c>
      <c r="N853" s="14" t="str" cm="1">
        <f t="array" ref="N853">_xlfn.XLOOKUP(TRIM(D853),TRIM(DFC!A:A),DFC!A:A,"NÃO ESTÁ NA DFC")</f>
        <v xml:space="preserve">      PEÇAS</v>
      </c>
    </row>
    <row r="854" spans="1:14" customFormat="1" ht="14.4" x14ac:dyDescent="0.3">
      <c r="A854" s="24"/>
      <c r="B854" s="21">
        <v>45999</v>
      </c>
      <c r="C854" s="91" t="s">
        <v>15</v>
      </c>
      <c r="D854" s="21" t="s">
        <v>19</v>
      </c>
      <c r="E854" s="20"/>
      <c r="F854" s="22" t="s">
        <v>172</v>
      </c>
      <c r="G854" s="285">
        <v>8132.52</v>
      </c>
      <c r="H854" s="1"/>
      <c r="I854" s="1">
        <f>COUNTIF(Tabela1[NF],Tabela1[[#This Row],[NF]])</f>
        <v>0</v>
      </c>
      <c r="K854" s="82">
        <f>Tabela1[[#This Row],[DT. VENCIMENTO]]</f>
        <v>45999</v>
      </c>
      <c r="N854" s="14" t="str" cm="1">
        <f t="array" ref="N854">_xlfn.XLOOKUP(TRIM(D854),TRIM(DFC!A:A),DFC!A:A,"NÃO ESTÁ NA DFC")</f>
        <v xml:space="preserve">      PEÇAS</v>
      </c>
    </row>
    <row r="855" spans="1:14" customFormat="1" ht="14.4" x14ac:dyDescent="0.3">
      <c r="A855" s="24"/>
      <c r="B855" s="21">
        <v>45999</v>
      </c>
      <c r="C855" s="91" t="s">
        <v>15</v>
      </c>
      <c r="D855" s="21" t="s">
        <v>19</v>
      </c>
      <c r="E855" s="20"/>
      <c r="F855" s="22" t="s">
        <v>228</v>
      </c>
      <c r="G855" s="285">
        <v>1326.5</v>
      </c>
      <c r="H855" s="1"/>
      <c r="I855" s="1">
        <f>COUNTIF(Tabela1[NF],Tabela1[[#This Row],[NF]])</f>
        <v>0</v>
      </c>
      <c r="K855" s="82">
        <f>Tabela1[[#This Row],[DT. VENCIMENTO]]</f>
        <v>45999</v>
      </c>
      <c r="N855" s="14" t="str" cm="1">
        <f t="array" ref="N855">_xlfn.XLOOKUP(TRIM(D855),TRIM(DFC!A:A),DFC!A:A,"NÃO ESTÁ NA DFC")</f>
        <v xml:space="preserve">      PEÇAS</v>
      </c>
    </row>
    <row r="856" spans="1:14" customFormat="1" ht="14.4" x14ac:dyDescent="0.3">
      <c r="A856" s="24"/>
      <c r="B856" s="21">
        <v>45999</v>
      </c>
      <c r="C856" s="91" t="s">
        <v>15</v>
      </c>
      <c r="D856" s="21" t="s">
        <v>19</v>
      </c>
      <c r="E856" s="20"/>
      <c r="F856" s="22" t="s">
        <v>297</v>
      </c>
      <c r="G856" s="285">
        <v>319.5</v>
      </c>
      <c r="H856" s="1"/>
      <c r="I856" s="1">
        <f>COUNTIF(Tabela1[NF],Tabela1[[#This Row],[NF]])</f>
        <v>0</v>
      </c>
      <c r="K856" s="82">
        <f>Tabela1[[#This Row],[DT. VENCIMENTO]]</f>
        <v>45999</v>
      </c>
      <c r="N856" s="14" t="str" cm="1">
        <f t="array" ref="N856">_xlfn.XLOOKUP(TRIM(D856),TRIM(DFC!A:A),DFC!A:A,"NÃO ESTÁ NA DFC")</f>
        <v xml:space="preserve">      PEÇAS</v>
      </c>
    </row>
    <row r="857" spans="1:14" customFormat="1" ht="14.4" x14ac:dyDescent="0.3">
      <c r="A857" s="24"/>
      <c r="B857" s="21">
        <v>45999</v>
      </c>
      <c r="C857" s="91" t="s">
        <v>15</v>
      </c>
      <c r="D857" s="21" t="s">
        <v>19</v>
      </c>
      <c r="E857" s="20"/>
      <c r="F857" s="22" t="s">
        <v>300</v>
      </c>
      <c r="G857" s="285">
        <v>12112.67</v>
      </c>
      <c r="H857" s="1"/>
      <c r="I857" s="1">
        <f>COUNTIF(Tabela1[NF],Tabela1[[#This Row],[NF]])</f>
        <v>0</v>
      </c>
      <c r="K857" s="82">
        <f>Tabela1[[#This Row],[DT. VENCIMENTO]]</f>
        <v>45999</v>
      </c>
      <c r="N857" s="14" t="str" cm="1">
        <f t="array" ref="N857">_xlfn.XLOOKUP(TRIM(D857),TRIM(DFC!A:A),DFC!A:A,"NÃO ESTÁ NA DFC")</f>
        <v xml:space="preserve">      PEÇAS</v>
      </c>
    </row>
    <row r="858" spans="1:14" customFormat="1" ht="14.4" x14ac:dyDescent="0.3">
      <c r="A858" s="24"/>
      <c r="B858" s="21">
        <v>45999</v>
      </c>
      <c r="C858" s="91" t="s">
        <v>15</v>
      </c>
      <c r="D858" s="21" t="s">
        <v>19</v>
      </c>
      <c r="E858" s="20"/>
      <c r="F858" s="22" t="s">
        <v>301</v>
      </c>
      <c r="G858" s="285">
        <v>5445.8</v>
      </c>
      <c r="H858" s="1"/>
      <c r="I858" s="1">
        <f>COUNTIF(Tabela1[NF],Tabela1[[#This Row],[NF]])</f>
        <v>0</v>
      </c>
      <c r="K858" s="82">
        <f>Tabela1[[#This Row],[DT. VENCIMENTO]]</f>
        <v>45999</v>
      </c>
      <c r="N858" s="14" t="str" cm="1">
        <f t="array" ref="N858">_xlfn.XLOOKUP(TRIM(D858),TRIM(DFC!A:A),DFC!A:A,"NÃO ESTÁ NA DFC")</f>
        <v xml:space="preserve">      PEÇAS</v>
      </c>
    </row>
    <row r="859" spans="1:14" customFormat="1" ht="14.4" x14ac:dyDescent="0.3">
      <c r="A859" s="24"/>
      <c r="B859" s="21">
        <v>45999</v>
      </c>
      <c r="C859" s="91" t="s">
        <v>15</v>
      </c>
      <c r="D859" s="21" t="s">
        <v>19</v>
      </c>
      <c r="E859" s="20"/>
      <c r="F859" s="22" t="s">
        <v>172</v>
      </c>
      <c r="G859" s="285">
        <v>24397.56</v>
      </c>
      <c r="H859" s="1"/>
      <c r="I859" s="1">
        <f>COUNTIF(Tabela1[NF],Tabela1[[#This Row],[NF]])</f>
        <v>0</v>
      </c>
      <c r="K859" s="82">
        <f>Tabela1[[#This Row],[DT. VENCIMENTO]]</f>
        <v>45999</v>
      </c>
      <c r="N859" s="14" t="str" cm="1">
        <f t="array" ref="N859">_xlfn.XLOOKUP(TRIM(D859),TRIM(DFC!A:A),DFC!A:A,"NÃO ESTÁ NA DFC")</f>
        <v xml:space="preserve">      PEÇAS</v>
      </c>
    </row>
    <row r="860" spans="1:14" customFormat="1" ht="14.4" x14ac:dyDescent="0.3">
      <c r="A860" s="24"/>
      <c r="B860" s="21">
        <v>45999</v>
      </c>
      <c r="C860" s="91" t="s">
        <v>15</v>
      </c>
      <c r="D860" s="21" t="s">
        <v>19</v>
      </c>
      <c r="E860" s="20"/>
      <c r="F860" s="22" t="s">
        <v>300</v>
      </c>
      <c r="G860" s="285">
        <v>1211.27</v>
      </c>
      <c r="H860" s="1"/>
      <c r="I860" s="1">
        <f>COUNTIF(Tabela1[NF],Tabela1[[#This Row],[NF]])</f>
        <v>0</v>
      </c>
      <c r="K860" s="82">
        <f>Tabela1[[#This Row],[DT. VENCIMENTO]]</f>
        <v>45999</v>
      </c>
      <c r="N860" s="14" t="str" cm="1">
        <f t="array" ref="N860">_xlfn.XLOOKUP(TRIM(D860),TRIM(DFC!A:A),DFC!A:A,"NÃO ESTÁ NA DFC")</f>
        <v xml:space="preserve">      PEÇAS</v>
      </c>
    </row>
    <row r="861" spans="1:14" customFormat="1" ht="14.4" x14ac:dyDescent="0.3">
      <c r="A861" s="24"/>
      <c r="B861" s="21">
        <v>45999</v>
      </c>
      <c r="C861" s="91" t="s">
        <v>15</v>
      </c>
      <c r="D861" s="84" t="s">
        <v>19</v>
      </c>
      <c r="E861" s="20"/>
      <c r="F861" s="22" t="s">
        <v>224</v>
      </c>
      <c r="G861" s="285">
        <v>240</v>
      </c>
      <c r="H861" s="1"/>
      <c r="I861" s="1">
        <f>COUNTIF(Tabela1[NF],Tabela1[[#This Row],[NF]])</f>
        <v>0</v>
      </c>
      <c r="K861" s="82">
        <f>Tabela1[[#This Row],[DT. VENCIMENTO]]</f>
        <v>45999</v>
      </c>
      <c r="N861" s="14" t="str" cm="1">
        <f t="array" ref="N861">_xlfn.XLOOKUP(TRIM(D861),TRIM(DFC!A:A),DFC!A:A,"NÃO ESTÁ NA DFC")</f>
        <v xml:space="preserve">      PEÇAS</v>
      </c>
    </row>
    <row r="862" spans="1:14" customFormat="1" ht="14.4" x14ac:dyDescent="0.3">
      <c r="A862" s="19">
        <v>436655</v>
      </c>
      <c r="B862" s="21">
        <v>45999</v>
      </c>
      <c r="C862" s="91" t="s">
        <v>15</v>
      </c>
      <c r="D862" s="21" t="s">
        <v>19</v>
      </c>
      <c r="E862" s="20"/>
      <c r="F862" s="22" t="s">
        <v>30</v>
      </c>
      <c r="G862" s="285">
        <v>29585.46</v>
      </c>
      <c r="H862" s="1"/>
      <c r="I862" s="1">
        <f>COUNTIF(Tabela1[NF],Tabela1[[#This Row],[NF]])</f>
        <v>5</v>
      </c>
      <c r="K862" s="82">
        <f>Tabela1[[#This Row],[DT. VENCIMENTO]]</f>
        <v>45999</v>
      </c>
      <c r="N862" s="14" t="str" cm="1">
        <f t="array" ref="N862">_xlfn.XLOOKUP(TRIM(D862),TRIM(DFC!A:A),DFC!A:A,"NÃO ESTÁ NA DFC")</f>
        <v xml:space="preserve">      PEÇAS</v>
      </c>
    </row>
    <row r="863" spans="1:14" customFormat="1" ht="14.4" x14ac:dyDescent="0.3">
      <c r="A863" s="19">
        <v>619680</v>
      </c>
      <c r="B863" s="21">
        <v>45999</v>
      </c>
      <c r="C863" s="91" t="s">
        <v>15</v>
      </c>
      <c r="D863" s="21" t="s">
        <v>19</v>
      </c>
      <c r="E863" s="20"/>
      <c r="F863" s="22" t="s">
        <v>24</v>
      </c>
      <c r="G863" s="285">
        <v>1968</v>
      </c>
      <c r="H863" s="1"/>
      <c r="I863" s="1">
        <f>COUNTIF(Tabela1[NF],Tabela1[[#This Row],[NF]])</f>
        <v>3</v>
      </c>
      <c r="K863" s="82">
        <f>Tabela1[[#This Row],[DT. VENCIMENTO]]</f>
        <v>45999</v>
      </c>
      <c r="N863" s="14" t="str" cm="1">
        <f t="array" ref="N863">_xlfn.XLOOKUP(TRIM(D863),TRIM(DFC!A:A),DFC!A:A,"NÃO ESTÁ NA DFC")</f>
        <v xml:space="preserve">      PEÇAS</v>
      </c>
    </row>
    <row r="864" spans="1:14" customFormat="1" ht="14.4" x14ac:dyDescent="0.3">
      <c r="A864" s="19">
        <v>450711</v>
      </c>
      <c r="B864" s="21">
        <v>45999</v>
      </c>
      <c r="C864" s="91" t="s">
        <v>15</v>
      </c>
      <c r="D864" s="21" t="s">
        <v>19</v>
      </c>
      <c r="E864" s="20"/>
      <c r="F864" s="22" t="s">
        <v>310</v>
      </c>
      <c r="G864" s="285">
        <v>29854</v>
      </c>
      <c r="H864" s="1"/>
      <c r="I864" s="1">
        <f>COUNTIF(Tabela1[NF],Tabela1[[#This Row],[NF]])</f>
        <v>3</v>
      </c>
      <c r="K864" s="82">
        <f>Tabela1[[#This Row],[DT. VENCIMENTO]]</f>
        <v>45999</v>
      </c>
      <c r="N864" s="14" t="str" cm="1">
        <f t="array" ref="N864">_xlfn.XLOOKUP(TRIM(D864),TRIM(DFC!A:A),DFC!A:A,"NÃO ESTÁ NA DFC")</f>
        <v xml:space="preserve">      PEÇAS</v>
      </c>
    </row>
    <row r="865" spans="1:14" customFormat="1" ht="14.4" x14ac:dyDescent="0.3">
      <c r="A865" s="19">
        <v>449811</v>
      </c>
      <c r="B865" s="21">
        <v>45999</v>
      </c>
      <c r="C865" s="91" t="s">
        <v>15</v>
      </c>
      <c r="D865" s="21" t="s">
        <v>19</v>
      </c>
      <c r="E865" s="20"/>
      <c r="F865" s="22" t="s">
        <v>310</v>
      </c>
      <c r="G865" s="285">
        <v>7882</v>
      </c>
      <c r="H865" s="1"/>
      <c r="I865" s="1">
        <f>COUNTIF(Tabela1[NF],Tabela1[[#This Row],[NF]])</f>
        <v>3</v>
      </c>
      <c r="K865" s="82">
        <f>Tabela1[[#This Row],[DT. VENCIMENTO]]</f>
        <v>45999</v>
      </c>
      <c r="L865" s="92"/>
      <c r="M865" s="92"/>
      <c r="N865" s="14" t="str" cm="1">
        <f t="array" ref="N865">_xlfn.XLOOKUP(TRIM(D865),TRIM(DFC!A:A),DFC!A:A,"NÃO ESTÁ NA DFC")</f>
        <v xml:space="preserve">      PEÇAS</v>
      </c>
    </row>
    <row r="866" spans="1:14" customFormat="1" ht="14.4" x14ac:dyDescent="0.3">
      <c r="A866" s="19">
        <v>450697</v>
      </c>
      <c r="B866" s="21">
        <v>45999</v>
      </c>
      <c r="C866" s="91" t="s">
        <v>15</v>
      </c>
      <c r="D866" s="21" t="s">
        <v>19</v>
      </c>
      <c r="E866" s="20"/>
      <c r="F866" s="22" t="s">
        <v>310</v>
      </c>
      <c r="G866" s="285">
        <v>4370</v>
      </c>
      <c r="H866" s="1"/>
      <c r="I866" s="1">
        <f>COUNTIF(Tabela1[NF],Tabela1[[#This Row],[NF]])</f>
        <v>3</v>
      </c>
      <c r="K866" s="82">
        <f>Tabela1[[#This Row],[DT. VENCIMENTO]]</f>
        <v>45999</v>
      </c>
      <c r="N866" s="14" t="str" cm="1">
        <f t="array" ref="N866">_xlfn.XLOOKUP(TRIM(D866),TRIM(DFC!A:A),DFC!A:A,"NÃO ESTÁ NA DFC")</f>
        <v xml:space="preserve">      PEÇAS</v>
      </c>
    </row>
    <row r="867" spans="1:14" customFormat="1" ht="14.4" x14ac:dyDescent="0.3">
      <c r="A867" s="24"/>
      <c r="B867" s="21">
        <v>46000</v>
      </c>
      <c r="C867" s="91" t="s">
        <v>15</v>
      </c>
      <c r="D867" s="21" t="s">
        <v>19</v>
      </c>
      <c r="E867" s="20"/>
      <c r="F867" s="22" t="s">
        <v>405</v>
      </c>
      <c r="G867" s="285">
        <v>983.33</v>
      </c>
      <c r="H867" s="1"/>
      <c r="I867" s="1">
        <f>COUNTIF(Tabela1[NF],Tabela1[[#This Row],[NF]])</f>
        <v>0</v>
      </c>
      <c r="K867" s="82">
        <f>Tabela1[[#This Row],[DT. VENCIMENTO]]</f>
        <v>46000</v>
      </c>
      <c r="N867" s="14" t="str" cm="1">
        <f t="array" ref="N867">_xlfn.XLOOKUP(TRIM(D867),TRIM(DFC!A:A),DFC!A:A,"NÃO ESTÁ NA DFC")</f>
        <v xml:space="preserve">      PEÇAS</v>
      </c>
    </row>
    <row r="868" spans="1:14" customFormat="1" ht="14.4" x14ac:dyDescent="0.3">
      <c r="A868" s="24"/>
      <c r="B868" s="21">
        <v>46000</v>
      </c>
      <c r="C868" s="91" t="s">
        <v>15</v>
      </c>
      <c r="D868" s="21" t="s">
        <v>19</v>
      </c>
      <c r="E868" s="20"/>
      <c r="F868" s="22" t="s">
        <v>315</v>
      </c>
      <c r="G868" s="285">
        <v>1671.66</v>
      </c>
      <c r="H868" s="1"/>
      <c r="I868" s="1">
        <f>COUNTIF(Tabela1[NF],Tabela1[[#This Row],[NF]])</f>
        <v>0</v>
      </c>
      <c r="K868" s="82">
        <f>Tabela1[[#This Row],[DT. VENCIMENTO]]</f>
        <v>46000</v>
      </c>
      <c r="N868" s="14" t="str" cm="1">
        <f t="array" ref="N868">_xlfn.XLOOKUP(TRIM(D868),TRIM(DFC!A:A),DFC!A:A,"NÃO ESTÁ NA DFC")</f>
        <v xml:space="preserve">      PEÇAS</v>
      </c>
    </row>
    <row r="869" spans="1:14" customFormat="1" ht="14.4" x14ac:dyDescent="0.3">
      <c r="A869" s="24"/>
      <c r="B869" s="21">
        <v>46000</v>
      </c>
      <c r="C869" s="91" t="s">
        <v>15</v>
      </c>
      <c r="D869" s="21" t="s">
        <v>19</v>
      </c>
      <c r="E869" s="20"/>
      <c r="F869" s="22" t="s">
        <v>228</v>
      </c>
      <c r="G869" s="285">
        <v>3464.23</v>
      </c>
      <c r="H869" s="1"/>
      <c r="I869" s="1">
        <f>COUNTIF(Tabela1[NF],Tabela1[[#This Row],[NF]])</f>
        <v>0</v>
      </c>
      <c r="K869" s="82">
        <f>Tabela1[[#This Row],[DT. VENCIMENTO]]</f>
        <v>46000</v>
      </c>
      <c r="N869" s="14" t="str" cm="1">
        <f t="array" ref="N869">_xlfn.XLOOKUP(TRIM(D869),TRIM(DFC!A:A),DFC!A:A,"NÃO ESTÁ NA DFC")</f>
        <v xml:space="preserve">      PEÇAS</v>
      </c>
    </row>
    <row r="870" spans="1:14" customFormat="1" ht="14.4" x14ac:dyDescent="0.3">
      <c r="A870" s="24"/>
      <c r="B870" s="21">
        <v>46000</v>
      </c>
      <c r="C870" s="91" t="s">
        <v>15</v>
      </c>
      <c r="D870" s="21" t="s">
        <v>19</v>
      </c>
      <c r="E870" s="20"/>
      <c r="F870" s="22" t="s">
        <v>315</v>
      </c>
      <c r="G870" s="285">
        <v>5014.99</v>
      </c>
      <c r="H870" s="1"/>
      <c r="I870" s="1">
        <f>COUNTIF(Tabela1[NF],Tabela1[[#This Row],[NF]])</f>
        <v>0</v>
      </c>
      <c r="K870" s="82">
        <f>Tabela1[[#This Row],[DT. VENCIMENTO]]</f>
        <v>46000</v>
      </c>
      <c r="N870" s="14" t="str" cm="1">
        <f t="array" ref="N870">_xlfn.XLOOKUP(TRIM(D870),TRIM(DFC!A:A),DFC!A:A,"NÃO ESTÁ NA DFC")</f>
        <v xml:space="preserve">      PEÇAS</v>
      </c>
    </row>
    <row r="871" spans="1:14" customFormat="1" ht="14.4" x14ac:dyDescent="0.3">
      <c r="A871" s="24"/>
      <c r="B871" s="21">
        <v>46000</v>
      </c>
      <c r="C871" s="91" t="s">
        <v>15</v>
      </c>
      <c r="D871" s="21" t="s">
        <v>19</v>
      </c>
      <c r="E871" s="20"/>
      <c r="F871" s="22" t="s">
        <v>405</v>
      </c>
      <c r="G871" s="285">
        <v>2950</v>
      </c>
      <c r="H871" s="1"/>
      <c r="I871" s="1">
        <f>COUNTIF(Tabela1[NF],Tabela1[[#This Row],[NF]])</f>
        <v>0</v>
      </c>
      <c r="K871" s="82">
        <f>Tabela1[[#This Row],[DT. VENCIMENTO]]</f>
        <v>46000</v>
      </c>
      <c r="N871" s="14" t="str" cm="1">
        <f t="array" ref="N871">_xlfn.XLOOKUP(TRIM(D871),TRIM(DFC!A:A),DFC!A:A,"NÃO ESTÁ NA DFC")</f>
        <v xml:space="preserve">      PEÇAS</v>
      </c>
    </row>
    <row r="872" spans="1:14" customFormat="1" ht="14.4" x14ac:dyDescent="0.3">
      <c r="A872" s="24"/>
      <c r="B872" s="21">
        <v>46000</v>
      </c>
      <c r="C872" s="91" t="s">
        <v>15</v>
      </c>
      <c r="D872" s="21" t="s">
        <v>19</v>
      </c>
      <c r="E872" s="20"/>
      <c r="F872" s="22" t="s">
        <v>300</v>
      </c>
      <c r="G872" s="285">
        <v>5970.24</v>
      </c>
      <c r="H872" s="1"/>
      <c r="I872" s="1">
        <f>COUNTIF(Tabela1[NF],Tabela1[[#This Row],[NF]])</f>
        <v>0</v>
      </c>
      <c r="K872" s="82">
        <f>Tabela1[[#This Row],[DT. VENCIMENTO]]</f>
        <v>46000</v>
      </c>
      <c r="N872" s="14" t="str" cm="1">
        <f t="array" ref="N872">_xlfn.XLOOKUP(TRIM(D872),TRIM(DFC!A:A),DFC!A:A,"NÃO ESTÁ NA DFC")</f>
        <v xml:space="preserve">      PEÇAS</v>
      </c>
    </row>
    <row r="873" spans="1:14" customFormat="1" ht="14.4" x14ac:dyDescent="0.3">
      <c r="A873" s="24"/>
      <c r="B873" s="21">
        <v>46000</v>
      </c>
      <c r="C873" s="91" t="s">
        <v>15</v>
      </c>
      <c r="D873" s="21" t="s">
        <v>72</v>
      </c>
      <c r="E873" s="20"/>
      <c r="F873" s="22" t="s">
        <v>380</v>
      </c>
      <c r="G873" s="285">
        <v>532.99</v>
      </c>
      <c r="H873" s="1"/>
      <c r="I873" s="1">
        <f>COUNTIF(Tabela1[NF],Tabela1[[#This Row],[NF]])</f>
        <v>0</v>
      </c>
      <c r="K873" s="82">
        <f>Tabela1[[#This Row],[DT. VENCIMENTO]]</f>
        <v>46000</v>
      </c>
      <c r="N873" s="14" t="str" cm="1">
        <f t="array" ref="N873">_xlfn.XLOOKUP(TRIM(D873),TRIM(DFC!A:A),DFC!A:A,"NÃO ESTÁ NA DFC")</f>
        <v xml:space="preserve">          COMBUSTÍVEL</v>
      </c>
    </row>
    <row r="874" spans="1:14" customFormat="1" ht="14.4" x14ac:dyDescent="0.3">
      <c r="A874" s="24"/>
      <c r="B874" s="21">
        <v>46000</v>
      </c>
      <c r="C874" s="91" t="s">
        <v>15</v>
      </c>
      <c r="D874" s="84" t="s">
        <v>98</v>
      </c>
      <c r="E874" s="20" t="s">
        <v>307</v>
      </c>
      <c r="F874" s="22" t="s">
        <v>480</v>
      </c>
      <c r="G874" s="285">
        <v>100</v>
      </c>
      <c r="H874" s="1"/>
      <c r="I874" s="1">
        <f>COUNTIF(Tabela1[NF],Tabela1[[#This Row],[NF]])</f>
        <v>0</v>
      </c>
      <c r="K874" s="82">
        <f>Tabela1[[#This Row],[DT. VENCIMENTO]]</f>
        <v>46000</v>
      </c>
      <c r="N874" s="14" t="str" cm="1">
        <f t="array" ref="N874">_xlfn.XLOOKUP(TRIM(D874),TRIM(DFC!A:A),DFC!A:A,"NÃO ESTÁ NA DFC")</f>
        <v xml:space="preserve">     REEMBOLSO SAC</v>
      </c>
    </row>
    <row r="875" spans="1:14" customFormat="1" ht="14.4" x14ac:dyDescent="0.3">
      <c r="A875" s="24"/>
      <c r="B875" s="21">
        <v>46001</v>
      </c>
      <c r="C875" s="91" t="s">
        <v>15</v>
      </c>
      <c r="D875" s="84" t="s">
        <v>19</v>
      </c>
      <c r="E875" s="20" t="s">
        <v>481</v>
      </c>
      <c r="F875" s="22" t="s">
        <v>103</v>
      </c>
      <c r="G875" s="285">
        <v>20167.37</v>
      </c>
      <c r="H875" s="1"/>
      <c r="I875" s="1">
        <f>COUNTIF(Tabela1[NF],Tabela1[[#This Row],[NF]])</f>
        <v>0</v>
      </c>
      <c r="K875" s="82">
        <f>Tabela1[[#This Row],[DT. VENCIMENTO]]</f>
        <v>46001</v>
      </c>
      <c r="N875" s="14" t="str" cm="1">
        <f t="array" ref="N875">_xlfn.XLOOKUP(TRIM(D875),TRIM(DFC!A:A),DFC!A:A,"NÃO ESTÁ NA DFC")</f>
        <v xml:space="preserve">      PEÇAS</v>
      </c>
    </row>
    <row r="876" spans="1:14" customFormat="1" ht="14.4" x14ac:dyDescent="0.3">
      <c r="A876" s="24"/>
      <c r="B876" s="21">
        <v>46001</v>
      </c>
      <c r="C876" s="91" t="s">
        <v>15</v>
      </c>
      <c r="D876" s="84" t="s">
        <v>96</v>
      </c>
      <c r="E876" s="20"/>
      <c r="F876" s="22" t="s">
        <v>346</v>
      </c>
      <c r="G876" s="285">
        <v>68.12</v>
      </c>
      <c r="H876" s="1"/>
      <c r="I876" s="1">
        <f>COUNTIF(Tabela1[NF],Tabela1[[#This Row],[NF]])</f>
        <v>0</v>
      </c>
      <c r="K876" s="82">
        <f>Tabela1[[#This Row],[DT. VENCIMENTO]]</f>
        <v>46001</v>
      </c>
      <c r="N876" s="14" t="str" cm="1">
        <f t="array" ref="N876">_xlfn.XLOOKUP(TRIM(D876),TRIM(DFC!A:A),DFC!A:A,"NÃO ESTÁ NA DFC")</f>
        <v xml:space="preserve">           JUROS CHEQUE ESPECIAL</v>
      </c>
    </row>
    <row r="877" spans="1:14" customFormat="1" ht="14.4" x14ac:dyDescent="0.3">
      <c r="A877" s="24"/>
      <c r="B877" s="21">
        <v>46001</v>
      </c>
      <c r="C877" s="91" t="s">
        <v>15</v>
      </c>
      <c r="D877" s="21" t="s">
        <v>123</v>
      </c>
      <c r="E877" s="20"/>
      <c r="F877" s="22" t="s">
        <v>338</v>
      </c>
      <c r="G877" s="285">
        <v>165.2</v>
      </c>
      <c r="H877" s="1"/>
      <c r="I877" s="1">
        <f>COUNTIF(Tabela1[NF],Tabela1[[#This Row],[NF]])</f>
        <v>0</v>
      </c>
      <c r="K877" s="82">
        <f>Tabela1[[#This Row],[DT. VENCIMENTO]]</f>
        <v>46001</v>
      </c>
      <c r="N877" s="14" t="str" cm="1">
        <f t="array" ref="N877">_xlfn.XLOOKUP(TRIM(D877),TRIM(DFC!A:A),DFC!A:A,"NÃO ESTÁ NA DFC")</f>
        <v xml:space="preserve">          SEGURO DE VIDA</v>
      </c>
    </row>
    <row r="878" spans="1:14" customFormat="1" ht="14.4" x14ac:dyDescent="0.3">
      <c r="A878" s="24"/>
      <c r="B878" s="21">
        <v>46001</v>
      </c>
      <c r="C878" s="91" t="s">
        <v>15</v>
      </c>
      <c r="D878" s="21" t="s">
        <v>111</v>
      </c>
      <c r="E878" s="20"/>
      <c r="F878" s="22" t="s">
        <v>114</v>
      </c>
      <c r="G878" s="285">
        <v>20.170000000000002</v>
      </c>
      <c r="H878" s="1"/>
      <c r="I878" s="1">
        <f>COUNTIF(Tabela1[NF],Tabela1[[#This Row],[NF]])</f>
        <v>0</v>
      </c>
      <c r="K878" s="82">
        <f>Tabela1[[#This Row],[DT. VENCIMENTO]]</f>
        <v>46001</v>
      </c>
      <c r="N878" s="14" t="str" cm="1">
        <f t="array" ref="N878">_xlfn.XLOOKUP(TRIM(D878),TRIM(DFC!A:A),DFC!A:A,"NÃO ESTÁ NA DFC")</f>
        <v xml:space="preserve">          TX. BANCÁRIA</v>
      </c>
    </row>
    <row r="879" spans="1:14" customFormat="1" ht="14.4" x14ac:dyDescent="0.3">
      <c r="A879" s="24"/>
      <c r="B879" s="21">
        <v>46001</v>
      </c>
      <c r="C879" s="91" t="s">
        <v>15</v>
      </c>
      <c r="D879" s="21" t="s">
        <v>19</v>
      </c>
      <c r="E879" s="20"/>
      <c r="F879" s="22" t="s">
        <v>343</v>
      </c>
      <c r="G879" s="285">
        <v>888.36</v>
      </c>
      <c r="H879" s="1"/>
      <c r="I879" s="1">
        <f>COUNTIF(Tabela1[NF],Tabela1[[#This Row],[NF]])</f>
        <v>0</v>
      </c>
      <c r="K879" s="82">
        <f>Tabela1[[#This Row],[DT. VENCIMENTO]]</f>
        <v>46001</v>
      </c>
      <c r="N879" s="14" t="str" cm="1">
        <f t="array" ref="N879">_xlfn.XLOOKUP(TRIM(D879),TRIM(DFC!A:A),DFC!A:A,"NÃO ESTÁ NA DFC")</f>
        <v xml:space="preserve">      PEÇAS</v>
      </c>
    </row>
    <row r="880" spans="1:14" customFormat="1" ht="14.4" x14ac:dyDescent="0.3">
      <c r="A880" s="24"/>
      <c r="B880" s="21">
        <v>46001</v>
      </c>
      <c r="C880" s="91" t="s">
        <v>15</v>
      </c>
      <c r="D880" s="21" t="s">
        <v>19</v>
      </c>
      <c r="E880" s="20"/>
      <c r="F880" s="22" t="s">
        <v>300</v>
      </c>
      <c r="G880" s="285">
        <v>5970.21</v>
      </c>
      <c r="H880" s="1"/>
      <c r="I880" s="1">
        <f>COUNTIF(Tabela1[NF],Tabela1[[#This Row],[NF]])</f>
        <v>0</v>
      </c>
      <c r="K880" s="82">
        <f>Tabela1[[#This Row],[DT. VENCIMENTO]]</f>
        <v>46001</v>
      </c>
      <c r="N880" s="14" t="str" cm="1">
        <f t="array" ref="N880">_xlfn.XLOOKUP(TRIM(D880),TRIM(DFC!A:A),DFC!A:A,"NÃO ESTÁ NA DFC")</f>
        <v xml:space="preserve">      PEÇAS</v>
      </c>
    </row>
    <row r="881" spans="1:14" customFormat="1" ht="14.4" x14ac:dyDescent="0.3">
      <c r="A881" s="24"/>
      <c r="B881" s="21">
        <v>46001</v>
      </c>
      <c r="C881" s="91" t="s">
        <v>15</v>
      </c>
      <c r="D881" s="21" t="s">
        <v>28</v>
      </c>
      <c r="E881" s="20"/>
      <c r="F881" s="22" t="s">
        <v>187</v>
      </c>
      <c r="G881" s="285">
        <v>250</v>
      </c>
      <c r="H881" s="1"/>
      <c r="I881" s="1">
        <f>COUNTIF(Tabela1[NF],Tabela1[[#This Row],[NF]])</f>
        <v>0</v>
      </c>
      <c r="K881" s="82">
        <f>Tabela1[[#This Row],[DT. VENCIMENTO]]</f>
        <v>46001</v>
      </c>
      <c r="N881" s="14" t="str" cm="1">
        <f t="array" ref="N881">_xlfn.XLOOKUP(TRIM(D881),TRIM(DFC!A:A),DFC!A:A,"NÃO ESTÁ NA DFC")</f>
        <v xml:space="preserve">          FERRAMENTAS PARA MANUTENÇÃO</v>
      </c>
    </row>
    <row r="882" spans="1:14" customFormat="1" ht="14.4" x14ac:dyDescent="0.3">
      <c r="A882" s="24"/>
      <c r="B882" s="21">
        <v>46001</v>
      </c>
      <c r="C882" s="91" t="s">
        <v>15</v>
      </c>
      <c r="D882" s="21" t="s">
        <v>154</v>
      </c>
      <c r="E882" s="20"/>
      <c r="F882" s="22" t="s">
        <v>394</v>
      </c>
      <c r="G882" s="285">
        <v>1034.25</v>
      </c>
      <c r="H882" s="1"/>
      <c r="I882" s="1">
        <f>COUNTIF(Tabela1[NF],Tabela1[[#This Row],[NF]])</f>
        <v>0</v>
      </c>
      <c r="K882" s="82">
        <f>Tabela1[[#This Row],[DT. VENCIMENTO]]</f>
        <v>46001</v>
      </c>
      <c r="N882" s="14" t="str" cm="1">
        <f t="array" ref="N882">_xlfn.XLOOKUP(TRIM(D882),TRIM(DFC!A:A),DFC!A:A,"NÃO ESTÁ NA DFC")</f>
        <v xml:space="preserve">      EMBALAGENS</v>
      </c>
    </row>
    <row r="883" spans="1:14" customFormat="1" ht="14.4" x14ac:dyDescent="0.3">
      <c r="A883" s="24"/>
      <c r="B883" s="21">
        <v>46001</v>
      </c>
      <c r="C883" s="91" t="s">
        <v>15</v>
      </c>
      <c r="D883" s="21" t="s">
        <v>154</v>
      </c>
      <c r="E883" s="20"/>
      <c r="F883" s="22" t="s">
        <v>303</v>
      </c>
      <c r="G883" s="285">
        <v>229.35</v>
      </c>
      <c r="H883" s="1"/>
      <c r="I883" s="1">
        <f>COUNTIF(Tabela1[NF],Tabela1[[#This Row],[NF]])</f>
        <v>0</v>
      </c>
      <c r="K883" s="26">
        <f>Tabela1[[#This Row],[DT. VENCIMENTO]]</f>
        <v>46001</v>
      </c>
      <c r="N883" s="14" t="str" cm="1">
        <f t="array" ref="N883">_xlfn.XLOOKUP(TRIM(D883),TRIM(DFC!A:A),DFC!A:A,"NÃO ESTÁ NA DFC")</f>
        <v xml:space="preserve">      EMBALAGENS</v>
      </c>
    </row>
    <row r="884" spans="1:14" customFormat="1" ht="14.4" x14ac:dyDescent="0.3">
      <c r="A884" s="24"/>
      <c r="B884" s="21">
        <v>46001</v>
      </c>
      <c r="C884" s="91" t="s">
        <v>15</v>
      </c>
      <c r="D884" s="84" t="s">
        <v>19</v>
      </c>
      <c r="E884" s="20"/>
      <c r="F884" s="22" t="s">
        <v>195</v>
      </c>
      <c r="G884" s="285">
        <v>744.87</v>
      </c>
      <c r="H884" s="1"/>
      <c r="I884" s="1">
        <f>COUNTIF(Tabela1[NF],Tabela1[[#This Row],[NF]])</f>
        <v>0</v>
      </c>
      <c r="K884" s="26">
        <f>Tabela1[[#This Row],[DT. VENCIMENTO]]</f>
        <v>46001</v>
      </c>
      <c r="N884" s="14" t="str" cm="1">
        <f t="array" ref="N884">_xlfn.XLOOKUP(TRIM(D884),TRIM(DFC!A:A),DFC!A:A,"NÃO ESTÁ NA DFC")</f>
        <v xml:space="preserve">      PEÇAS</v>
      </c>
    </row>
    <row r="885" spans="1:14" customFormat="1" ht="14.4" x14ac:dyDescent="0.3">
      <c r="A885" s="24"/>
      <c r="B885" s="21">
        <v>46001</v>
      </c>
      <c r="C885" s="91" t="s">
        <v>15</v>
      </c>
      <c r="D885" s="21" t="s">
        <v>40</v>
      </c>
      <c r="E885" s="20" t="s">
        <v>181</v>
      </c>
      <c r="F885" s="22" t="s">
        <v>342</v>
      </c>
      <c r="G885" s="285">
        <v>120</v>
      </c>
      <c r="H885" s="1"/>
      <c r="I885" s="1">
        <f>COUNTIF(Tabela1[NF],Tabela1[[#This Row],[NF]])</f>
        <v>0</v>
      </c>
      <c r="K885" s="82">
        <f>Tabela1[[#This Row],[DT. VENCIMENTO]]</f>
        <v>46001</v>
      </c>
      <c r="N885" s="14" t="str" cm="1">
        <f t="array" ref="N885">_xlfn.XLOOKUP(TRIM(D885),TRIM(DFC!A:A),DFC!A:A,"NÃO ESTÁ NA DFC")</f>
        <v xml:space="preserve">         SERVIÇO TERCEIRIZADO</v>
      </c>
    </row>
    <row r="886" spans="1:14" customFormat="1" ht="14.4" x14ac:dyDescent="0.3">
      <c r="A886" s="24"/>
      <c r="B886" s="21">
        <v>46001</v>
      </c>
      <c r="C886" s="91" t="s">
        <v>15</v>
      </c>
      <c r="D886" s="21" t="s">
        <v>19</v>
      </c>
      <c r="E886" s="20" t="s">
        <v>482</v>
      </c>
      <c r="F886" s="22" t="s">
        <v>483</v>
      </c>
      <c r="G886" s="285">
        <v>1879.16</v>
      </c>
      <c r="H886" s="1"/>
      <c r="I886" s="1">
        <f>COUNTIF(Tabela1[NF],Tabela1[[#This Row],[NF]])</f>
        <v>0</v>
      </c>
      <c r="K886" s="82">
        <f>Tabela1[[#This Row],[DT. VENCIMENTO]]</f>
        <v>46001</v>
      </c>
      <c r="N886" s="14" t="str" cm="1">
        <f t="array" ref="N886">_xlfn.XLOOKUP(TRIM(D886),TRIM(DFC!A:A),DFC!A:A,"NÃO ESTÁ NA DFC")</f>
        <v xml:space="preserve">      PEÇAS</v>
      </c>
    </row>
    <row r="887" spans="1:14" customFormat="1" ht="14.4" x14ac:dyDescent="0.3">
      <c r="A887" s="24"/>
      <c r="B887" s="21">
        <v>46001</v>
      </c>
      <c r="C887" s="91" t="s">
        <v>15</v>
      </c>
      <c r="D887" s="21" t="s">
        <v>27</v>
      </c>
      <c r="E887" s="20"/>
      <c r="F887" s="22" t="s">
        <v>227</v>
      </c>
      <c r="G887" s="285">
        <v>2093.3200000000002</v>
      </c>
      <c r="H887" s="1"/>
      <c r="I887" s="1">
        <f>COUNTIF(Tabela1[NF],Tabela1[[#This Row],[NF]])</f>
        <v>0</v>
      </c>
      <c r="K887" s="82">
        <f>Tabela1[[#This Row],[DT. VENCIMENTO]]</f>
        <v>46001</v>
      </c>
      <c r="N887" s="14" t="str" cm="1">
        <f t="array" ref="N887">_xlfn.XLOOKUP(TRIM(D887),TRIM(DFC!A:A),DFC!A:A,"NÃO ESTÁ NA DFC")</f>
        <v xml:space="preserve">         ERP</v>
      </c>
    </row>
    <row r="888" spans="1:14" customFormat="1" ht="14.4" x14ac:dyDescent="0.3">
      <c r="A888" s="24"/>
      <c r="B888" s="21">
        <v>46001</v>
      </c>
      <c r="C888" s="91" t="s">
        <v>15</v>
      </c>
      <c r="D888" s="21" t="s">
        <v>41</v>
      </c>
      <c r="E888" s="20"/>
      <c r="F888" s="22" t="s">
        <v>345</v>
      </c>
      <c r="G888" s="285">
        <v>76.5</v>
      </c>
      <c r="H888" s="1"/>
      <c r="I888" s="1">
        <f>COUNTIF(Tabela1[NF],Tabela1[[#This Row],[NF]])</f>
        <v>0</v>
      </c>
      <c r="K888" s="82">
        <f>Tabela1[[#This Row],[DT. VENCIMENTO]]</f>
        <v>46001</v>
      </c>
      <c r="N888" s="14" t="str" cm="1">
        <f t="array" ref="N888">_xlfn.XLOOKUP(TRIM(D888),TRIM(DFC!A:A),DFC!A:A,"NÃO ESTÁ NA DFC")</f>
        <v xml:space="preserve">         T.I</v>
      </c>
    </row>
    <row r="889" spans="1:14" customFormat="1" ht="14.4" x14ac:dyDescent="0.3">
      <c r="A889" s="24"/>
      <c r="B889" s="21">
        <v>46001</v>
      </c>
      <c r="C889" s="91" t="s">
        <v>15</v>
      </c>
      <c r="D889" s="21" t="s">
        <v>19</v>
      </c>
      <c r="E889" s="20"/>
      <c r="F889" s="22" t="s">
        <v>186</v>
      </c>
      <c r="G889" s="285">
        <v>325</v>
      </c>
      <c r="H889" s="1"/>
      <c r="I889" s="1">
        <f>COUNTIF(Tabela1[NF],Tabela1[[#This Row],[NF]])</f>
        <v>0</v>
      </c>
      <c r="K889" s="82">
        <f>Tabela1[[#This Row],[DT. VENCIMENTO]]</f>
        <v>46001</v>
      </c>
      <c r="N889" s="14" t="str" cm="1">
        <f t="array" ref="N889">_xlfn.XLOOKUP(TRIM(D889),TRIM(DFC!A:A),DFC!A:A,"NÃO ESTÁ NA DFC")</f>
        <v xml:space="preserve">      PEÇAS</v>
      </c>
    </row>
    <row r="890" spans="1:14" customFormat="1" ht="14.4" x14ac:dyDescent="0.3">
      <c r="A890" s="24"/>
      <c r="B890" s="21">
        <v>46001</v>
      </c>
      <c r="C890" s="91" t="s">
        <v>15</v>
      </c>
      <c r="D890" s="21" t="s">
        <v>156</v>
      </c>
      <c r="E890" s="20" t="s">
        <v>157</v>
      </c>
      <c r="F890" s="22" t="s">
        <v>314</v>
      </c>
      <c r="G890" s="285">
        <v>4732.5</v>
      </c>
      <c r="H890" s="1"/>
      <c r="I890" s="1">
        <f>COUNTIF(Tabela1[NF],Tabela1[[#This Row],[NF]])</f>
        <v>0</v>
      </c>
      <c r="K890" s="82">
        <f>Tabela1[[#This Row],[DT. VENCIMENTO]]</f>
        <v>46001</v>
      </c>
      <c r="N890" s="14" t="str" cm="1">
        <f t="array" ref="N890">_xlfn.XLOOKUP(TRIM(D890),TRIM(DFC!A:A),DFC!A:A,"NÃO ESTÁ NA DFC")</f>
        <v xml:space="preserve">      MONTAGEM DE RODAS</v>
      </c>
    </row>
    <row r="891" spans="1:14" customFormat="1" ht="14.4" x14ac:dyDescent="0.3">
      <c r="A891" s="24"/>
      <c r="B891" s="21">
        <v>46001</v>
      </c>
      <c r="C891" s="91" t="s">
        <v>15</v>
      </c>
      <c r="D891" s="84" t="s">
        <v>29</v>
      </c>
      <c r="E891" s="20" t="s">
        <v>449</v>
      </c>
      <c r="F891" s="22" t="s">
        <v>450</v>
      </c>
      <c r="G891" s="285">
        <v>700</v>
      </c>
      <c r="H891" s="1"/>
      <c r="I891" s="1">
        <f>COUNTIF(Tabela1[NF],Tabela1[[#This Row],[NF]])</f>
        <v>0</v>
      </c>
      <c r="K891" s="82">
        <f>Tabela1[[#This Row],[DT. VENCIMENTO]]</f>
        <v>46001</v>
      </c>
      <c r="N891" s="14" t="str" cm="1">
        <f t="array" ref="N891">_xlfn.XLOOKUP(TRIM(D891),TRIM(DFC!A:A),DFC!A:A,"NÃO ESTÁ NA DFC")</f>
        <v xml:space="preserve">      FRETE DE SAÍDA</v>
      </c>
    </row>
    <row r="892" spans="1:14" customFormat="1" ht="14.4" x14ac:dyDescent="0.3">
      <c r="A892" s="24"/>
      <c r="B892" s="21">
        <v>46001</v>
      </c>
      <c r="C892" s="91" t="s">
        <v>15</v>
      </c>
      <c r="D892" s="84" t="s">
        <v>98</v>
      </c>
      <c r="E892" s="20" t="s">
        <v>307</v>
      </c>
      <c r="F892" s="22" t="s">
        <v>484</v>
      </c>
      <c r="G892" s="285">
        <v>120</v>
      </c>
      <c r="H892" s="1"/>
      <c r="I892" s="1">
        <f>COUNTIF(Tabela1[NF],Tabela1[[#This Row],[NF]])</f>
        <v>0</v>
      </c>
      <c r="K892" s="82">
        <f>Tabela1[[#This Row],[DT. VENCIMENTO]]</f>
        <v>46001</v>
      </c>
      <c r="N892" s="14" t="str" cm="1">
        <f t="array" ref="N892">_xlfn.XLOOKUP(TRIM(D892),TRIM(DFC!A:A),DFC!A:A,"NÃO ESTÁ NA DFC")</f>
        <v xml:space="preserve">     REEMBOLSO SAC</v>
      </c>
    </row>
    <row r="893" spans="1:14" customFormat="1" ht="14.4" x14ac:dyDescent="0.3">
      <c r="A893" s="24"/>
      <c r="B893" s="21">
        <v>46001</v>
      </c>
      <c r="C893" s="91" t="s">
        <v>15</v>
      </c>
      <c r="D893" s="21" t="s">
        <v>29</v>
      </c>
      <c r="E893" s="20"/>
      <c r="F893" s="22" t="s">
        <v>168</v>
      </c>
      <c r="G893" s="285">
        <v>65</v>
      </c>
      <c r="H893" s="1"/>
      <c r="I893" s="1">
        <f>COUNTIF(Tabela1[NF],Tabela1[[#This Row],[NF]])</f>
        <v>0</v>
      </c>
      <c r="K893" s="82">
        <f>Tabela1[[#This Row],[DT. VENCIMENTO]]</f>
        <v>46001</v>
      </c>
      <c r="N893" s="14" t="str" cm="1">
        <f t="array" ref="N893">_xlfn.XLOOKUP(TRIM(D893),TRIM(DFC!A:A),DFC!A:A,"NÃO ESTÁ NA DFC")</f>
        <v xml:space="preserve">      FRETE DE SAÍDA</v>
      </c>
    </row>
    <row r="894" spans="1:14" customFormat="1" ht="14.4" x14ac:dyDescent="0.3">
      <c r="A894" s="24"/>
      <c r="B894" s="21">
        <v>46001</v>
      </c>
      <c r="C894" s="91" t="s">
        <v>15</v>
      </c>
      <c r="D894" s="21" t="s">
        <v>386</v>
      </c>
      <c r="E894" s="20"/>
      <c r="F894" s="22" t="s">
        <v>485</v>
      </c>
      <c r="G894" s="285">
        <v>8477.9500000000007</v>
      </c>
      <c r="H894" s="1"/>
      <c r="I894" s="1">
        <f>COUNTIF(Tabela1[NF],Tabela1[[#This Row],[NF]])</f>
        <v>0</v>
      </c>
      <c r="K894" s="82">
        <f>Tabela1[[#This Row],[DT. VENCIMENTO]]</f>
        <v>46001</v>
      </c>
      <c r="N894" s="14" t="str" cm="1">
        <f t="array" ref="N894">_xlfn.XLOOKUP(TRIM(D894),TRIM(DFC!A:A),DFC!A:A,"NÃO ESTÁ NA DFC")</f>
        <v xml:space="preserve">          MATERIAIS DE USO E CONSUMO</v>
      </c>
    </row>
    <row r="895" spans="1:14" customFormat="1" ht="14.4" x14ac:dyDescent="0.3">
      <c r="A895" s="24"/>
      <c r="B895" s="21">
        <v>46001</v>
      </c>
      <c r="C895" s="91" t="s">
        <v>15</v>
      </c>
      <c r="D895" s="21" t="s">
        <v>486</v>
      </c>
      <c r="E895" s="20"/>
      <c r="F895" s="22" t="s">
        <v>487</v>
      </c>
      <c r="G895" s="285">
        <v>156.18</v>
      </c>
      <c r="H895" s="1"/>
      <c r="I895" s="1">
        <f>COUNTIF(Tabela1[NF],Tabela1[[#This Row],[NF]])</f>
        <v>0</v>
      </c>
      <c r="K895" s="82">
        <f>Tabela1[[#This Row],[DT. VENCIMENTO]]</f>
        <v>46001</v>
      </c>
      <c r="N895" s="14" t="str" cm="1">
        <f t="array" ref="N895">_xlfn.XLOOKUP(TRIM(D895),TRIM(DFC!A:A),DFC!A:A,"NÃO ESTÁ NA DFC")</f>
        <v xml:space="preserve">          DETRAN</v>
      </c>
    </row>
    <row r="896" spans="1:14" customFormat="1" ht="14.4" x14ac:dyDescent="0.3">
      <c r="A896" s="24"/>
      <c r="B896" s="21">
        <v>46001</v>
      </c>
      <c r="C896" s="91" t="s">
        <v>15</v>
      </c>
      <c r="D896" s="21" t="s">
        <v>486</v>
      </c>
      <c r="E896" s="20"/>
      <c r="F896" s="22" t="s">
        <v>487</v>
      </c>
      <c r="G896" s="285">
        <v>131.46</v>
      </c>
      <c r="H896" s="1"/>
      <c r="I896" s="1">
        <f>COUNTIF(Tabela1[NF],Tabela1[[#This Row],[NF]])</f>
        <v>0</v>
      </c>
      <c r="K896" s="82">
        <f>Tabela1[[#This Row],[DT. VENCIMENTO]]</f>
        <v>46001</v>
      </c>
      <c r="N896" s="14" t="str" cm="1">
        <f t="array" ref="N896">_xlfn.XLOOKUP(TRIM(D896),TRIM(DFC!A:A),DFC!A:A,"NÃO ESTÁ NA DFC")</f>
        <v xml:space="preserve">          DETRAN</v>
      </c>
    </row>
    <row r="897" spans="1:14" customFormat="1" ht="14.4" x14ac:dyDescent="0.3">
      <c r="A897" s="24"/>
      <c r="B897" s="21">
        <v>46001</v>
      </c>
      <c r="C897" s="91" t="s">
        <v>15</v>
      </c>
      <c r="D897" s="21" t="s">
        <v>23</v>
      </c>
      <c r="E897" s="20"/>
      <c r="F897" s="22" t="s">
        <v>393</v>
      </c>
      <c r="G897" s="285">
        <v>591.20000000000005</v>
      </c>
      <c r="H897" s="1"/>
      <c r="I897" s="1">
        <f>COUNTIF(Tabela1[NF],Tabela1[[#This Row],[NF]])</f>
        <v>0</v>
      </c>
      <c r="K897" s="82">
        <f>Tabela1[[#This Row],[DT. VENCIMENTO]]</f>
        <v>46001</v>
      </c>
      <c r="N897" s="14" t="str" cm="1">
        <f t="array" ref="N897">_xlfn.XLOOKUP(TRIM(D897),TRIM(DFC!A:A),DFC!A:A,"NÃO ESTÁ NA DFC")</f>
        <v xml:space="preserve">         CONTABILIDADE</v>
      </c>
    </row>
    <row r="898" spans="1:14" customFormat="1" ht="14.4" x14ac:dyDescent="0.3">
      <c r="A898" s="24"/>
      <c r="B898" s="21">
        <v>46001</v>
      </c>
      <c r="C898" s="91" t="s">
        <v>15</v>
      </c>
      <c r="D898" s="21" t="s">
        <v>23</v>
      </c>
      <c r="E898" s="20"/>
      <c r="F898" s="22" t="s">
        <v>393</v>
      </c>
      <c r="G898" s="285">
        <v>198</v>
      </c>
      <c r="H898" s="1"/>
      <c r="I898" s="1">
        <f>COUNTIF(Tabela1[NF],Tabela1[[#This Row],[NF]])</f>
        <v>0</v>
      </c>
      <c r="K898" s="82">
        <f>Tabela1[[#This Row],[DT. VENCIMENTO]]</f>
        <v>46001</v>
      </c>
      <c r="N898" s="14" t="str" cm="1">
        <f t="array" ref="N898">_xlfn.XLOOKUP(TRIM(D898),TRIM(DFC!A:A),DFC!A:A,"NÃO ESTÁ NA DFC")</f>
        <v xml:space="preserve">         CONTABILIDADE</v>
      </c>
    </row>
    <row r="899" spans="1:14" customFormat="1" ht="14.4" x14ac:dyDescent="0.3">
      <c r="A899" s="24"/>
      <c r="B899" s="21">
        <v>46001</v>
      </c>
      <c r="C899" s="91" t="s">
        <v>15</v>
      </c>
      <c r="D899" s="283" t="s">
        <v>249</v>
      </c>
      <c r="E899" s="20" t="s">
        <v>247</v>
      </c>
      <c r="F899" s="22" t="s">
        <v>488</v>
      </c>
      <c r="G899" s="285">
        <v>1893.46</v>
      </c>
      <c r="H899" s="1"/>
      <c r="I899" s="1">
        <f>COUNTIF(Tabela1[NF],Tabela1[[#This Row],[NF]])</f>
        <v>0</v>
      </c>
      <c r="K899" s="82">
        <f>Tabela1[[#This Row],[DT. VENCIMENTO]]</f>
        <v>46001</v>
      </c>
      <c r="N899" s="14" t="str" cm="1">
        <f t="array" ref="N899">_xlfn.XLOOKUP(TRIM(D899),TRIM(DFC!A:A),DFC!A:A,"NÃO ESTÁ NA DFC")</f>
        <v xml:space="preserve">          SIMPLES NACIONAL PARCELAMENTO</v>
      </c>
    </row>
    <row r="900" spans="1:14" customFormat="1" ht="14.4" x14ac:dyDescent="0.3">
      <c r="A900" s="24"/>
      <c r="B900" s="21">
        <v>46001</v>
      </c>
      <c r="C900" s="91" t="s">
        <v>15</v>
      </c>
      <c r="D900" s="84" t="s">
        <v>106</v>
      </c>
      <c r="E900" s="20" t="s">
        <v>489</v>
      </c>
      <c r="F900" s="22" t="s">
        <v>490</v>
      </c>
      <c r="G900" s="285">
        <v>45000</v>
      </c>
      <c r="H900" s="1"/>
      <c r="I900" s="1">
        <f>COUNTIF(Tabela1[NF],Tabela1[[#This Row],[NF]])</f>
        <v>0</v>
      </c>
      <c r="K900" s="82">
        <f>Tabela1[[#This Row],[DT. VENCIMENTO]]</f>
        <v>46001</v>
      </c>
      <c r="N900" s="14" t="str" cm="1">
        <f t="array" ref="N900">_xlfn.XLOOKUP(TRIM(D900),TRIM(DFC!A:A),DFC!A:A,"NÃO ESTÁ NA DFC")</f>
        <v xml:space="preserve">          PAGAMENTO DE EMPRÉSTIMOS </v>
      </c>
    </row>
    <row r="901" spans="1:14" customFormat="1" ht="14.4" x14ac:dyDescent="0.3">
      <c r="A901" s="24"/>
      <c r="B901" s="21">
        <v>46001</v>
      </c>
      <c r="C901" s="91" t="s">
        <v>15</v>
      </c>
      <c r="D901" s="21" t="s">
        <v>111</v>
      </c>
      <c r="E901" s="20"/>
      <c r="F901" s="22" t="s">
        <v>339</v>
      </c>
      <c r="G901" s="285">
        <v>53.76</v>
      </c>
      <c r="H901" s="1"/>
      <c r="I901" s="1">
        <f>COUNTIF(Tabela1[NF],Tabela1[[#This Row],[NF]])</f>
        <v>0</v>
      </c>
      <c r="K901" s="26">
        <f>Tabela1[[#This Row],[DT. VENCIMENTO]]</f>
        <v>46001</v>
      </c>
      <c r="N901" s="14" t="str" cm="1">
        <f t="array" ref="N901">_xlfn.XLOOKUP(TRIM(D901),TRIM(DFC!A:A),DFC!A:A,"NÃO ESTÁ NA DFC")</f>
        <v xml:space="preserve">          TX. BANCÁRIA</v>
      </c>
    </row>
    <row r="902" spans="1:14" customFormat="1" ht="14.4" x14ac:dyDescent="0.3">
      <c r="A902" s="24"/>
      <c r="B902" s="21">
        <v>46001</v>
      </c>
      <c r="C902" s="91" t="s">
        <v>15</v>
      </c>
      <c r="D902" s="21" t="s">
        <v>57</v>
      </c>
      <c r="E902" s="20"/>
      <c r="F902" s="22" t="s">
        <v>358</v>
      </c>
      <c r="G902" s="285">
        <v>114.79</v>
      </c>
      <c r="H902" s="1"/>
      <c r="I902" s="1">
        <f>COUNTIF(Tabela1[NF],Tabela1[[#This Row],[NF]])</f>
        <v>0</v>
      </c>
      <c r="K902" s="26">
        <f>Tabela1[[#This Row],[DT. VENCIMENTO]]</f>
        <v>46001</v>
      </c>
      <c r="N902" s="14" t="str" cm="1">
        <f t="array" ref="N902">_xlfn.XLOOKUP(TRIM(D902),TRIM(DFC!A:A),DFC!A:A,"NÃO ESTÁ NA DFC")</f>
        <v xml:space="preserve">          ALIMENTAÇÃO</v>
      </c>
    </row>
    <row r="903" spans="1:14" customFormat="1" ht="14.4" x14ac:dyDescent="0.3">
      <c r="A903" s="24"/>
      <c r="B903" s="21">
        <v>46001</v>
      </c>
      <c r="C903" s="91" t="s">
        <v>15</v>
      </c>
      <c r="D903" s="84" t="s">
        <v>19</v>
      </c>
      <c r="E903" s="81" t="s">
        <v>491</v>
      </c>
      <c r="F903" s="85" t="s">
        <v>492</v>
      </c>
      <c r="G903" s="286">
        <v>12833.34</v>
      </c>
      <c r="H903" s="1"/>
      <c r="I903" s="1">
        <f>COUNTIF(Tabela1[NF],Tabela1[[#This Row],[NF]])</f>
        <v>0</v>
      </c>
      <c r="K903" s="96">
        <f>Tabela1[[#This Row],[DT. VENCIMENTO]]</f>
        <v>46001</v>
      </c>
      <c r="N903" s="14" t="str" cm="1">
        <f t="array" ref="N903">_xlfn.XLOOKUP(TRIM(D903),TRIM(DFC!A:A),DFC!A:A,"NÃO ESTÁ NA DFC")</f>
        <v xml:space="preserve">      PEÇAS</v>
      </c>
    </row>
    <row r="904" spans="1:14" customFormat="1" ht="14.4" x14ac:dyDescent="0.3">
      <c r="A904" s="24"/>
      <c r="B904" s="21">
        <v>46002</v>
      </c>
      <c r="C904" s="91" t="s">
        <v>15</v>
      </c>
      <c r="D904" s="21" t="s">
        <v>111</v>
      </c>
      <c r="E904" s="20"/>
      <c r="F904" s="22" t="s">
        <v>114</v>
      </c>
      <c r="G904" s="285">
        <v>12.83</v>
      </c>
      <c r="H904" s="1"/>
      <c r="I904" s="1">
        <f>COUNTIF(Tabela1[NF],Tabela1[[#This Row],[NF]])</f>
        <v>0</v>
      </c>
      <c r="K904" s="82">
        <f>Tabela1[[#This Row],[DT. VENCIMENTO]]</f>
        <v>46002</v>
      </c>
      <c r="N904" s="14" t="str" cm="1">
        <f t="array" ref="N904">_xlfn.XLOOKUP(TRIM(D904),TRIM(DFC!A:A),DFC!A:A,"NÃO ESTÁ NA DFC")</f>
        <v xml:space="preserve">          TX. BANCÁRIA</v>
      </c>
    </row>
    <row r="905" spans="1:14" customFormat="1" ht="14.4" x14ac:dyDescent="0.3">
      <c r="A905" s="24"/>
      <c r="B905" s="21">
        <v>46002</v>
      </c>
      <c r="C905" s="91" t="s">
        <v>15</v>
      </c>
      <c r="D905" s="84" t="s">
        <v>265</v>
      </c>
      <c r="E905" s="20" t="s">
        <v>493</v>
      </c>
      <c r="F905" s="22" t="s">
        <v>266</v>
      </c>
      <c r="G905" s="285">
        <v>2340</v>
      </c>
      <c r="H905" s="1"/>
      <c r="I905" s="1">
        <f>COUNTIF(Tabela1[NF],Tabela1[[#This Row],[NF]])</f>
        <v>0</v>
      </c>
      <c r="K905" s="82">
        <f>Tabela1[[#This Row],[DT. VENCIMENTO]]</f>
        <v>46002</v>
      </c>
      <c r="N905" s="14" t="str" cm="1">
        <f t="array" ref="N905">_xlfn.XLOOKUP(TRIM(D905),TRIM(DFC!A:A),DFC!A:A,"NÃO ESTÁ NA DFC")</f>
        <v xml:space="preserve">      PROJETO CASAS CONSTRUIR</v>
      </c>
    </row>
    <row r="906" spans="1:14" customFormat="1" ht="14.4" x14ac:dyDescent="0.3">
      <c r="A906" s="24"/>
      <c r="B906" s="21">
        <v>46002</v>
      </c>
      <c r="C906" s="91" t="s">
        <v>15</v>
      </c>
      <c r="D906" s="21" t="s">
        <v>154</v>
      </c>
      <c r="E906" s="20"/>
      <c r="F906" s="22" t="s">
        <v>390</v>
      </c>
      <c r="G906" s="285">
        <v>2095.63</v>
      </c>
      <c r="H906" s="1"/>
      <c r="I906" s="1">
        <f>COUNTIF(Tabela1[NF],Tabela1[[#This Row],[NF]])</f>
        <v>0</v>
      </c>
      <c r="K906" s="82">
        <f>Tabela1[[#This Row],[DT. VENCIMENTO]]</f>
        <v>46002</v>
      </c>
      <c r="N906" s="14" t="str" cm="1">
        <f t="array" ref="N906">_xlfn.XLOOKUP(TRIM(D906),TRIM(DFC!A:A),DFC!A:A,"NÃO ESTÁ NA DFC")</f>
        <v xml:space="preserve">      EMBALAGENS</v>
      </c>
    </row>
    <row r="907" spans="1:14" customFormat="1" ht="14.4" x14ac:dyDescent="0.3">
      <c r="A907" s="24"/>
      <c r="B907" s="21">
        <v>46002</v>
      </c>
      <c r="C907" s="91" t="s">
        <v>15</v>
      </c>
      <c r="D907" s="84" t="s">
        <v>40</v>
      </c>
      <c r="E907" s="20" t="s">
        <v>494</v>
      </c>
      <c r="F907" s="22" t="s">
        <v>419</v>
      </c>
      <c r="G907" s="285">
        <v>480</v>
      </c>
      <c r="H907" s="1"/>
      <c r="I907" s="1">
        <f>COUNTIF(Tabela1[NF],Tabela1[[#This Row],[NF]])</f>
        <v>0</v>
      </c>
      <c r="K907" s="82">
        <f>Tabela1[[#This Row],[DT. VENCIMENTO]]</f>
        <v>46002</v>
      </c>
      <c r="N907" s="14" t="str" cm="1">
        <f t="array" ref="N907">_xlfn.XLOOKUP(TRIM(D907),TRIM(DFC!A:A),DFC!A:A,"NÃO ESTÁ NA DFC")</f>
        <v xml:space="preserve">         SERVIÇO TERCEIRIZADO</v>
      </c>
    </row>
    <row r="908" spans="1:14" customFormat="1" ht="14.4" x14ac:dyDescent="0.3">
      <c r="A908" s="19">
        <v>438008</v>
      </c>
      <c r="B908" s="21">
        <v>46002</v>
      </c>
      <c r="C908" s="91" t="s">
        <v>15</v>
      </c>
      <c r="D908" s="21" t="s">
        <v>19</v>
      </c>
      <c r="E908" s="20"/>
      <c r="F908" s="22" t="s">
        <v>24</v>
      </c>
      <c r="G908" s="285">
        <v>2850</v>
      </c>
      <c r="H908" s="1"/>
      <c r="I908" s="1">
        <f>COUNTIF(Tabela1[NF],Tabela1[[#This Row],[NF]])</f>
        <v>4</v>
      </c>
      <c r="K908" s="82">
        <f>Tabela1[[#This Row],[DT. VENCIMENTO]]</f>
        <v>46002</v>
      </c>
      <c r="N908" s="14" t="str" cm="1">
        <f t="array" ref="N908">_xlfn.XLOOKUP(TRIM(D908),TRIM(DFC!A:A),DFC!A:A,"NÃO ESTÁ NA DFC")</f>
        <v xml:space="preserve">      PEÇAS</v>
      </c>
    </row>
    <row r="909" spans="1:14" customFormat="1" ht="14.4" x14ac:dyDescent="0.3">
      <c r="A909" s="19">
        <v>444777</v>
      </c>
      <c r="B909" s="21">
        <v>46002</v>
      </c>
      <c r="C909" s="91" t="s">
        <v>15</v>
      </c>
      <c r="D909" s="21" t="s">
        <v>19</v>
      </c>
      <c r="E909" s="20"/>
      <c r="F909" s="22" t="s">
        <v>24</v>
      </c>
      <c r="G909" s="285">
        <v>2945</v>
      </c>
      <c r="H909" s="1"/>
      <c r="I909" s="1">
        <f>COUNTIF(Tabela1[NF],Tabela1[[#This Row],[NF]])</f>
        <v>4</v>
      </c>
      <c r="K909" s="82">
        <f>Tabela1[[#This Row],[DT. VENCIMENTO]]</f>
        <v>46002</v>
      </c>
      <c r="N909" s="14" t="str" cm="1">
        <f t="array" ref="N909">_xlfn.XLOOKUP(TRIM(D909),TRIM(DFC!A:A),DFC!A:A,"NÃO ESTÁ NA DFC")</f>
        <v xml:space="preserve">      PEÇAS</v>
      </c>
    </row>
    <row r="910" spans="1:14" customFormat="1" ht="14.4" x14ac:dyDescent="0.3">
      <c r="A910" s="24"/>
      <c r="B910" s="21">
        <v>46003</v>
      </c>
      <c r="C910" s="91" t="s">
        <v>15</v>
      </c>
      <c r="D910" s="21" t="s">
        <v>22</v>
      </c>
      <c r="E910" s="20" t="s">
        <v>495</v>
      </c>
      <c r="F910" s="22" t="s">
        <v>496</v>
      </c>
      <c r="G910" s="285">
        <v>450</v>
      </c>
      <c r="H910" s="1"/>
      <c r="I910" s="1">
        <f>COUNTIF(Tabela1[NF],Tabela1[[#This Row],[NF]])</f>
        <v>0</v>
      </c>
      <c r="K910" s="82">
        <f>Tabela1[[#This Row],[DT. VENCIMENTO]]</f>
        <v>46003</v>
      </c>
      <c r="N910" s="14" t="str" cm="1">
        <f t="array" ref="N910">_xlfn.XLOOKUP(TRIM(D910),TRIM(DFC!A:A),DFC!A:A,"NÃO ESTÁ NA DFC")</f>
        <v xml:space="preserve">         CONSULTORIAS</v>
      </c>
    </row>
    <row r="911" spans="1:14" customFormat="1" ht="14.4" x14ac:dyDescent="0.3">
      <c r="A911" s="24"/>
      <c r="B911" s="21">
        <v>46003</v>
      </c>
      <c r="C911" s="91" t="s">
        <v>15</v>
      </c>
      <c r="D911" s="21" t="s">
        <v>19</v>
      </c>
      <c r="E911" s="20"/>
      <c r="F911" s="22" t="s">
        <v>228</v>
      </c>
      <c r="G911" s="285">
        <v>6543.04</v>
      </c>
      <c r="H911" s="1"/>
      <c r="I911" s="1">
        <f>COUNTIF(Tabela1[NF],Tabela1[[#This Row],[NF]])</f>
        <v>0</v>
      </c>
      <c r="K911" s="82">
        <f>Tabela1[[#This Row],[DT. VENCIMENTO]]</f>
        <v>46003</v>
      </c>
      <c r="N911" s="14" t="str" cm="1">
        <f t="array" ref="N911">_xlfn.XLOOKUP(TRIM(D911),TRIM(DFC!A:A),DFC!A:A,"NÃO ESTÁ NA DFC")</f>
        <v xml:space="preserve">      PEÇAS</v>
      </c>
    </row>
    <row r="912" spans="1:14" customFormat="1" ht="14.4" x14ac:dyDescent="0.3">
      <c r="A912" s="24"/>
      <c r="B912" s="21">
        <v>46003</v>
      </c>
      <c r="C912" s="91" t="s">
        <v>15</v>
      </c>
      <c r="D912" s="21" t="s">
        <v>19</v>
      </c>
      <c r="E912" s="20"/>
      <c r="F912" s="22" t="s">
        <v>210</v>
      </c>
      <c r="G912" s="285">
        <v>3086.83</v>
      </c>
      <c r="H912" s="1"/>
      <c r="I912" s="1">
        <f>COUNTIF(Tabela1[NF],Tabela1[[#This Row],[NF]])</f>
        <v>0</v>
      </c>
      <c r="K912" s="82">
        <f>Tabela1[[#This Row],[DT. VENCIMENTO]]</f>
        <v>46003</v>
      </c>
      <c r="N912" s="14" t="str" cm="1">
        <f t="array" ref="N912">_xlfn.XLOOKUP(TRIM(D912),TRIM(DFC!A:A),DFC!A:A,"NÃO ESTÁ NA DFC")</f>
        <v xml:space="preserve">      PEÇAS</v>
      </c>
    </row>
    <row r="913" spans="1:14" customFormat="1" ht="14.4" x14ac:dyDescent="0.3">
      <c r="A913" s="24"/>
      <c r="B913" s="21">
        <v>46003</v>
      </c>
      <c r="C913" s="91" t="s">
        <v>15</v>
      </c>
      <c r="D913" s="21" t="s">
        <v>22</v>
      </c>
      <c r="E913" s="20" t="s">
        <v>495</v>
      </c>
      <c r="F913" s="22" t="s">
        <v>496</v>
      </c>
      <c r="G913" s="285">
        <v>990</v>
      </c>
      <c r="H913" s="1"/>
      <c r="I913" s="1">
        <f>COUNTIF(Tabela1[NF],Tabela1[[#This Row],[NF]])</f>
        <v>0</v>
      </c>
      <c r="K913" s="26">
        <f>Tabela1[[#This Row],[DT. VENCIMENTO]]</f>
        <v>46003</v>
      </c>
      <c r="N913" s="14" t="str" cm="1">
        <f t="array" ref="N913">_xlfn.XLOOKUP(TRIM(D913),TRIM(DFC!A:A),DFC!A:A,"NÃO ESTÁ NA DFC")</f>
        <v xml:space="preserve">         CONSULTORIAS</v>
      </c>
    </row>
    <row r="914" spans="1:14" customFormat="1" ht="14.4" x14ac:dyDescent="0.3">
      <c r="A914" s="24"/>
      <c r="B914" s="21">
        <v>46003</v>
      </c>
      <c r="C914" s="91" t="s">
        <v>15</v>
      </c>
      <c r="D914" s="84" t="s">
        <v>486</v>
      </c>
      <c r="E914" s="20" t="s">
        <v>497</v>
      </c>
      <c r="F914" s="22" t="s">
        <v>498</v>
      </c>
      <c r="G914" s="285">
        <v>630</v>
      </c>
      <c r="H914" s="1"/>
      <c r="I914" s="1">
        <f>COUNTIF(Tabela1[NF],Tabela1[[#This Row],[NF]])</f>
        <v>0</v>
      </c>
      <c r="K914" s="82">
        <f>Tabela1[[#This Row],[DT. VENCIMENTO]]</f>
        <v>46003</v>
      </c>
      <c r="N914" s="14" t="str" cm="1">
        <f t="array" ref="N914">_xlfn.XLOOKUP(TRIM(D914),TRIM(DFC!A:A),DFC!A:A,"NÃO ESTÁ NA DFC")</f>
        <v xml:space="preserve">          DETRAN</v>
      </c>
    </row>
    <row r="915" spans="1:14" customFormat="1" ht="14.4" x14ac:dyDescent="0.3">
      <c r="A915" s="24"/>
      <c r="B915" s="21">
        <v>46003</v>
      </c>
      <c r="C915" s="91" t="s">
        <v>15</v>
      </c>
      <c r="D915" s="84" t="s">
        <v>106</v>
      </c>
      <c r="E915" s="20" t="s">
        <v>489</v>
      </c>
      <c r="F915" s="22" t="s">
        <v>490</v>
      </c>
      <c r="G915" s="285">
        <v>40000</v>
      </c>
      <c r="H915" s="1"/>
      <c r="I915" s="1">
        <f>COUNTIF(Tabela1[NF],Tabela1[[#This Row],[NF]])</f>
        <v>0</v>
      </c>
      <c r="K915" s="82">
        <f>Tabela1[[#This Row],[DT. VENCIMENTO]]</f>
        <v>46003</v>
      </c>
      <c r="N915" s="14" t="str" cm="1">
        <f t="array" ref="N915">_xlfn.XLOOKUP(TRIM(D915),TRIM(DFC!A:A),DFC!A:A,"NÃO ESTÁ NA DFC")</f>
        <v xml:space="preserve">          PAGAMENTO DE EMPRÉSTIMOS </v>
      </c>
    </row>
    <row r="916" spans="1:14" customFormat="1" ht="14.4" x14ac:dyDescent="0.3">
      <c r="A916" s="24"/>
      <c r="B916" s="21">
        <v>46003</v>
      </c>
      <c r="C916" s="91" t="s">
        <v>15</v>
      </c>
      <c r="D916" s="84" t="s">
        <v>19</v>
      </c>
      <c r="E916" s="20" t="s">
        <v>499</v>
      </c>
      <c r="F916" s="22" t="s">
        <v>161</v>
      </c>
      <c r="G916" s="285">
        <v>1600</v>
      </c>
      <c r="H916" s="1"/>
      <c r="I916" s="1">
        <f>COUNTIF(Tabela1[NF],Tabela1[[#This Row],[NF]])</f>
        <v>0</v>
      </c>
      <c r="K916" s="82">
        <f>Tabela1[[#This Row],[DT. VENCIMENTO]]</f>
        <v>46003</v>
      </c>
      <c r="N916" s="14" t="str" cm="1">
        <f t="array" ref="N916">_xlfn.XLOOKUP(TRIM(D916),TRIM(DFC!A:A),DFC!A:A,"NÃO ESTÁ NA DFC")</f>
        <v xml:space="preserve">      PEÇAS</v>
      </c>
    </row>
    <row r="917" spans="1:14" customFormat="1" ht="14.4" x14ac:dyDescent="0.3">
      <c r="A917" s="24"/>
      <c r="B917" s="21">
        <v>46003</v>
      </c>
      <c r="C917" s="91" t="s">
        <v>15</v>
      </c>
      <c r="D917" s="84" t="s">
        <v>60</v>
      </c>
      <c r="E917" s="20" t="s">
        <v>500</v>
      </c>
      <c r="F917" s="22" t="s">
        <v>501</v>
      </c>
      <c r="G917" s="285">
        <v>6389.64</v>
      </c>
      <c r="H917" s="1"/>
      <c r="I917" s="1">
        <f>COUNTIF(Tabela1[NF],Tabela1[[#This Row],[NF]])</f>
        <v>0</v>
      </c>
      <c r="K917" s="82">
        <f>Tabela1[[#This Row],[DT. VENCIMENTO]]</f>
        <v>46003</v>
      </c>
      <c r="N917" s="14" t="str" cm="1">
        <f t="array" ref="N917">_xlfn.XLOOKUP(TRIM(D917),TRIM(DFC!A:A),DFC!A:A,"NÃO ESTÁ NA DFC")</f>
        <v xml:space="preserve">          ALUGUEL</v>
      </c>
    </row>
    <row r="918" spans="1:14" customFormat="1" ht="14.4" x14ac:dyDescent="0.3">
      <c r="A918" s="24"/>
      <c r="B918" s="21">
        <v>46003</v>
      </c>
      <c r="C918" s="91" t="s">
        <v>15</v>
      </c>
      <c r="D918" s="21" t="s">
        <v>117</v>
      </c>
      <c r="E918" s="20" t="s">
        <v>444</v>
      </c>
      <c r="F918" s="22" t="s">
        <v>327</v>
      </c>
      <c r="G918" s="285">
        <v>150</v>
      </c>
      <c r="H918" s="1"/>
      <c r="I918" s="1">
        <f>COUNTIF(Tabela1[NF],Tabela1[[#This Row],[NF]])</f>
        <v>0</v>
      </c>
      <c r="K918" s="82">
        <f>Tabela1[[#This Row],[DT. VENCIMENTO]]</f>
        <v>46003</v>
      </c>
      <c r="N918" s="14" t="str" cm="1">
        <f t="array" ref="N918">_xlfn.XLOOKUP(TRIM(D918),TRIM(DFC!A:A),DFC!A:A,"NÃO ESTÁ NA DFC")</f>
        <v xml:space="preserve">          SALÁRIOS</v>
      </c>
    </row>
    <row r="919" spans="1:14" customFormat="1" ht="28.8" x14ac:dyDescent="0.3">
      <c r="A919" s="19"/>
      <c r="B919" s="21">
        <v>46004</v>
      </c>
      <c r="C919" s="290" t="s">
        <v>202</v>
      </c>
      <c r="D919" s="21" t="s">
        <v>502</v>
      </c>
      <c r="E919" s="20"/>
      <c r="F919" s="22" t="s">
        <v>204</v>
      </c>
      <c r="G919" s="252">
        <v>4000</v>
      </c>
      <c r="H919" s="1"/>
      <c r="I919" s="1">
        <f>COUNTIF(Tabela1[NF],Tabela1[[#This Row],[NF]])</f>
        <v>0</v>
      </c>
      <c r="K919" s="82">
        <v>46004</v>
      </c>
      <c r="N919" s="14" t="str" cm="1">
        <f t="array" ref="N919">_xlfn.XLOOKUP(TRIM(D919),TRIM(DFC!A:A),DFC!A:A,"NÃO ESTÁ NA DFC")</f>
        <v xml:space="preserve">     ADS MAGALU</v>
      </c>
    </row>
    <row r="920" spans="1:14" customFormat="1" ht="28.8" x14ac:dyDescent="0.3">
      <c r="A920" s="19"/>
      <c r="B920" s="21">
        <v>46004</v>
      </c>
      <c r="C920" s="290" t="s">
        <v>202</v>
      </c>
      <c r="D920" s="21" t="s">
        <v>503</v>
      </c>
      <c r="E920" s="20"/>
      <c r="F920" s="22" t="s">
        <v>204</v>
      </c>
      <c r="G920" s="252">
        <v>19000</v>
      </c>
      <c r="H920" s="1"/>
      <c r="I920" s="1">
        <f>COUNTIF(Tabela1[NF],Tabela1[[#This Row],[NF]])</f>
        <v>0</v>
      </c>
      <c r="K920" s="82">
        <v>46004</v>
      </c>
      <c r="N920" s="14" t="str" cm="1">
        <f t="array" ref="N920">_xlfn.XLOOKUP(TRIM(D920),TRIM(DFC!A:A),DFC!A:A,"NÃO ESTÁ NA DFC")</f>
        <v xml:space="preserve">     ADS SHOPEE</v>
      </c>
    </row>
    <row r="921" spans="1:14" customFormat="1" ht="28.8" x14ac:dyDescent="0.3">
      <c r="A921" s="19"/>
      <c r="B921" s="21">
        <v>46004</v>
      </c>
      <c r="C921" s="290" t="s">
        <v>202</v>
      </c>
      <c r="D921" s="21" t="s">
        <v>57</v>
      </c>
      <c r="E921" s="20"/>
      <c r="F921" s="22" t="s">
        <v>204</v>
      </c>
      <c r="G921" s="252">
        <v>1400.3400000000001</v>
      </c>
      <c r="H921" s="1"/>
      <c r="I921" s="1">
        <f>COUNTIF(Tabela1[NF],Tabela1[[#This Row],[NF]])</f>
        <v>0</v>
      </c>
      <c r="K921" s="82">
        <v>46004</v>
      </c>
      <c r="N921" s="14" t="str" cm="1">
        <f t="array" ref="N921">_xlfn.XLOOKUP(TRIM(D921),TRIM(DFC!A:A),DFC!A:A,"NÃO ESTÁ NA DFC")</f>
        <v xml:space="preserve">          ALIMENTAÇÃO</v>
      </c>
    </row>
    <row r="922" spans="1:14" customFormat="1" ht="28.8" x14ac:dyDescent="0.3">
      <c r="A922" s="19"/>
      <c r="B922" s="21">
        <v>46004</v>
      </c>
      <c r="C922" s="290" t="s">
        <v>202</v>
      </c>
      <c r="D922" s="21" t="s">
        <v>203</v>
      </c>
      <c r="E922" s="20"/>
      <c r="F922" s="22" t="s">
        <v>204</v>
      </c>
      <c r="G922" s="252">
        <v>2479.11</v>
      </c>
      <c r="H922" s="1"/>
      <c r="I922" s="1">
        <f>COUNTIF(Tabela1[NF],Tabela1[[#This Row],[NF]])</f>
        <v>0</v>
      </c>
      <c r="K922" s="82">
        <v>46004</v>
      </c>
      <c r="N922" s="14" t="str" cm="1">
        <f t="array" ref="N922">_xlfn.XLOOKUP(TRIM(D922),TRIM(DFC!A:A),DFC!A:A,"NÃO ESTÁ NA DFC")</f>
        <v xml:space="preserve">         ASSINATURAS</v>
      </c>
    </row>
    <row r="923" spans="1:14" customFormat="1" ht="28.8" x14ac:dyDescent="0.3">
      <c r="A923" s="19"/>
      <c r="B923" s="21">
        <v>46004</v>
      </c>
      <c r="C923" s="290" t="s">
        <v>202</v>
      </c>
      <c r="D923" s="21" t="s">
        <v>72</v>
      </c>
      <c r="E923" s="20"/>
      <c r="F923" s="22" t="s">
        <v>204</v>
      </c>
      <c r="G923" s="252">
        <v>574.88</v>
      </c>
      <c r="H923" s="1"/>
      <c r="I923" s="1">
        <f>COUNTIF(Tabela1[NF],Tabela1[[#This Row],[NF]])</f>
        <v>0</v>
      </c>
      <c r="K923" s="82">
        <v>46004</v>
      </c>
      <c r="N923" s="14" t="str" cm="1">
        <f t="array" ref="N923">_xlfn.XLOOKUP(TRIM(D923),TRIM(DFC!A:A),DFC!A:A,"NÃO ESTÁ NA DFC")</f>
        <v xml:space="preserve">          COMBUSTÍVEL</v>
      </c>
    </row>
    <row r="924" spans="1:14" customFormat="1" ht="28.8" x14ac:dyDescent="0.3">
      <c r="A924" s="19"/>
      <c r="B924" s="21">
        <v>46004</v>
      </c>
      <c r="C924" s="290" t="s">
        <v>202</v>
      </c>
      <c r="D924" s="21" t="s">
        <v>18</v>
      </c>
      <c r="E924" s="20"/>
      <c r="F924" s="22" t="s">
        <v>204</v>
      </c>
      <c r="G924" s="252">
        <v>35</v>
      </c>
      <c r="H924" s="1"/>
      <c r="I924" s="1">
        <f>COUNTIF(Tabela1[NF],Tabela1[[#This Row],[NF]])</f>
        <v>0</v>
      </c>
      <c r="K924" s="82">
        <v>46004</v>
      </c>
      <c r="N924" s="14" t="str" cm="1">
        <f t="array" ref="N924">_xlfn.XLOOKUP(TRIM(D924),TRIM(DFC!A:A),DFC!A:A,"NÃO ESTÁ NA DFC")</f>
        <v xml:space="preserve">     COMISSÕES E TAXAS DOS MARKETPLACES</v>
      </c>
    </row>
    <row r="925" spans="1:14" customFormat="1" ht="28.8" x14ac:dyDescent="0.3">
      <c r="A925" s="19"/>
      <c r="B925" s="21">
        <v>46004</v>
      </c>
      <c r="C925" s="290" t="s">
        <v>202</v>
      </c>
      <c r="D925" s="21" t="s">
        <v>205</v>
      </c>
      <c r="E925" s="20"/>
      <c r="F925" s="22" t="s">
        <v>204</v>
      </c>
      <c r="G925" s="252">
        <v>930.47</v>
      </c>
      <c r="H925" s="1"/>
      <c r="I925" s="1">
        <f>COUNTIF(Tabela1[NF],Tabela1[[#This Row],[NF]])</f>
        <v>0</v>
      </c>
      <c r="K925" s="82">
        <v>46004</v>
      </c>
      <c r="N925" s="14" t="str" cm="1">
        <f t="array" ref="N925">_xlfn.XLOOKUP(TRIM(D925),TRIM(DFC!A:A),DFC!A:A,"NÃO ESTÁ NA DFC")</f>
        <v xml:space="preserve">          DESPESAS DE VIAGEM</v>
      </c>
    </row>
    <row r="926" spans="1:14" customFormat="1" ht="28.8" x14ac:dyDescent="0.3">
      <c r="A926" s="19"/>
      <c r="B926" s="21">
        <v>46004</v>
      </c>
      <c r="C926" s="290" t="s">
        <v>202</v>
      </c>
      <c r="D926" s="21" t="s">
        <v>206</v>
      </c>
      <c r="E926" s="20"/>
      <c r="F926" s="22" t="s">
        <v>204</v>
      </c>
      <c r="G926" s="252">
        <v>180</v>
      </c>
      <c r="H926" s="1"/>
      <c r="I926" s="1">
        <f>COUNTIF(Tabela1[NF],Tabela1[[#This Row],[NF]])</f>
        <v>0</v>
      </c>
      <c r="K926" s="82">
        <v>46004</v>
      </c>
      <c r="N926" s="14" t="str" cm="1">
        <f t="array" ref="N926">_xlfn.XLOOKUP(TRIM(D926),TRIM(DFC!A:A),DFC!A:A,"NÃO ESTÁ NA DFC")</f>
        <v xml:space="preserve">          ESTACIONAMENTO</v>
      </c>
    </row>
    <row r="927" spans="1:14" customFormat="1" ht="28.8" x14ac:dyDescent="0.3">
      <c r="A927" s="19"/>
      <c r="B927" s="21">
        <v>46004</v>
      </c>
      <c r="C927" s="290" t="s">
        <v>202</v>
      </c>
      <c r="D927" s="21" t="s">
        <v>104</v>
      </c>
      <c r="E927" s="20"/>
      <c r="F927" s="22" t="s">
        <v>204</v>
      </c>
      <c r="G927" s="252">
        <v>526.53</v>
      </c>
      <c r="H927" s="1"/>
      <c r="I927" s="1">
        <f>COUNTIF(Tabela1[NF],Tabela1[[#This Row],[NF]])</f>
        <v>0</v>
      </c>
      <c r="K927" s="82">
        <v>46004</v>
      </c>
      <c r="N927" s="14" t="str" cm="1">
        <f t="array" ref="N927">_xlfn.XLOOKUP(TRIM(D927),TRIM(DFC!A:A),DFC!A:A,"NÃO ESTÁ NA DFC")</f>
        <v xml:space="preserve">          OUTRAS DESPESAS ADMINISTRATIVAS</v>
      </c>
    </row>
    <row r="928" spans="1:14" customFormat="1" ht="28.8" x14ac:dyDescent="0.3">
      <c r="A928" s="19"/>
      <c r="B928" s="21">
        <v>46004</v>
      </c>
      <c r="C928" s="290" t="s">
        <v>202</v>
      </c>
      <c r="D928" s="21" t="s">
        <v>19</v>
      </c>
      <c r="E928" s="20"/>
      <c r="F928" s="22" t="s">
        <v>204</v>
      </c>
      <c r="G928" s="252">
        <v>6273.98</v>
      </c>
      <c r="H928" s="1"/>
      <c r="I928" s="1">
        <f>COUNTIF(Tabela1[NF],Tabela1[[#This Row],[NF]])</f>
        <v>0</v>
      </c>
      <c r="K928" s="82">
        <v>46004</v>
      </c>
      <c r="N928" s="14" t="str" cm="1">
        <f t="array" ref="N928">_xlfn.XLOOKUP(TRIM(D928),TRIM(DFC!A:A),DFC!A:A,"NÃO ESTÁ NA DFC")</f>
        <v xml:space="preserve">      PEÇAS</v>
      </c>
    </row>
    <row r="929" spans="1:14" customFormat="1" ht="28.8" x14ac:dyDescent="0.3">
      <c r="A929" s="19"/>
      <c r="B929" s="21">
        <v>46004</v>
      </c>
      <c r="C929" s="290" t="s">
        <v>202</v>
      </c>
      <c r="D929" s="21" t="s">
        <v>475</v>
      </c>
      <c r="E929" s="20"/>
      <c r="F929" s="22" t="s">
        <v>204</v>
      </c>
      <c r="G929" s="252">
        <v>972.91</v>
      </c>
      <c r="H929" s="1"/>
      <c r="I929" s="1">
        <f>COUNTIF(Tabela1[NF],Tabela1[[#This Row],[NF]])</f>
        <v>0</v>
      </c>
      <c r="K929" s="82">
        <v>46004</v>
      </c>
      <c r="N929" s="14" t="str" cm="1">
        <f t="array" ref="N929">_xlfn.XLOOKUP(TRIM(D929),TRIM(DFC!A:A),DFC!A:A,"NÃO ESTÁ NA DFC")</f>
        <v xml:space="preserve">          SEGURO DE VEICULOS</v>
      </c>
    </row>
    <row r="930" spans="1:14" customFormat="1" ht="14.4" x14ac:dyDescent="0.3">
      <c r="A930" s="24"/>
      <c r="B930" s="21">
        <v>46006</v>
      </c>
      <c r="C930" s="91" t="s">
        <v>15</v>
      </c>
      <c r="D930" s="21" t="s">
        <v>82</v>
      </c>
      <c r="E930" s="20"/>
      <c r="F930" s="22" t="s">
        <v>351</v>
      </c>
      <c r="G930" s="285">
        <v>500</v>
      </c>
      <c r="H930" s="1"/>
      <c r="I930" s="1">
        <f>COUNTIF(Tabela1[NF],Tabela1[[#This Row],[NF]])</f>
        <v>0</v>
      </c>
      <c r="K930" s="82">
        <f>Tabela1[[#This Row],[DT. VENCIMENTO]]</f>
        <v>46006</v>
      </c>
      <c r="N930" s="14" t="str" cm="1">
        <f t="array" ref="N930">_xlfn.XLOOKUP(TRIM(D930),TRIM(DFC!A:A),DFC!A:A,"NÃO ESTÁ NA DFC")</f>
        <v xml:space="preserve">          DIÁRIAS</v>
      </c>
    </row>
    <row r="931" spans="1:14" s="92" customFormat="1" ht="14.4" x14ac:dyDescent="0.3">
      <c r="A931" s="24"/>
      <c r="B931" s="21">
        <v>46006</v>
      </c>
      <c r="C931" s="91" t="s">
        <v>15</v>
      </c>
      <c r="D931" s="21" t="s">
        <v>82</v>
      </c>
      <c r="E931" s="20"/>
      <c r="F931" s="22" t="s">
        <v>412</v>
      </c>
      <c r="G931" s="285">
        <v>500</v>
      </c>
      <c r="H931" s="1"/>
      <c r="I931" s="1">
        <f>COUNTIF(Tabela1[NF],Tabela1[[#This Row],[NF]])</f>
        <v>0</v>
      </c>
      <c r="J931"/>
      <c r="K931" s="82">
        <f>Tabela1[[#This Row],[DT. VENCIMENTO]]</f>
        <v>46006</v>
      </c>
      <c r="L931"/>
      <c r="M931"/>
      <c r="N931" s="93" t="str" cm="1">
        <f t="array" ref="N931">_xlfn.XLOOKUP(TRIM(D931),TRIM(DFC!A:A),DFC!A:A,"NÃO ESTÁ NA DFC")</f>
        <v xml:space="preserve">          DIÁRIAS</v>
      </c>
    </row>
    <row r="932" spans="1:14" s="92" customFormat="1" ht="14.4" x14ac:dyDescent="0.3">
      <c r="A932" s="24"/>
      <c r="B932" s="21">
        <v>46006</v>
      </c>
      <c r="C932" s="91" t="s">
        <v>15</v>
      </c>
      <c r="D932" s="21" t="s">
        <v>156</v>
      </c>
      <c r="E932" s="20" t="s">
        <v>157</v>
      </c>
      <c r="F932" s="22" t="s">
        <v>314</v>
      </c>
      <c r="G932" s="285">
        <v>4282.5</v>
      </c>
      <c r="H932" s="1"/>
      <c r="I932" s="1">
        <f>COUNTIF(Tabela1[NF],Tabela1[[#This Row],[NF]])</f>
        <v>0</v>
      </c>
      <c r="J932"/>
      <c r="K932" s="26">
        <f>Tabela1[[#This Row],[DT. VENCIMENTO]]</f>
        <v>46006</v>
      </c>
      <c r="L932"/>
      <c r="M932"/>
      <c r="N932" s="93" t="str" cm="1">
        <f t="array" ref="N932">_xlfn.XLOOKUP(TRIM(D932),TRIM(DFC!A:A),DFC!A:A,"NÃO ESTÁ NA DFC")</f>
        <v xml:space="preserve">      MONTAGEM DE RODAS</v>
      </c>
    </row>
    <row r="933" spans="1:14" s="92" customFormat="1" ht="14.4" x14ac:dyDescent="0.3">
      <c r="A933" s="24"/>
      <c r="B933" s="21">
        <v>46006</v>
      </c>
      <c r="C933" s="91" t="s">
        <v>15</v>
      </c>
      <c r="D933" s="21" t="s">
        <v>82</v>
      </c>
      <c r="E933" s="20"/>
      <c r="F933" s="22" t="s">
        <v>469</v>
      </c>
      <c r="G933" s="285">
        <v>100</v>
      </c>
      <c r="H933" s="1"/>
      <c r="I933" s="1">
        <f>COUNTIF(Tabela1[NF],Tabela1[[#This Row],[NF]])</f>
        <v>0</v>
      </c>
      <c r="J933"/>
      <c r="K933" s="82">
        <f>Tabela1[[#This Row],[DT. VENCIMENTO]]</f>
        <v>46006</v>
      </c>
      <c r="L933"/>
      <c r="M933"/>
      <c r="N933" s="93" t="str" cm="1">
        <f t="array" ref="N933">_xlfn.XLOOKUP(TRIM(D933),TRIM(DFC!A:A),DFC!A:A,"NÃO ESTÁ NA DFC")</f>
        <v xml:space="preserve">          DIÁRIAS</v>
      </c>
    </row>
    <row r="934" spans="1:14" s="92" customFormat="1" ht="14.4" x14ac:dyDescent="0.3">
      <c r="A934" s="24"/>
      <c r="B934" s="21">
        <v>46006</v>
      </c>
      <c r="C934" s="91" t="s">
        <v>15</v>
      </c>
      <c r="D934" s="21" t="s">
        <v>19</v>
      </c>
      <c r="E934" s="20"/>
      <c r="F934" s="22" t="s">
        <v>315</v>
      </c>
      <c r="G934" s="285">
        <v>1050</v>
      </c>
      <c r="H934" s="1"/>
      <c r="I934" s="1">
        <f>COUNTIF(Tabela1[NF],Tabela1[[#This Row],[NF]])</f>
        <v>0</v>
      </c>
      <c r="J934"/>
      <c r="K934" s="82">
        <f>Tabela1[[#This Row],[DT. VENCIMENTO]]</f>
        <v>46006</v>
      </c>
      <c r="L934"/>
      <c r="M934"/>
      <c r="N934" s="93" t="str" cm="1">
        <f t="array" ref="N934">_xlfn.XLOOKUP(TRIM(D934),TRIM(DFC!A:A),DFC!A:A,"NÃO ESTÁ NA DFC")</f>
        <v xml:space="preserve">      PEÇAS</v>
      </c>
    </row>
    <row r="935" spans="1:14" s="92" customFormat="1" ht="14.4" x14ac:dyDescent="0.3">
      <c r="A935" s="24"/>
      <c r="B935" s="21">
        <v>46006</v>
      </c>
      <c r="C935" s="91" t="s">
        <v>15</v>
      </c>
      <c r="D935" s="21" t="s">
        <v>19</v>
      </c>
      <c r="E935" s="20"/>
      <c r="F935" s="22" t="s">
        <v>315</v>
      </c>
      <c r="G935" s="285">
        <v>5399.99</v>
      </c>
      <c r="H935" s="1"/>
      <c r="I935" s="1">
        <f>COUNTIF(Tabela1[NF],Tabela1[[#This Row],[NF]])</f>
        <v>0</v>
      </c>
      <c r="J935"/>
      <c r="K935" s="82">
        <f>Tabela1[[#This Row],[DT. VENCIMENTO]]</f>
        <v>46006</v>
      </c>
      <c r="L935"/>
      <c r="M935"/>
      <c r="N935" s="93" t="str" cm="1">
        <f t="array" ref="N935">_xlfn.XLOOKUP(TRIM(D935),TRIM(DFC!A:A),DFC!A:A,"NÃO ESTÁ NA DFC")</f>
        <v xml:space="preserve">      PEÇAS</v>
      </c>
    </row>
    <row r="936" spans="1:14" s="92" customFormat="1" ht="14.4" x14ac:dyDescent="0.3">
      <c r="A936" s="24"/>
      <c r="B936" s="21">
        <v>46006</v>
      </c>
      <c r="C936" s="91" t="s">
        <v>15</v>
      </c>
      <c r="D936" s="21" t="s">
        <v>19</v>
      </c>
      <c r="E936" s="20"/>
      <c r="F936" s="22" t="s">
        <v>298</v>
      </c>
      <c r="G936" s="285">
        <v>674.5</v>
      </c>
      <c r="H936" s="1"/>
      <c r="I936" s="1">
        <f>COUNTIF(Tabela1[NF],Tabela1[[#This Row],[NF]])</f>
        <v>0</v>
      </c>
      <c r="J936"/>
      <c r="K936" s="82">
        <f>Tabela1[[#This Row],[DT. VENCIMENTO]]</f>
        <v>46006</v>
      </c>
      <c r="L936"/>
      <c r="M936"/>
      <c r="N936" s="93" t="str" cm="1">
        <f t="array" ref="N936">_xlfn.XLOOKUP(TRIM(D936),TRIM(DFC!A:A),DFC!A:A,"NÃO ESTÁ NA DFC")</f>
        <v xml:space="preserve">      PEÇAS</v>
      </c>
    </row>
    <row r="937" spans="1:14" s="92" customFormat="1" ht="14.4" x14ac:dyDescent="0.3">
      <c r="A937" s="24"/>
      <c r="B937" s="21">
        <v>46006</v>
      </c>
      <c r="C937" s="91" t="s">
        <v>15</v>
      </c>
      <c r="D937" s="21" t="s">
        <v>104</v>
      </c>
      <c r="E937" s="20"/>
      <c r="F937" s="22" t="s">
        <v>504</v>
      </c>
      <c r="G937" s="285">
        <v>489</v>
      </c>
      <c r="H937" s="1"/>
      <c r="I937" s="1">
        <f>COUNTIF(Tabela1[NF],Tabela1[[#This Row],[NF]])</f>
        <v>0</v>
      </c>
      <c r="J937"/>
      <c r="K937" s="82">
        <f>Tabela1[[#This Row],[DT. VENCIMENTO]]</f>
        <v>46006</v>
      </c>
      <c r="L937"/>
      <c r="M937"/>
      <c r="N937" s="93" t="str" cm="1">
        <f t="array" ref="N937">_xlfn.XLOOKUP(TRIM(D937),TRIM(DFC!A:A),DFC!A:A,"NÃO ESTÁ NA DFC")</f>
        <v xml:space="preserve">          OUTRAS DESPESAS ADMINISTRATIVAS</v>
      </c>
    </row>
    <row r="938" spans="1:14" s="92" customFormat="1" ht="14.4" x14ac:dyDescent="0.3">
      <c r="A938" s="24"/>
      <c r="B938" s="21">
        <v>46006</v>
      </c>
      <c r="C938" s="91" t="s">
        <v>15</v>
      </c>
      <c r="D938" s="21" t="s">
        <v>154</v>
      </c>
      <c r="E938" s="20"/>
      <c r="F938" s="22" t="s">
        <v>299</v>
      </c>
      <c r="G938" s="285">
        <v>1088.68</v>
      </c>
      <c r="H938" s="1"/>
      <c r="I938" s="1">
        <f>COUNTIF(Tabela1[NF],Tabela1[[#This Row],[NF]])</f>
        <v>0</v>
      </c>
      <c r="J938"/>
      <c r="K938" s="82">
        <f>Tabela1[[#This Row],[DT. VENCIMENTO]]</f>
        <v>46006</v>
      </c>
      <c r="L938"/>
      <c r="M938"/>
      <c r="N938" s="93" t="str" cm="1">
        <f t="array" ref="N938">_xlfn.XLOOKUP(TRIM(D938),TRIM(DFC!A:A),DFC!A:A,"NÃO ESTÁ NA DFC")</f>
        <v xml:space="preserve">      EMBALAGENS</v>
      </c>
    </row>
    <row r="939" spans="1:14" s="92" customFormat="1" ht="14.4" x14ac:dyDescent="0.3">
      <c r="A939" s="24"/>
      <c r="B939" s="21">
        <v>46006</v>
      </c>
      <c r="C939" s="91" t="s">
        <v>15</v>
      </c>
      <c r="D939" s="21" t="s">
        <v>225</v>
      </c>
      <c r="E939" s="20"/>
      <c r="F939" s="22" t="s">
        <v>226</v>
      </c>
      <c r="G939" s="285">
        <v>4449.3</v>
      </c>
      <c r="H939" s="1"/>
      <c r="I939" s="1">
        <f>COUNTIF(Tabela1[NF],Tabela1[[#This Row],[NF]])</f>
        <v>0</v>
      </c>
      <c r="J939"/>
      <c r="K939" s="82">
        <f>Tabela1[[#This Row],[DT. VENCIMENTO]]</f>
        <v>46006</v>
      </c>
      <c r="L939"/>
      <c r="M939"/>
      <c r="N939" s="93" t="str" cm="1">
        <f t="array" ref="N939">_xlfn.XLOOKUP(TRIM(D939),TRIM(DFC!A:A),DFC!A:A,"NÃO ESTÁ NA DFC")</f>
        <v xml:space="preserve">     ANYMARKET TAXAS</v>
      </c>
    </row>
    <row r="940" spans="1:14" s="92" customFormat="1" ht="14.4" x14ac:dyDescent="0.3">
      <c r="A940" s="24"/>
      <c r="B940" s="21">
        <v>46006</v>
      </c>
      <c r="C940" s="91" t="s">
        <v>15</v>
      </c>
      <c r="D940" s="21" t="s">
        <v>29</v>
      </c>
      <c r="E940" s="20"/>
      <c r="F940" s="22" t="s">
        <v>505</v>
      </c>
      <c r="G940" s="285">
        <v>108.4</v>
      </c>
      <c r="H940" s="1"/>
      <c r="I940" s="1">
        <f>COUNTIF(Tabela1[NF],Tabela1[[#This Row],[NF]])</f>
        <v>0</v>
      </c>
      <c r="J940"/>
      <c r="K940" s="82">
        <f>Tabela1[[#This Row],[DT. VENCIMENTO]]</f>
        <v>46006</v>
      </c>
      <c r="L940"/>
      <c r="M940"/>
      <c r="N940" s="93" t="str" cm="1">
        <f t="array" ref="N940">_xlfn.XLOOKUP(TRIM(D940),TRIM(DFC!A:A),DFC!A:A,"NÃO ESTÁ NA DFC")</f>
        <v xml:space="preserve">      FRETE DE SAÍDA</v>
      </c>
    </row>
    <row r="941" spans="1:14" s="92" customFormat="1" ht="14.4" x14ac:dyDescent="0.3">
      <c r="A941" s="24"/>
      <c r="B941" s="21">
        <v>46006</v>
      </c>
      <c r="C941" s="91" t="s">
        <v>15</v>
      </c>
      <c r="D941" s="84" t="s">
        <v>19</v>
      </c>
      <c r="E941" s="20"/>
      <c r="F941" s="22" t="s">
        <v>506</v>
      </c>
      <c r="G941" s="285">
        <v>789</v>
      </c>
      <c r="H941" s="1"/>
      <c r="I941" s="1">
        <f>COUNTIF(Tabela1[NF],Tabela1[[#This Row],[NF]])</f>
        <v>0</v>
      </c>
      <c r="J941"/>
      <c r="K941" s="82">
        <f>Tabela1[[#This Row],[DT. VENCIMENTO]]</f>
        <v>46006</v>
      </c>
      <c r="L941"/>
      <c r="M941"/>
      <c r="N941" s="93" t="str" cm="1">
        <f t="array" ref="N941">_xlfn.XLOOKUP(TRIM(D941),TRIM(DFC!A:A),DFC!A:A,"NÃO ESTÁ NA DFC")</f>
        <v xml:space="preserve">      PEÇAS</v>
      </c>
    </row>
    <row r="942" spans="1:14" s="92" customFormat="1" ht="14.4" x14ac:dyDescent="0.3">
      <c r="A942" s="24"/>
      <c r="B942" s="21">
        <v>46006</v>
      </c>
      <c r="C942" s="91" t="s">
        <v>15</v>
      </c>
      <c r="D942" s="21" t="s">
        <v>19</v>
      </c>
      <c r="E942" s="20"/>
      <c r="F942" s="22" t="s">
        <v>315</v>
      </c>
      <c r="G942" s="285">
        <v>2183.33</v>
      </c>
      <c r="H942" s="1"/>
      <c r="I942" s="1">
        <f>COUNTIF(Tabela1[NF],Tabela1[[#This Row],[NF]])</f>
        <v>0</v>
      </c>
      <c r="J942"/>
      <c r="K942" s="82">
        <f>Tabela1[[#This Row],[DT. VENCIMENTO]]</f>
        <v>46006</v>
      </c>
      <c r="L942"/>
      <c r="M942"/>
      <c r="N942" s="93" t="str" cm="1">
        <f t="array" ref="N942">_xlfn.XLOOKUP(TRIM(D942),TRIM(DFC!A:A),DFC!A:A,"NÃO ESTÁ NA DFC")</f>
        <v xml:space="preserve">      PEÇAS</v>
      </c>
    </row>
    <row r="943" spans="1:14" s="92" customFormat="1" ht="14.4" x14ac:dyDescent="0.3">
      <c r="A943" s="24"/>
      <c r="B943" s="21">
        <v>46006</v>
      </c>
      <c r="C943" s="91" t="s">
        <v>15</v>
      </c>
      <c r="D943" s="21" t="s">
        <v>19</v>
      </c>
      <c r="E943" s="20"/>
      <c r="F943" s="22" t="s">
        <v>315</v>
      </c>
      <c r="G943" s="285">
        <v>6549.99</v>
      </c>
      <c r="H943" s="1"/>
      <c r="I943" s="1">
        <f>COUNTIF(Tabela1[NF],Tabela1[[#This Row],[NF]])</f>
        <v>0</v>
      </c>
      <c r="J943"/>
      <c r="K943" s="82">
        <f>Tabela1[[#This Row],[DT. VENCIMENTO]]</f>
        <v>46006</v>
      </c>
      <c r="L943"/>
      <c r="M943"/>
      <c r="N943" s="93" t="str" cm="1">
        <f t="array" ref="N943">_xlfn.XLOOKUP(TRIM(D943),TRIM(DFC!A:A),DFC!A:A,"NÃO ESTÁ NA DFC")</f>
        <v xml:space="preserve">      PEÇAS</v>
      </c>
    </row>
    <row r="944" spans="1:14" s="92" customFormat="1" ht="14.4" x14ac:dyDescent="0.3">
      <c r="A944" s="24"/>
      <c r="B944" s="21">
        <v>46006</v>
      </c>
      <c r="C944" s="91" t="s">
        <v>15</v>
      </c>
      <c r="D944" s="21" t="s">
        <v>19</v>
      </c>
      <c r="E944" s="20"/>
      <c r="F944" s="22" t="s">
        <v>315</v>
      </c>
      <c r="G944" s="285">
        <v>350</v>
      </c>
      <c r="H944" s="1"/>
      <c r="I944" s="1">
        <f>COUNTIF(Tabela1[NF],Tabela1[[#This Row],[NF]])</f>
        <v>0</v>
      </c>
      <c r="J944"/>
      <c r="K944" s="82">
        <f>Tabela1[[#This Row],[DT. VENCIMENTO]]</f>
        <v>46006</v>
      </c>
      <c r="L944"/>
      <c r="M944"/>
      <c r="N944" s="93" t="str" cm="1">
        <f t="array" ref="N944">_xlfn.XLOOKUP(TRIM(D944),TRIM(DFC!A:A),DFC!A:A,"NÃO ESTÁ NA DFC")</f>
        <v xml:space="preserve">      PEÇAS</v>
      </c>
    </row>
    <row r="945" spans="1:14" s="92" customFormat="1" ht="14.4" x14ac:dyDescent="0.3">
      <c r="A945" s="24"/>
      <c r="B945" s="21">
        <v>46006</v>
      </c>
      <c r="C945" s="91" t="s">
        <v>15</v>
      </c>
      <c r="D945" s="21" t="s">
        <v>19</v>
      </c>
      <c r="E945" s="20"/>
      <c r="F945" s="22" t="s">
        <v>455</v>
      </c>
      <c r="G945" s="285">
        <v>1567.87</v>
      </c>
      <c r="H945" s="1"/>
      <c r="I945" s="1">
        <f>COUNTIF(Tabela1[NF],Tabela1[[#This Row],[NF]])</f>
        <v>0</v>
      </c>
      <c r="J945"/>
      <c r="K945" s="82">
        <f>Tabela1[[#This Row],[DT. VENCIMENTO]]</f>
        <v>46006</v>
      </c>
      <c r="L945"/>
      <c r="M945"/>
      <c r="N945" s="93" t="str" cm="1">
        <f t="array" ref="N945">_xlfn.XLOOKUP(TRIM(D945),TRIM(DFC!A:A),DFC!A:A,"NÃO ESTÁ NA DFC")</f>
        <v xml:space="preserve">      PEÇAS</v>
      </c>
    </row>
    <row r="946" spans="1:14" customFormat="1" ht="14.4" x14ac:dyDescent="0.3">
      <c r="A946" s="24"/>
      <c r="B946" s="21">
        <v>46006</v>
      </c>
      <c r="C946" s="91" t="s">
        <v>15</v>
      </c>
      <c r="D946" s="21" t="s">
        <v>19</v>
      </c>
      <c r="E946" s="20"/>
      <c r="F946" s="22" t="s">
        <v>315</v>
      </c>
      <c r="G946" s="285">
        <v>1800</v>
      </c>
      <c r="H946" s="1"/>
      <c r="I946" s="1">
        <f>COUNTIF(Tabela1[NF],Tabela1[[#This Row],[NF]])</f>
        <v>0</v>
      </c>
      <c r="K946" s="82">
        <f>Tabela1[[#This Row],[DT. VENCIMENTO]]</f>
        <v>46006</v>
      </c>
      <c r="N946" s="14" t="str" cm="1">
        <f t="array" ref="N946">_xlfn.XLOOKUP(TRIM(D946),TRIM(DFC!A:A),DFC!A:A,"NÃO ESTÁ NA DFC")</f>
        <v xml:space="preserve">      PEÇAS</v>
      </c>
    </row>
    <row r="947" spans="1:14" customFormat="1" ht="14.4" x14ac:dyDescent="0.3">
      <c r="A947" s="24"/>
      <c r="B947" s="21">
        <v>46006</v>
      </c>
      <c r="C947" s="91" t="s">
        <v>15</v>
      </c>
      <c r="D947" s="21" t="s">
        <v>19</v>
      </c>
      <c r="E947" s="20"/>
      <c r="F947" s="22" t="s">
        <v>298</v>
      </c>
      <c r="G947" s="285">
        <v>1573.82</v>
      </c>
      <c r="H947" s="1"/>
      <c r="I947" s="1">
        <f>COUNTIF(Tabela1[NF],Tabela1[[#This Row],[NF]])</f>
        <v>0</v>
      </c>
      <c r="K947" s="82">
        <f>Tabela1[[#This Row],[DT. VENCIMENTO]]</f>
        <v>46006</v>
      </c>
      <c r="N947" s="14" t="str" cm="1">
        <f t="array" ref="N947">_xlfn.XLOOKUP(TRIM(D947),TRIM(DFC!A:A),DFC!A:A,"NÃO ESTÁ NA DFC")</f>
        <v xml:space="preserve">      PEÇAS</v>
      </c>
    </row>
    <row r="948" spans="1:14" customFormat="1" ht="14.4" x14ac:dyDescent="0.3">
      <c r="A948" s="24"/>
      <c r="B948" s="21">
        <v>46006</v>
      </c>
      <c r="C948" s="91" t="s">
        <v>15</v>
      </c>
      <c r="D948" s="21" t="s">
        <v>34</v>
      </c>
      <c r="E948" s="20"/>
      <c r="F948" s="22" t="s">
        <v>384</v>
      </c>
      <c r="G948" s="285">
        <v>149.9</v>
      </c>
      <c r="H948" s="1"/>
      <c r="I948" s="1">
        <f>COUNTIF(Tabela1[NF],Tabela1[[#This Row],[NF]])</f>
        <v>0</v>
      </c>
      <c r="K948" s="82">
        <f>Tabela1[[#This Row],[DT. VENCIMENTO]]</f>
        <v>46006</v>
      </c>
      <c r="N948" s="14" t="str" cm="1">
        <f t="array" ref="N948">_xlfn.XLOOKUP(TRIM(D948),TRIM(DFC!A:A),DFC!A:A,"NÃO ESTÁ NA DFC")</f>
        <v xml:space="preserve">          INTERNET</v>
      </c>
    </row>
    <row r="949" spans="1:14" customFormat="1" ht="14.4" x14ac:dyDescent="0.3">
      <c r="A949" s="24"/>
      <c r="B949" s="21">
        <v>46006</v>
      </c>
      <c r="C949" s="91" t="s">
        <v>15</v>
      </c>
      <c r="D949" s="21" t="s">
        <v>29</v>
      </c>
      <c r="E949" s="20"/>
      <c r="F949" s="22" t="s">
        <v>420</v>
      </c>
      <c r="G949" s="285">
        <v>911.24</v>
      </c>
      <c r="H949" s="1"/>
      <c r="I949" s="1">
        <f>COUNTIF(Tabela1[NF],Tabela1[[#This Row],[NF]])</f>
        <v>0</v>
      </c>
      <c r="K949" s="82">
        <f>Tabela1[[#This Row],[DT. VENCIMENTO]]</f>
        <v>46006</v>
      </c>
      <c r="N949" s="14" t="str" cm="1">
        <f t="array" ref="N949">_xlfn.XLOOKUP(TRIM(D949),TRIM(DFC!A:A),DFC!A:A,"NÃO ESTÁ NA DFC")</f>
        <v xml:space="preserve">      FRETE DE SAÍDA</v>
      </c>
    </row>
    <row r="950" spans="1:14" customFormat="1" ht="14.4" x14ac:dyDescent="0.3">
      <c r="A950" s="24"/>
      <c r="B950" s="21">
        <v>46006</v>
      </c>
      <c r="C950" s="91" t="s">
        <v>15</v>
      </c>
      <c r="D950" s="21" t="s">
        <v>104</v>
      </c>
      <c r="E950" s="20" t="s">
        <v>202</v>
      </c>
      <c r="F950" s="22" t="s">
        <v>201</v>
      </c>
      <c r="G950" s="285">
        <v>0</v>
      </c>
      <c r="H950" s="1"/>
      <c r="I950" s="1">
        <f>COUNTIF(Tabela1[NF],Tabela1[[#This Row],[NF]])</f>
        <v>0</v>
      </c>
      <c r="K950" s="82">
        <f>Tabela1[[#This Row],[DT. VENCIMENTO]]</f>
        <v>46006</v>
      </c>
      <c r="N950" s="14" t="str" cm="1">
        <f t="array" ref="N950">_xlfn.XLOOKUP(TRIM(D950),TRIM(DFC!A:A),DFC!A:A,"NÃO ESTÁ NA DFC")</f>
        <v xml:space="preserve">          OUTRAS DESPESAS ADMINISTRATIVAS</v>
      </c>
    </row>
    <row r="951" spans="1:14" customFormat="1" ht="14.4" x14ac:dyDescent="0.3">
      <c r="A951" s="24"/>
      <c r="B951" s="21">
        <v>46006</v>
      </c>
      <c r="C951" s="91" t="s">
        <v>15</v>
      </c>
      <c r="D951" s="84" t="s">
        <v>507</v>
      </c>
      <c r="E951" s="20" t="s">
        <v>508</v>
      </c>
      <c r="F951" s="22" t="s">
        <v>509</v>
      </c>
      <c r="G951" s="285">
        <v>350</v>
      </c>
      <c r="H951" s="1"/>
      <c r="I951" s="1">
        <f>COUNTIF(Tabela1[NF],Tabela1[[#This Row],[NF]])</f>
        <v>0</v>
      </c>
      <c r="K951" s="82">
        <f>Tabela1[[#This Row],[DT. VENCIMENTO]]</f>
        <v>46006</v>
      </c>
      <c r="N951" s="14" t="str" cm="1">
        <f t="array" ref="N951">_xlfn.XLOOKUP(TRIM(D951),TRIM(DFC!A:A),DFC!A:A,"NÃO ESTÁ NA DFC")</f>
        <v xml:space="preserve">     MARKETING COM PRODUTOS</v>
      </c>
    </row>
    <row r="952" spans="1:14" customFormat="1" ht="14.4" x14ac:dyDescent="0.3">
      <c r="A952" s="24"/>
      <c r="B952" s="21">
        <v>46006</v>
      </c>
      <c r="C952" s="91" t="s">
        <v>15</v>
      </c>
      <c r="D952" s="84" t="s">
        <v>57</v>
      </c>
      <c r="E952" s="20" t="s">
        <v>330</v>
      </c>
      <c r="F952" s="22" t="s">
        <v>510</v>
      </c>
      <c r="G952" s="285">
        <v>147.61000000000001</v>
      </c>
      <c r="H952" s="1"/>
      <c r="I952" s="1">
        <f>COUNTIF(Tabela1[NF],Tabela1[[#This Row],[NF]])</f>
        <v>0</v>
      </c>
      <c r="K952" s="82">
        <f>Tabela1[[#This Row],[DT. VENCIMENTO]]</f>
        <v>46006</v>
      </c>
      <c r="N952" s="14" t="str" cm="1">
        <f t="array" ref="N952">_xlfn.XLOOKUP(TRIM(D952),TRIM(DFC!A:A),DFC!A:A,"NÃO ESTÁ NA DFC")</f>
        <v xml:space="preserve">          ALIMENTAÇÃO</v>
      </c>
    </row>
    <row r="953" spans="1:14" customFormat="1" ht="14.4" x14ac:dyDescent="0.3">
      <c r="A953" s="24"/>
      <c r="B953" s="21">
        <v>46006</v>
      </c>
      <c r="C953" s="91" t="s">
        <v>15</v>
      </c>
      <c r="D953" s="21" t="s">
        <v>57</v>
      </c>
      <c r="E953" s="20"/>
      <c r="F953" s="22" t="s">
        <v>421</v>
      </c>
      <c r="G953" s="285">
        <v>121.95</v>
      </c>
      <c r="H953" s="1"/>
      <c r="I953" s="1">
        <f>COUNTIF(Tabela1[NF],Tabela1[[#This Row],[NF]])</f>
        <v>0</v>
      </c>
      <c r="K953" s="82">
        <f>Tabela1[[#This Row],[DT. VENCIMENTO]]</f>
        <v>46006</v>
      </c>
      <c r="N953" s="14" t="str" cm="1">
        <f t="array" ref="N953">_xlfn.XLOOKUP(TRIM(D953),TRIM(DFC!A:A),DFC!A:A,"NÃO ESTÁ NA DFC")</f>
        <v xml:space="preserve">          ALIMENTAÇÃO</v>
      </c>
    </row>
    <row r="954" spans="1:14" customFormat="1" ht="14.4" x14ac:dyDescent="0.3">
      <c r="A954" s="19">
        <v>452292</v>
      </c>
      <c r="B954" s="21">
        <v>46006</v>
      </c>
      <c r="C954" s="91" t="s">
        <v>15</v>
      </c>
      <c r="D954" s="21" t="s">
        <v>19</v>
      </c>
      <c r="E954" s="20"/>
      <c r="F954" s="22" t="s">
        <v>30</v>
      </c>
      <c r="G954" s="285">
        <v>6742</v>
      </c>
      <c r="H954" s="1"/>
      <c r="I954" s="1">
        <f>COUNTIF(Tabela1[NF],Tabela1[[#This Row],[NF]])</f>
        <v>3</v>
      </c>
      <c r="K954" s="82">
        <f>Tabela1[[#This Row],[DT. VENCIMENTO]]</f>
        <v>46006</v>
      </c>
      <c r="N954" s="14" t="str" cm="1">
        <f t="array" ref="N954">_xlfn.XLOOKUP(TRIM(D954),TRIM(DFC!A:A),DFC!A:A,"NÃO ESTÁ NA DFC")</f>
        <v xml:space="preserve">      PEÇAS</v>
      </c>
    </row>
    <row r="955" spans="1:14" customFormat="1" ht="14.4" x14ac:dyDescent="0.3">
      <c r="A955" s="19">
        <v>621001</v>
      </c>
      <c r="B955" s="21">
        <v>46006</v>
      </c>
      <c r="C955" s="91" t="s">
        <v>15</v>
      </c>
      <c r="D955" s="21" t="s">
        <v>19</v>
      </c>
      <c r="E955" s="20"/>
      <c r="F955" s="22" t="s">
        <v>310</v>
      </c>
      <c r="G955" s="285">
        <v>388</v>
      </c>
      <c r="H955" s="1"/>
      <c r="I955" s="1">
        <f>COUNTIF(Tabela1[NF],Tabela1[[#This Row],[NF]])</f>
        <v>3</v>
      </c>
      <c r="K955" s="82">
        <f>Tabela1[[#This Row],[DT. VENCIMENTO]]</f>
        <v>46006</v>
      </c>
      <c r="N955" s="14" t="str" cm="1">
        <f t="array" ref="N955">_xlfn.XLOOKUP(TRIM(D955),TRIM(DFC!A:A),DFC!A:A,"NÃO ESTÁ NA DFC")</f>
        <v xml:space="preserve">      PEÇAS</v>
      </c>
    </row>
    <row r="956" spans="1:14" customFormat="1" ht="14.4" x14ac:dyDescent="0.3">
      <c r="A956" s="19">
        <v>445170</v>
      </c>
      <c r="B956" s="21">
        <v>46006</v>
      </c>
      <c r="C956" s="91" t="s">
        <v>15</v>
      </c>
      <c r="D956" s="21" t="s">
        <v>19</v>
      </c>
      <c r="E956" s="20"/>
      <c r="F956" s="22" t="s">
        <v>24</v>
      </c>
      <c r="G956" s="285">
        <v>651</v>
      </c>
      <c r="H956" s="1"/>
      <c r="I956" s="1">
        <f>COUNTIF(Tabela1[NF],Tabela1[[#This Row],[NF]])</f>
        <v>4</v>
      </c>
      <c r="K956" s="82">
        <f>Tabela1[[#This Row],[DT. VENCIMENTO]]</f>
        <v>46006</v>
      </c>
      <c r="N956" s="14" t="str" cm="1">
        <f t="array" ref="N956">_xlfn.XLOOKUP(TRIM(D956),TRIM(DFC!A:A),DFC!A:A,"NÃO ESTÁ NA DFC")</f>
        <v xml:space="preserve">      PEÇAS</v>
      </c>
    </row>
    <row r="957" spans="1:14" customFormat="1" ht="14.4" x14ac:dyDescent="0.3">
      <c r="A957" s="24"/>
      <c r="B957" s="21">
        <v>46007</v>
      </c>
      <c r="C957" s="91" t="s">
        <v>15</v>
      </c>
      <c r="D957" s="21" t="s">
        <v>82</v>
      </c>
      <c r="E957" s="20"/>
      <c r="F957" s="22" t="s">
        <v>511</v>
      </c>
      <c r="G957" s="285">
        <v>387.5</v>
      </c>
      <c r="H957" s="1"/>
      <c r="I957" s="1">
        <f>COUNTIF(Tabela1[NF],Tabela1[[#This Row],[NF]])</f>
        <v>0</v>
      </c>
      <c r="K957" s="82">
        <f>Tabela1[[#This Row],[DT. VENCIMENTO]]</f>
        <v>46007</v>
      </c>
      <c r="N957" s="14" t="str" cm="1">
        <f t="array" ref="N957">_xlfn.XLOOKUP(TRIM(D957),TRIM(DFC!A:A),DFC!A:A,"NÃO ESTÁ NA DFC")</f>
        <v xml:space="preserve">          DIÁRIAS</v>
      </c>
    </row>
    <row r="958" spans="1:14" customFormat="1" ht="14.4" x14ac:dyDescent="0.3">
      <c r="A958" s="24"/>
      <c r="B958" s="21">
        <v>46007</v>
      </c>
      <c r="C958" s="91" t="s">
        <v>15</v>
      </c>
      <c r="D958" s="21" t="s">
        <v>82</v>
      </c>
      <c r="E958" s="20"/>
      <c r="F958" s="22" t="s">
        <v>512</v>
      </c>
      <c r="G958" s="285">
        <v>300</v>
      </c>
      <c r="H958" s="1"/>
      <c r="I958" s="1">
        <f>COUNTIF(Tabela1[NF],Tabela1[[#This Row],[NF]])</f>
        <v>0</v>
      </c>
      <c r="K958" s="82">
        <f>Tabela1[[#This Row],[DT. VENCIMENTO]]</f>
        <v>46007</v>
      </c>
      <c r="N958" s="14" t="str" cm="1">
        <f t="array" ref="N958">_xlfn.XLOOKUP(TRIM(D958),TRIM(DFC!A:A),DFC!A:A,"NÃO ESTÁ NA DFC")</f>
        <v xml:space="preserve">          DIÁRIAS</v>
      </c>
    </row>
    <row r="959" spans="1:14" customFormat="1" ht="14.4" x14ac:dyDescent="0.3">
      <c r="A959" s="24"/>
      <c r="B959" s="21">
        <v>46007</v>
      </c>
      <c r="C959" s="91" t="s">
        <v>15</v>
      </c>
      <c r="D959" s="21" t="s">
        <v>82</v>
      </c>
      <c r="E959" s="20"/>
      <c r="F959" s="22" t="s">
        <v>347</v>
      </c>
      <c r="G959" s="285">
        <v>300</v>
      </c>
      <c r="H959" s="1"/>
      <c r="I959" s="1">
        <f>COUNTIF(Tabela1[NF],Tabela1[[#This Row],[NF]])</f>
        <v>0</v>
      </c>
      <c r="K959" s="82">
        <f>Tabela1[[#This Row],[DT. VENCIMENTO]]</f>
        <v>46007</v>
      </c>
      <c r="N959" s="14" t="str" cm="1">
        <f t="array" ref="N959">_xlfn.XLOOKUP(TRIM(D959),TRIM(DFC!A:A),DFC!A:A,"NÃO ESTÁ NA DFC")</f>
        <v xml:space="preserve">          DIÁRIAS</v>
      </c>
    </row>
    <row r="960" spans="1:14" customFormat="1" ht="14.4" x14ac:dyDescent="0.3">
      <c r="A960" s="24"/>
      <c r="B960" s="21">
        <v>46007</v>
      </c>
      <c r="C960" s="91" t="s">
        <v>15</v>
      </c>
      <c r="D960" s="21" t="s">
        <v>82</v>
      </c>
      <c r="E960" s="20"/>
      <c r="F960" s="22" t="s">
        <v>513</v>
      </c>
      <c r="G960" s="285">
        <v>100</v>
      </c>
      <c r="H960" s="1"/>
      <c r="I960" s="1">
        <f>COUNTIF(Tabela1[NF],Tabela1[[#This Row],[NF]])</f>
        <v>0</v>
      </c>
      <c r="K960" s="82">
        <f>Tabela1[[#This Row],[DT. VENCIMENTO]]</f>
        <v>46007</v>
      </c>
      <c r="N960" s="14" t="str" cm="1">
        <f t="array" ref="N960">_xlfn.XLOOKUP(TRIM(D960),TRIM(DFC!A:A),DFC!A:A,"NÃO ESTÁ NA DFC")</f>
        <v xml:space="preserve">          DIÁRIAS</v>
      </c>
    </row>
    <row r="961" spans="1:14" customFormat="1" ht="14.4" x14ac:dyDescent="0.3">
      <c r="A961" s="24"/>
      <c r="B961" s="21">
        <v>46007</v>
      </c>
      <c r="C961" s="91" t="s">
        <v>15</v>
      </c>
      <c r="D961" s="21" t="s">
        <v>82</v>
      </c>
      <c r="E961" s="20"/>
      <c r="F961" s="22" t="s">
        <v>509</v>
      </c>
      <c r="G961" s="285">
        <v>350</v>
      </c>
      <c r="H961" s="1"/>
      <c r="I961" s="1">
        <f>COUNTIF(Tabela1[NF],Tabela1[[#This Row],[NF]])</f>
        <v>0</v>
      </c>
      <c r="K961" s="82">
        <f>Tabela1[[#This Row],[DT. VENCIMENTO]]</f>
        <v>46007</v>
      </c>
      <c r="N961" s="14" t="str" cm="1">
        <f t="array" ref="N961">_xlfn.XLOOKUP(TRIM(D961),TRIM(DFC!A:A),DFC!A:A,"NÃO ESTÁ NA DFC")</f>
        <v xml:space="preserve">          DIÁRIAS</v>
      </c>
    </row>
    <row r="962" spans="1:14" customFormat="1" ht="14.4" x14ac:dyDescent="0.3">
      <c r="A962" s="24"/>
      <c r="B962" s="21">
        <v>46007</v>
      </c>
      <c r="C962" s="91" t="s">
        <v>15</v>
      </c>
      <c r="D962" s="21" t="s">
        <v>82</v>
      </c>
      <c r="E962" s="20"/>
      <c r="F962" s="22" t="s">
        <v>514</v>
      </c>
      <c r="G962" s="285">
        <v>600</v>
      </c>
      <c r="H962" s="1"/>
      <c r="I962" s="1">
        <f>COUNTIF(Tabela1[NF],Tabela1[[#This Row],[NF]])</f>
        <v>0</v>
      </c>
      <c r="K962" s="82">
        <f>Tabela1[[#This Row],[DT. VENCIMENTO]]</f>
        <v>46007</v>
      </c>
      <c r="N962" s="14" t="str" cm="1">
        <f t="array" ref="N962">_xlfn.XLOOKUP(TRIM(D962),TRIM(DFC!A:A),DFC!A:A,"NÃO ESTÁ NA DFC")</f>
        <v xml:space="preserve">          DIÁRIAS</v>
      </c>
    </row>
    <row r="963" spans="1:14" customFormat="1" ht="14.4" x14ac:dyDescent="0.3">
      <c r="A963" s="24"/>
      <c r="B963" s="21">
        <v>46007</v>
      </c>
      <c r="C963" s="91" t="s">
        <v>15</v>
      </c>
      <c r="D963" s="21" t="s">
        <v>72</v>
      </c>
      <c r="E963" s="20"/>
      <c r="F963" s="22" t="s">
        <v>380</v>
      </c>
      <c r="G963" s="285">
        <v>623.87</v>
      </c>
      <c r="H963" s="1"/>
      <c r="I963" s="1">
        <f>COUNTIF(Tabela1[NF],Tabela1[[#This Row],[NF]])</f>
        <v>0</v>
      </c>
      <c r="K963" s="82">
        <f>Tabela1[[#This Row],[DT. VENCIMENTO]]</f>
        <v>46007</v>
      </c>
      <c r="N963" s="14" t="str" cm="1">
        <f t="array" ref="N963">_xlfn.XLOOKUP(TRIM(D963),TRIM(DFC!A:A),DFC!A:A,"NÃO ESTÁ NA DFC")</f>
        <v xml:space="preserve">          COMBUSTÍVEL</v>
      </c>
    </row>
    <row r="964" spans="1:14" customFormat="1" ht="14.4" x14ac:dyDescent="0.3">
      <c r="A964" s="24"/>
      <c r="B964" s="21">
        <v>46007</v>
      </c>
      <c r="C964" s="91" t="s">
        <v>15</v>
      </c>
      <c r="D964" s="21" t="s">
        <v>19</v>
      </c>
      <c r="E964" s="20"/>
      <c r="F964" s="22" t="s">
        <v>228</v>
      </c>
      <c r="G964" s="285">
        <v>1325.8</v>
      </c>
      <c r="H964" s="1"/>
      <c r="I964" s="1">
        <f>COUNTIF(Tabela1[NF],Tabela1[[#This Row],[NF]])</f>
        <v>0</v>
      </c>
      <c r="K964" s="82">
        <f>Tabela1[[#This Row],[DT. VENCIMENTO]]</f>
        <v>46007</v>
      </c>
      <c r="N964" s="14" t="str" cm="1">
        <f t="array" ref="N964">_xlfn.XLOOKUP(TRIM(D964),TRIM(DFC!A:A),DFC!A:A,"NÃO ESTÁ NA DFC")</f>
        <v xml:space="preserve">      PEÇAS</v>
      </c>
    </row>
    <row r="965" spans="1:14" customFormat="1" ht="14.4" x14ac:dyDescent="0.3">
      <c r="A965" s="24"/>
      <c r="B965" s="21">
        <v>46007</v>
      </c>
      <c r="C965" s="91" t="s">
        <v>15</v>
      </c>
      <c r="D965" s="21" t="s">
        <v>29</v>
      </c>
      <c r="E965" s="20"/>
      <c r="F965" s="22" t="s">
        <v>306</v>
      </c>
      <c r="G965" s="285">
        <v>83.05</v>
      </c>
      <c r="H965" s="1"/>
      <c r="I965" s="1">
        <f>COUNTIF(Tabela1[NF],Tabela1[[#This Row],[NF]])</f>
        <v>0</v>
      </c>
      <c r="K965" s="82">
        <f>Tabela1[[#This Row],[DT. VENCIMENTO]]</f>
        <v>46007</v>
      </c>
      <c r="L965" s="92"/>
      <c r="M965" s="92"/>
      <c r="N965" s="14" t="str" cm="1">
        <f t="array" ref="N965">_xlfn.XLOOKUP(TRIM(D965),TRIM(DFC!A:A),DFC!A:A,"NÃO ESTÁ NA DFC")</f>
        <v xml:space="preserve">      FRETE DE SAÍDA</v>
      </c>
    </row>
    <row r="966" spans="1:14" customFormat="1" ht="14.4" x14ac:dyDescent="0.3">
      <c r="A966" s="24"/>
      <c r="B966" s="21">
        <v>46007</v>
      </c>
      <c r="C966" s="91" t="s">
        <v>15</v>
      </c>
      <c r="D966" s="21" t="s">
        <v>29</v>
      </c>
      <c r="E966" s="20"/>
      <c r="F966" s="22" t="s">
        <v>515</v>
      </c>
      <c r="G966" s="285">
        <v>130</v>
      </c>
      <c r="H966" s="1"/>
      <c r="I966" s="1">
        <f>COUNTIF(Tabela1[NF],Tabela1[[#This Row],[NF]])</f>
        <v>0</v>
      </c>
      <c r="K966" s="82">
        <f>Tabela1[[#This Row],[DT. VENCIMENTO]]</f>
        <v>46007</v>
      </c>
      <c r="L966" s="92"/>
      <c r="M966" s="92"/>
      <c r="N966" s="14" t="str" cm="1">
        <f t="array" ref="N966">_xlfn.XLOOKUP(TRIM(D966),TRIM(DFC!A:A),DFC!A:A,"NÃO ESTÁ NA DFC")</f>
        <v xml:space="preserve">      FRETE DE SAÍDA</v>
      </c>
    </row>
    <row r="967" spans="1:14" customFormat="1" ht="14.4" x14ac:dyDescent="0.3">
      <c r="A967" s="24"/>
      <c r="B967" s="21">
        <v>46007</v>
      </c>
      <c r="C967" s="91" t="s">
        <v>44</v>
      </c>
      <c r="D967" s="21" t="s">
        <v>78</v>
      </c>
      <c r="E967" s="20"/>
      <c r="F967" s="22" t="s">
        <v>516</v>
      </c>
      <c r="G967" s="285">
        <v>93.44</v>
      </c>
      <c r="H967" s="1"/>
      <c r="I967" s="1">
        <f>COUNTIF(Tabela1[NF],Tabela1[[#This Row],[NF]])</f>
        <v>0</v>
      </c>
      <c r="K967" s="82">
        <f>Tabela1[[#This Row],[DT. VENCIMENTO]]</f>
        <v>46007</v>
      </c>
      <c r="L967" s="92"/>
      <c r="M967" s="92"/>
      <c r="N967" s="14" t="str" cm="1">
        <f t="array" ref="N967">_xlfn.XLOOKUP(TRIM(D967),TRIM(DFC!A:A),DFC!A:A,"NÃO ESTÁ NA DFC")</f>
        <v xml:space="preserve">          COPEL</v>
      </c>
    </row>
    <row r="968" spans="1:14" customFormat="1" ht="14.4" x14ac:dyDescent="0.3">
      <c r="A968" s="24"/>
      <c r="B968" s="21">
        <v>46007</v>
      </c>
      <c r="C968" s="91" t="s">
        <v>44</v>
      </c>
      <c r="D968" s="21" t="s">
        <v>78</v>
      </c>
      <c r="E968" s="20"/>
      <c r="F968" s="22" t="s">
        <v>516</v>
      </c>
      <c r="G968" s="285">
        <v>550.77</v>
      </c>
      <c r="H968" s="1"/>
      <c r="I968" s="1">
        <f>COUNTIF(Tabela1[NF],Tabela1[[#This Row],[NF]])</f>
        <v>0</v>
      </c>
      <c r="K968" s="82">
        <f>Tabela1[[#This Row],[DT. VENCIMENTO]]</f>
        <v>46007</v>
      </c>
      <c r="L968" s="92"/>
      <c r="M968" s="92"/>
      <c r="N968" s="14" t="str" cm="1">
        <f t="array" ref="N968">_xlfn.XLOOKUP(TRIM(D968),TRIM(DFC!A:A),DFC!A:A,"NÃO ESTÁ NA DFC")</f>
        <v xml:space="preserve">          COPEL</v>
      </c>
    </row>
    <row r="969" spans="1:14" customFormat="1" ht="14.4" x14ac:dyDescent="0.3">
      <c r="A969" s="19">
        <v>438751</v>
      </c>
      <c r="B969" s="21">
        <v>46007</v>
      </c>
      <c r="C969" s="91" t="s">
        <v>15</v>
      </c>
      <c r="D969" s="21" t="s">
        <v>19</v>
      </c>
      <c r="E969" s="20"/>
      <c r="F969" s="22" t="s">
        <v>24</v>
      </c>
      <c r="G969" s="285">
        <v>1138</v>
      </c>
      <c r="H969" s="1"/>
      <c r="I969" s="1">
        <f>COUNTIF(Tabela1[NF],Tabela1[[#This Row],[NF]])</f>
        <v>4</v>
      </c>
      <c r="K969" s="82">
        <f>Tabela1[[#This Row],[DT. VENCIMENTO]]</f>
        <v>46007</v>
      </c>
      <c r="N969" s="14" t="str" cm="1">
        <f t="array" ref="N969">_xlfn.XLOOKUP(TRIM(D969),TRIM(DFC!A:A),DFC!A:A,"NÃO ESTÁ NA DFC")</f>
        <v xml:space="preserve">      PEÇAS</v>
      </c>
    </row>
    <row r="970" spans="1:14" customFormat="1" ht="14.4" x14ac:dyDescent="0.3">
      <c r="A970" s="24"/>
      <c r="B970" s="21">
        <v>46008</v>
      </c>
      <c r="C970" s="91" t="s">
        <v>44</v>
      </c>
      <c r="D970" s="21" t="s">
        <v>107</v>
      </c>
      <c r="E970" s="20" t="s">
        <v>517</v>
      </c>
      <c r="F970" s="22" t="s">
        <v>230</v>
      </c>
      <c r="G970" s="285">
        <v>4586.54</v>
      </c>
      <c r="H970" s="1"/>
      <c r="I970" s="1">
        <f>COUNTIF(Tabela1[NF],Tabela1[[#This Row],[NF]])</f>
        <v>0</v>
      </c>
      <c r="K970" s="82">
        <f>Tabela1[[#This Row],[DT. VENCIMENTO]]</f>
        <v>46008</v>
      </c>
      <c r="L970" s="92"/>
      <c r="M970" s="92"/>
      <c r="N970" s="14" t="str" cm="1">
        <f t="array" ref="N970">_xlfn.XLOOKUP(TRIM(D970),TRIM(DFC!A:A),DFC!A:A,"NÃO ESTÁ NA DFC")</f>
        <v xml:space="preserve">          PRÓ LABORE </v>
      </c>
    </row>
    <row r="971" spans="1:14" customFormat="1" ht="14.4" x14ac:dyDescent="0.3">
      <c r="A971" s="24"/>
      <c r="B971" s="21">
        <v>46008</v>
      </c>
      <c r="C971" s="91" t="s">
        <v>15</v>
      </c>
      <c r="D971" s="21" t="s">
        <v>19</v>
      </c>
      <c r="E971" s="20"/>
      <c r="F971" s="22" t="s">
        <v>300</v>
      </c>
      <c r="G971" s="285">
        <v>5970.24</v>
      </c>
      <c r="H971" s="1"/>
      <c r="I971" s="1">
        <f>COUNTIF(Tabela1[NF],Tabela1[[#This Row],[NF]])</f>
        <v>0</v>
      </c>
      <c r="K971" s="82">
        <f>Tabela1[[#This Row],[DT. VENCIMENTO]]</f>
        <v>46008</v>
      </c>
      <c r="L971" s="92"/>
      <c r="M971" s="92"/>
      <c r="N971" s="14" t="str" cm="1">
        <f t="array" ref="N971">_xlfn.XLOOKUP(TRIM(D971),TRIM(DFC!A:A),DFC!A:A,"NÃO ESTÁ NA DFC")</f>
        <v xml:space="preserve">      PEÇAS</v>
      </c>
    </row>
    <row r="972" spans="1:14" customFormat="1" ht="14.4" x14ac:dyDescent="0.3">
      <c r="A972" s="24"/>
      <c r="B972" s="21">
        <v>46008</v>
      </c>
      <c r="C972" s="91" t="s">
        <v>15</v>
      </c>
      <c r="D972" s="21" t="s">
        <v>19</v>
      </c>
      <c r="E972" s="20"/>
      <c r="F972" s="22" t="s">
        <v>228</v>
      </c>
      <c r="G972" s="285">
        <v>6001.37</v>
      </c>
      <c r="H972" s="1"/>
      <c r="I972" s="1">
        <f>COUNTIF(Tabela1[NF],Tabela1[[#This Row],[NF]])</f>
        <v>0</v>
      </c>
      <c r="K972" s="82">
        <f>Tabela1[[#This Row],[DT. VENCIMENTO]]</f>
        <v>46008</v>
      </c>
      <c r="L972" s="92"/>
      <c r="M972" s="92"/>
      <c r="N972" s="14" t="str" cm="1">
        <f t="array" ref="N972">_xlfn.XLOOKUP(TRIM(D972),TRIM(DFC!A:A),DFC!A:A,"NÃO ESTÁ NA DFC")</f>
        <v xml:space="preserve">      PEÇAS</v>
      </c>
    </row>
    <row r="973" spans="1:14" customFormat="1" ht="14.4" x14ac:dyDescent="0.3">
      <c r="A973" s="24"/>
      <c r="B973" s="21">
        <v>46008</v>
      </c>
      <c r="C973" s="91" t="s">
        <v>15</v>
      </c>
      <c r="D973" s="21" t="s">
        <v>19</v>
      </c>
      <c r="E973" s="20"/>
      <c r="F973" s="22" t="s">
        <v>300</v>
      </c>
      <c r="G973" s="285">
        <v>5970.21</v>
      </c>
      <c r="H973" s="1"/>
      <c r="I973" s="1">
        <f>COUNTIF(Tabela1[NF],Tabela1[[#This Row],[NF]])</f>
        <v>0</v>
      </c>
      <c r="K973" s="82">
        <f>Tabela1[[#This Row],[DT. VENCIMENTO]]</f>
        <v>46008</v>
      </c>
      <c r="L973" s="92"/>
      <c r="M973" s="92"/>
      <c r="N973" s="14" t="str" cm="1">
        <f t="array" ref="N973">_xlfn.XLOOKUP(TRIM(D973),TRIM(DFC!A:A),DFC!A:A,"NÃO ESTÁ NA DFC")</f>
        <v xml:space="preserve">      PEÇAS</v>
      </c>
    </row>
    <row r="974" spans="1:14" customFormat="1" ht="14.4" x14ac:dyDescent="0.3">
      <c r="A974" s="24"/>
      <c r="B974" s="21">
        <v>46009</v>
      </c>
      <c r="C974" s="91" t="s">
        <v>15</v>
      </c>
      <c r="D974" s="21" t="s">
        <v>82</v>
      </c>
      <c r="E974" s="20"/>
      <c r="F974" s="22" t="s">
        <v>518</v>
      </c>
      <c r="G974" s="285">
        <v>150</v>
      </c>
      <c r="H974" s="1"/>
      <c r="I974" s="1">
        <f>COUNTIF(Tabela1[NF],Tabela1[[#This Row],[NF]])</f>
        <v>0</v>
      </c>
      <c r="K974" s="82">
        <f>Tabela1[[#This Row],[DT. VENCIMENTO]]</f>
        <v>46009</v>
      </c>
      <c r="L974" s="92"/>
      <c r="M974" s="92"/>
      <c r="N974" s="14" t="str" cm="1">
        <f t="array" ref="N974">_xlfn.XLOOKUP(TRIM(D974),TRIM(DFC!A:A),DFC!A:A,"NÃO ESTÁ NA DFC")</f>
        <v xml:space="preserve">          DIÁRIAS</v>
      </c>
    </row>
    <row r="975" spans="1:14" customFormat="1" ht="14.4" x14ac:dyDescent="0.3">
      <c r="A975" s="24"/>
      <c r="B975" s="21">
        <v>46009</v>
      </c>
      <c r="C975" s="91" t="s">
        <v>15</v>
      </c>
      <c r="D975" s="21" t="s">
        <v>82</v>
      </c>
      <c r="E975" s="20"/>
      <c r="F975" s="22" t="s">
        <v>469</v>
      </c>
      <c r="G975" s="285">
        <v>200</v>
      </c>
      <c r="H975" s="1"/>
      <c r="I975" s="1">
        <f>COUNTIF(Tabela1[NF],Tabela1[[#This Row],[NF]])</f>
        <v>0</v>
      </c>
      <c r="K975" s="82">
        <f>Tabela1[[#This Row],[DT. VENCIMENTO]]</f>
        <v>46009</v>
      </c>
      <c r="L975" s="92"/>
      <c r="M975" s="92"/>
      <c r="N975" s="14" t="str" cm="1">
        <f t="array" ref="N975">_xlfn.XLOOKUP(TRIM(D975),TRIM(DFC!A:A),DFC!A:A,"NÃO ESTÁ NA DFC")</f>
        <v xml:space="preserve">          DIÁRIAS</v>
      </c>
    </row>
    <row r="976" spans="1:14" customFormat="1" ht="14.4" x14ac:dyDescent="0.3">
      <c r="A976" s="24"/>
      <c r="B976" s="21">
        <v>46009</v>
      </c>
      <c r="C976" s="91" t="s">
        <v>15</v>
      </c>
      <c r="D976" s="21" t="s">
        <v>63</v>
      </c>
      <c r="E976" s="20" t="s">
        <v>519</v>
      </c>
      <c r="F976" s="22" t="s">
        <v>520</v>
      </c>
      <c r="G976" s="285">
        <v>372.46</v>
      </c>
      <c r="H976" s="1"/>
      <c r="I976" s="1">
        <f>COUNTIF(Tabela1[NF],Tabela1[[#This Row],[NF]])</f>
        <v>0</v>
      </c>
      <c r="K976" s="82">
        <f>Tabela1[[#This Row],[DT. VENCIMENTO]]</f>
        <v>46009</v>
      </c>
      <c r="L976" s="92"/>
      <c r="M976" s="92"/>
      <c r="N976" s="14" t="str" cm="1">
        <f t="array" ref="N976">_xlfn.XLOOKUP(TRIM(D976),TRIM(DFC!A:A),DFC!A:A,"NÃO ESTÁ NA DFC")</f>
        <v xml:space="preserve">          ALVARÁ</v>
      </c>
    </row>
    <row r="977" spans="1:14" customFormat="1" ht="14.4" x14ac:dyDescent="0.3">
      <c r="A977" s="24"/>
      <c r="B977" s="21">
        <v>46009</v>
      </c>
      <c r="C977" s="91" t="s">
        <v>15</v>
      </c>
      <c r="D977" s="84" t="s">
        <v>97</v>
      </c>
      <c r="E977" s="20" t="s">
        <v>521</v>
      </c>
      <c r="F977" s="22" t="s">
        <v>522</v>
      </c>
      <c r="G977" s="285">
        <v>1254</v>
      </c>
      <c r="H977" s="1"/>
      <c r="I977" s="1">
        <f>COUNTIF(Tabela1[NF],Tabela1[[#This Row],[NF]])</f>
        <v>0</v>
      </c>
      <c r="K977" s="82">
        <f>Tabela1[[#This Row],[DT. VENCIMENTO]]</f>
        <v>46009</v>
      </c>
      <c r="L977" s="92"/>
      <c r="M977" s="92"/>
      <c r="N977" s="14" t="str" cm="1">
        <f t="array" ref="N977">_xlfn.XLOOKUP(TRIM(D977),TRIM(DFC!A:A),DFC!A:A,"NÃO ESTÁ NA DFC")</f>
        <v xml:space="preserve">          MANUTENÇÃO PREDIAL</v>
      </c>
    </row>
    <row r="978" spans="1:14" customFormat="1" ht="14.4" x14ac:dyDescent="0.3">
      <c r="A978" s="24"/>
      <c r="B978" s="21">
        <v>46009</v>
      </c>
      <c r="C978" s="91" t="s">
        <v>15</v>
      </c>
      <c r="D978" s="84" t="s">
        <v>97</v>
      </c>
      <c r="E978" s="20" t="s">
        <v>521</v>
      </c>
      <c r="F978" s="22" t="s">
        <v>522</v>
      </c>
      <c r="G978" s="285">
        <v>1426</v>
      </c>
      <c r="H978" s="1"/>
      <c r="I978" s="1">
        <f>COUNTIF(Tabela1[NF],Tabela1[[#This Row],[NF]])</f>
        <v>0</v>
      </c>
      <c r="K978" s="82">
        <f>Tabela1[[#This Row],[DT. VENCIMENTO]]</f>
        <v>46009</v>
      </c>
      <c r="L978" s="92"/>
      <c r="M978" s="92"/>
      <c r="N978" s="14" t="str" cm="1">
        <f t="array" ref="N978">_xlfn.XLOOKUP(TRIM(D978),TRIM(DFC!A:A),DFC!A:A,"NÃO ESTÁ NA DFC")</f>
        <v xml:space="preserve">          MANUTENÇÃO PREDIAL</v>
      </c>
    </row>
    <row r="979" spans="1:14" customFormat="1" ht="14.4" x14ac:dyDescent="0.3">
      <c r="A979" s="24"/>
      <c r="B979" s="21">
        <v>46009</v>
      </c>
      <c r="C979" s="91" t="s">
        <v>15</v>
      </c>
      <c r="D979" s="21" t="s">
        <v>19</v>
      </c>
      <c r="E979" s="20"/>
      <c r="F979" s="22" t="s">
        <v>300</v>
      </c>
      <c r="G979" s="285">
        <v>16957.740000000002</v>
      </c>
      <c r="H979" s="1"/>
      <c r="I979" s="1">
        <f>COUNTIF(Tabela1[NF],Tabela1[[#This Row],[NF]])</f>
        <v>0</v>
      </c>
      <c r="K979" s="82">
        <f>Tabela1[[#This Row],[DT. VENCIMENTO]]</f>
        <v>46009</v>
      </c>
      <c r="L979" s="92"/>
      <c r="M979" s="92"/>
      <c r="N979" s="14" t="str" cm="1">
        <f t="array" ref="N979">_xlfn.XLOOKUP(TRIM(D979),TRIM(DFC!A:A),DFC!A:A,"NÃO ESTÁ NA DFC")</f>
        <v xml:space="preserve">      PEÇAS</v>
      </c>
    </row>
    <row r="980" spans="1:14" customFormat="1" ht="14.4" x14ac:dyDescent="0.3">
      <c r="A980" s="24"/>
      <c r="B980" s="21">
        <v>46009</v>
      </c>
      <c r="C980" s="21" t="s">
        <v>15</v>
      </c>
      <c r="D980" s="21" t="s">
        <v>19</v>
      </c>
      <c r="E980" s="20"/>
      <c r="F980" s="22" t="s">
        <v>318</v>
      </c>
      <c r="G980" s="285">
        <v>247.29</v>
      </c>
      <c r="H980" s="1"/>
      <c r="I980" s="1">
        <f>COUNTIF(Tabela1[NF],Tabela1[[#This Row],[NF]])</f>
        <v>0</v>
      </c>
      <c r="K980" s="26">
        <f>Tabela1[[#This Row],[DT. VENCIMENTO]]</f>
        <v>46009</v>
      </c>
      <c r="N980" s="14" t="str" cm="1">
        <f t="array" ref="N980">_xlfn.XLOOKUP(TRIM(D980),TRIM(DFC!A:A),DFC!A:A,"NÃO ESTÁ NA DFC")</f>
        <v xml:space="preserve">      PEÇAS</v>
      </c>
    </row>
    <row r="981" spans="1:14" customFormat="1" ht="14.4" customHeight="1" x14ac:dyDescent="0.3">
      <c r="A981" s="24"/>
      <c r="B981" s="21">
        <v>46009</v>
      </c>
      <c r="C981" s="21" t="s">
        <v>15</v>
      </c>
      <c r="D981" s="21" t="s">
        <v>23</v>
      </c>
      <c r="E981" s="20"/>
      <c r="F981" s="22" t="s">
        <v>389</v>
      </c>
      <c r="G981" s="285">
        <v>1414</v>
      </c>
      <c r="H981" s="1"/>
      <c r="I981" s="1">
        <f>COUNTIF(Tabela1[NF],Tabela1[[#This Row],[NF]])</f>
        <v>0</v>
      </c>
      <c r="K981" s="26">
        <f>Tabela1[[#This Row],[DT. VENCIMENTO]]</f>
        <v>46009</v>
      </c>
      <c r="N981" s="14" t="str" cm="1">
        <f t="array" ref="N981">_xlfn.XLOOKUP(TRIM(D981),TRIM(DFC!A:A),DFC!A:A,"NÃO ESTÁ NA DFC")</f>
        <v xml:space="preserve">         CONTABILIDADE</v>
      </c>
    </row>
    <row r="982" spans="1:14" customFormat="1" ht="14.4" x14ac:dyDescent="0.3">
      <c r="A982" s="24"/>
      <c r="B982" s="21">
        <v>46009</v>
      </c>
      <c r="C982" s="21" t="s">
        <v>15</v>
      </c>
      <c r="D982" s="21" t="s">
        <v>154</v>
      </c>
      <c r="E982" s="20"/>
      <c r="F982" s="22" t="s">
        <v>303</v>
      </c>
      <c r="G982" s="285">
        <v>604.74</v>
      </c>
      <c r="H982" s="1"/>
      <c r="I982" s="1">
        <f>COUNTIF(Tabela1[NF],Tabela1[[#This Row],[NF]])</f>
        <v>0</v>
      </c>
      <c r="K982" s="26">
        <f>Tabela1[[#This Row],[DT. VENCIMENTO]]</f>
        <v>46009</v>
      </c>
      <c r="N982" s="14" t="str" cm="1">
        <f t="array" ref="N982">_xlfn.XLOOKUP(TRIM(D982),TRIM(DFC!A:A),DFC!A:A,"NÃO ESTÁ NA DFC")</f>
        <v xml:space="preserve">      EMBALAGENS</v>
      </c>
    </row>
    <row r="983" spans="1:14" customFormat="1" ht="14.4" x14ac:dyDescent="0.3">
      <c r="A983" s="24"/>
      <c r="B983" s="21">
        <v>46009</v>
      </c>
      <c r="C983" s="21" t="s">
        <v>15</v>
      </c>
      <c r="D983" s="21" t="s">
        <v>23</v>
      </c>
      <c r="E983" s="20"/>
      <c r="F983" s="22" t="s">
        <v>389</v>
      </c>
      <c r="G983" s="285">
        <v>70</v>
      </c>
      <c r="H983" s="1"/>
      <c r="I983" s="1">
        <f>COUNTIF(Tabela1[NF],Tabela1[[#This Row],[NF]])</f>
        <v>0</v>
      </c>
      <c r="K983" s="26">
        <f>Tabela1[[#This Row],[DT. VENCIMENTO]]</f>
        <v>46009</v>
      </c>
      <c r="N983" s="14" t="str" cm="1">
        <f t="array" ref="N983">_xlfn.XLOOKUP(TRIM(D983),TRIM(DFC!A:A),DFC!A:A,"NÃO ESTÁ NA DFC")</f>
        <v xml:space="preserve">         CONTABILIDADE</v>
      </c>
    </row>
    <row r="984" spans="1:14" customFormat="1" ht="14.4" x14ac:dyDescent="0.3">
      <c r="A984" s="24"/>
      <c r="B984" s="21">
        <v>46009</v>
      </c>
      <c r="C984" s="21" t="s">
        <v>15</v>
      </c>
      <c r="D984" s="84" t="s">
        <v>98</v>
      </c>
      <c r="E984" s="20" t="s">
        <v>307</v>
      </c>
      <c r="F984" s="22" t="s">
        <v>523</v>
      </c>
      <c r="G984" s="285">
        <v>15</v>
      </c>
      <c r="H984" s="1"/>
      <c r="I984" s="1">
        <f>COUNTIF(Tabela1[NF],Tabela1[[#This Row],[NF]])</f>
        <v>0</v>
      </c>
      <c r="K984" s="26">
        <f>Tabela1[[#This Row],[DT. VENCIMENTO]]</f>
        <v>46009</v>
      </c>
      <c r="N984" s="14" t="str" cm="1">
        <f t="array" ref="N984">_xlfn.XLOOKUP(TRIM(D984),TRIM(DFC!A:A),DFC!A:A,"NÃO ESTÁ NA DFC")</f>
        <v xml:space="preserve">     REEMBOLSO SAC</v>
      </c>
    </row>
    <row r="985" spans="1:14" customFormat="1" ht="14.4" x14ac:dyDescent="0.3">
      <c r="A985" s="24"/>
      <c r="B985" s="21">
        <v>46009</v>
      </c>
      <c r="C985" s="21" t="s">
        <v>15</v>
      </c>
      <c r="D985" s="84" t="s">
        <v>98</v>
      </c>
      <c r="E985" s="20" t="s">
        <v>307</v>
      </c>
      <c r="F985" s="22" t="s">
        <v>524</v>
      </c>
      <c r="G985" s="285">
        <v>20</v>
      </c>
      <c r="H985" s="1"/>
      <c r="I985" s="1">
        <f>COUNTIF(Tabela1[NF],Tabela1[[#This Row],[NF]])</f>
        <v>0</v>
      </c>
      <c r="K985" s="26">
        <f>Tabela1[[#This Row],[DT. VENCIMENTO]]</f>
        <v>46009</v>
      </c>
      <c r="N985" s="14" t="str" cm="1">
        <f t="array" ref="N985">_xlfn.XLOOKUP(TRIM(D985),TRIM(DFC!A:A),DFC!A:A,"NÃO ESTÁ NA DFC")</f>
        <v xml:space="preserve">     REEMBOLSO SAC</v>
      </c>
    </row>
    <row r="986" spans="1:14" customFormat="1" ht="14.4" x14ac:dyDescent="0.3">
      <c r="A986" s="24"/>
      <c r="B986" s="21">
        <v>46009</v>
      </c>
      <c r="C986" s="21" t="s">
        <v>15</v>
      </c>
      <c r="D986" s="84" t="s">
        <v>28</v>
      </c>
      <c r="E986" s="20" t="s">
        <v>525</v>
      </c>
      <c r="F986" s="22" t="s">
        <v>526</v>
      </c>
      <c r="G986" s="285">
        <v>40</v>
      </c>
      <c r="H986" s="1"/>
      <c r="I986" s="1">
        <f>COUNTIF(Tabela1[NF],Tabela1[[#This Row],[NF]])</f>
        <v>0</v>
      </c>
      <c r="K986" s="26">
        <f>Tabela1[[#This Row],[DT. VENCIMENTO]]</f>
        <v>46009</v>
      </c>
      <c r="N986" s="14" t="str" cm="1">
        <f t="array" ref="N986">_xlfn.XLOOKUP(TRIM(D986),TRIM(DFC!A:A),DFC!A:A,"NÃO ESTÁ NA DFC")</f>
        <v xml:space="preserve">          FERRAMENTAS PARA MANUTENÇÃO</v>
      </c>
    </row>
    <row r="987" spans="1:14" customFormat="1" ht="14.4" x14ac:dyDescent="0.3">
      <c r="A987" s="24"/>
      <c r="B987" s="21">
        <v>46009</v>
      </c>
      <c r="C987" s="21" t="s">
        <v>15</v>
      </c>
      <c r="D987" s="21" t="s">
        <v>232</v>
      </c>
      <c r="E987" s="20" t="s">
        <v>233</v>
      </c>
      <c r="F987" s="22" t="s">
        <v>234</v>
      </c>
      <c r="G987" s="285">
        <v>16822.599999999999</v>
      </c>
      <c r="H987" s="1"/>
      <c r="I987" s="1">
        <f>COUNTIF(Tabela1[NF],Tabela1[[#This Row],[NF]])</f>
        <v>0</v>
      </c>
      <c r="K987" s="26">
        <f>Tabela1[[#This Row],[DT. VENCIMENTO]]</f>
        <v>46009</v>
      </c>
      <c r="N987" s="14" t="str" cm="1">
        <f t="array" ref="N987">_xlfn.XLOOKUP(TRIM(D987),TRIM(DFC!A:A),DFC!A:A,"NÃO ESTÁ NA DFC")</f>
        <v xml:space="preserve">          COMPRA DE MÁQUINA</v>
      </c>
    </row>
    <row r="988" spans="1:14" customFormat="1" ht="14.4" x14ac:dyDescent="0.3">
      <c r="A988" s="24"/>
      <c r="B988" s="21">
        <v>46009</v>
      </c>
      <c r="C988" s="21" t="s">
        <v>15</v>
      </c>
      <c r="D988" s="84" t="s">
        <v>19</v>
      </c>
      <c r="E988" s="20" t="s">
        <v>527</v>
      </c>
      <c r="F988" s="22" t="s">
        <v>103</v>
      </c>
      <c r="G988" s="285">
        <v>9000</v>
      </c>
      <c r="H988" s="1"/>
      <c r="I988" s="1">
        <f>COUNTIF(Tabela1[NF],Tabela1[[#This Row],[NF]])</f>
        <v>0</v>
      </c>
      <c r="K988" s="26">
        <f>Tabela1[[#This Row],[DT. VENCIMENTO]]</f>
        <v>46009</v>
      </c>
      <c r="N988" s="14" t="str" cm="1">
        <f t="array" ref="N988">_xlfn.XLOOKUP(TRIM(D988),TRIM(DFC!A:A),DFC!A:A,"NÃO ESTÁ NA DFC")</f>
        <v xml:space="preserve">      PEÇAS</v>
      </c>
    </row>
    <row r="989" spans="1:14" customFormat="1" ht="14.4" x14ac:dyDescent="0.3">
      <c r="A989" s="24"/>
      <c r="B989" s="21">
        <v>46010</v>
      </c>
      <c r="C989" s="21" t="s">
        <v>15</v>
      </c>
      <c r="D989" s="21" t="s">
        <v>111</v>
      </c>
      <c r="E989" s="20"/>
      <c r="F989" s="22" t="s">
        <v>114</v>
      </c>
      <c r="G989" s="285">
        <v>9</v>
      </c>
      <c r="H989" s="1"/>
      <c r="I989" s="1">
        <f>COUNTIF(Tabela1[NF],Tabela1[[#This Row],[NF]])</f>
        <v>0</v>
      </c>
      <c r="K989" s="26">
        <f>Tabela1[[#This Row],[DT. VENCIMENTO]]</f>
        <v>46010</v>
      </c>
      <c r="N989" s="14" t="str" cm="1">
        <f t="array" ref="N989">_xlfn.XLOOKUP(TRIM(D989),TRIM(DFC!A:A),DFC!A:A,"NÃO ESTÁ NA DFC")</f>
        <v xml:space="preserve">          TX. BANCÁRIA</v>
      </c>
    </row>
    <row r="990" spans="1:14" customFormat="1" ht="14.4" x14ac:dyDescent="0.3">
      <c r="A990" s="24"/>
      <c r="B990" s="21">
        <v>46010</v>
      </c>
      <c r="C990" s="21" t="s">
        <v>15</v>
      </c>
      <c r="D990" s="84" t="s">
        <v>40</v>
      </c>
      <c r="E990" s="20" t="s">
        <v>494</v>
      </c>
      <c r="F990" s="22" t="s">
        <v>419</v>
      </c>
      <c r="G990" s="285">
        <v>80</v>
      </c>
      <c r="H990" s="1"/>
      <c r="I990" s="1">
        <f>COUNTIF(Tabela1[NF],Tabela1[[#This Row],[NF]])</f>
        <v>0</v>
      </c>
      <c r="K990" s="26">
        <f>Tabela1[[#This Row],[DT. VENCIMENTO]]</f>
        <v>46010</v>
      </c>
      <c r="N990" s="14" t="str" cm="1">
        <f t="array" ref="N990">_xlfn.XLOOKUP(TRIM(D990),TRIM(DFC!A:A),DFC!A:A,"NÃO ESTÁ NA DFC")</f>
        <v xml:space="preserve">         SERVIÇO TERCEIRIZADO</v>
      </c>
    </row>
    <row r="991" spans="1:14" customFormat="1" ht="14.4" x14ac:dyDescent="0.3">
      <c r="A991" s="24"/>
      <c r="B991" s="21">
        <v>46010</v>
      </c>
      <c r="C991" s="91" t="s">
        <v>15</v>
      </c>
      <c r="D991" s="21" t="s">
        <v>19</v>
      </c>
      <c r="E991" s="20"/>
      <c r="F991" s="22" t="s">
        <v>297</v>
      </c>
      <c r="G991" s="285">
        <v>2864.55</v>
      </c>
      <c r="H991" s="1"/>
      <c r="I991" s="1">
        <f>COUNTIF(Tabela1[NF],Tabela1[[#This Row],[NF]])</f>
        <v>0</v>
      </c>
      <c r="K991" s="82">
        <f>Tabela1[[#This Row],[DT. VENCIMENTO]]</f>
        <v>46010</v>
      </c>
      <c r="N991" s="14" t="str" cm="1">
        <f t="array" ref="N991">_xlfn.XLOOKUP(TRIM(D991),TRIM(DFC!A:A),DFC!A:A,"NÃO ESTÁ NA DFC")</f>
        <v xml:space="preserve">      PEÇAS</v>
      </c>
    </row>
    <row r="992" spans="1:14" customFormat="1" ht="14.4" x14ac:dyDescent="0.3">
      <c r="A992" s="24"/>
      <c r="B992" s="21">
        <v>46010</v>
      </c>
      <c r="C992" s="91" t="s">
        <v>15</v>
      </c>
      <c r="D992" s="21" t="s">
        <v>19</v>
      </c>
      <c r="E992" s="20"/>
      <c r="F992" s="22" t="s">
        <v>301</v>
      </c>
      <c r="G992" s="285">
        <v>4117.32</v>
      </c>
      <c r="H992" s="1"/>
      <c r="I992" s="1">
        <f>COUNTIF(Tabela1[NF],Tabela1[[#This Row],[NF]])</f>
        <v>0</v>
      </c>
      <c r="K992" s="82">
        <f>Tabela1[[#This Row],[DT. VENCIMENTO]]</f>
        <v>46010</v>
      </c>
      <c r="N992" s="14" t="str" cm="1">
        <f t="array" ref="N992">_xlfn.XLOOKUP(TRIM(D992),TRIM(DFC!A:A),DFC!A:A,"NÃO ESTÁ NA DFC")</f>
        <v xml:space="preserve">      PEÇAS</v>
      </c>
    </row>
    <row r="993" spans="1:14" customFormat="1" ht="14.4" x14ac:dyDescent="0.3">
      <c r="A993" s="24"/>
      <c r="B993" s="21">
        <v>46010</v>
      </c>
      <c r="C993" s="91" t="s">
        <v>15</v>
      </c>
      <c r="D993" s="21" t="s">
        <v>154</v>
      </c>
      <c r="E993" s="20"/>
      <c r="F993" s="22" t="s">
        <v>302</v>
      </c>
      <c r="G993" s="285">
        <v>2908.21</v>
      </c>
      <c r="H993" s="1"/>
      <c r="I993" s="1">
        <f>COUNTIF(Tabela1[NF],Tabela1[[#This Row],[NF]])</f>
        <v>0</v>
      </c>
      <c r="K993" s="82">
        <f>Tabela1[[#This Row],[DT. VENCIMENTO]]</f>
        <v>46010</v>
      </c>
      <c r="N993" s="14" t="str" cm="1">
        <f t="array" ref="N993">_xlfn.XLOOKUP(TRIM(D993),TRIM(DFC!A:A),DFC!A:A,"NÃO ESTÁ NA DFC")</f>
        <v xml:space="preserve">      EMBALAGENS</v>
      </c>
    </row>
    <row r="994" spans="1:14" customFormat="1" ht="14.4" x14ac:dyDescent="0.3">
      <c r="A994" s="24"/>
      <c r="B994" s="21">
        <v>46010</v>
      </c>
      <c r="C994" s="91" t="s">
        <v>15</v>
      </c>
      <c r="D994" s="84" t="s">
        <v>305</v>
      </c>
      <c r="E994" s="20"/>
      <c r="F994" s="22" t="s">
        <v>467</v>
      </c>
      <c r="G994" s="285">
        <v>84.77</v>
      </c>
      <c r="H994" s="1"/>
      <c r="I994" s="1">
        <f>COUNTIF(Tabela1[NF],Tabela1[[#This Row],[NF]])</f>
        <v>0</v>
      </c>
      <c r="K994" s="82">
        <f>Tabela1[[#This Row],[DT. VENCIMENTO]]</f>
        <v>46010</v>
      </c>
      <c r="N994" s="14" t="str" cm="1">
        <f t="array" ref="N994">_xlfn.XLOOKUP(TRIM(D994),TRIM(DFC!A:A),DFC!A:A,"NÃO ESTÁ NA DFC")</f>
        <v xml:space="preserve">      FRETE ENTRADA</v>
      </c>
    </row>
    <row r="995" spans="1:14" customFormat="1" ht="14.4" x14ac:dyDescent="0.3">
      <c r="A995" s="24"/>
      <c r="B995" s="21">
        <v>46010</v>
      </c>
      <c r="C995" s="91" t="s">
        <v>15</v>
      </c>
      <c r="D995" s="21" t="s">
        <v>41</v>
      </c>
      <c r="E995" s="20"/>
      <c r="F995" s="22" t="s">
        <v>345</v>
      </c>
      <c r="G995" s="285">
        <v>183.87</v>
      </c>
      <c r="H995" s="1"/>
      <c r="I995" s="1">
        <f>COUNTIF(Tabela1[NF],Tabela1[[#This Row],[NF]])</f>
        <v>0</v>
      </c>
      <c r="K995" s="82">
        <f>Tabela1[[#This Row],[DT. VENCIMENTO]]</f>
        <v>46010</v>
      </c>
      <c r="N995" s="14" t="str" cm="1">
        <f t="array" ref="N995">_xlfn.XLOOKUP(TRIM(D995),TRIM(DFC!A:A),DFC!A:A,"NÃO ESTÁ NA DFC")</f>
        <v xml:space="preserve">         T.I</v>
      </c>
    </row>
    <row r="996" spans="1:14" customFormat="1" ht="14.4" x14ac:dyDescent="0.3">
      <c r="A996" s="24"/>
      <c r="B996" s="21">
        <v>46010</v>
      </c>
      <c r="C996" s="91" t="s">
        <v>15</v>
      </c>
      <c r="D996" s="84" t="s">
        <v>305</v>
      </c>
      <c r="E996" s="20" t="s">
        <v>528</v>
      </c>
      <c r="F996" s="22" t="s">
        <v>529</v>
      </c>
      <c r="G996" s="285">
        <v>1300</v>
      </c>
      <c r="H996" s="1"/>
      <c r="I996" s="1">
        <f>COUNTIF(Tabela1[NF],Tabela1[[#This Row],[NF]])</f>
        <v>0</v>
      </c>
      <c r="K996" s="82">
        <f>Tabela1[[#This Row],[DT. VENCIMENTO]]</f>
        <v>46010</v>
      </c>
      <c r="N996" s="14" t="str" cm="1">
        <f t="array" ref="N996">_xlfn.XLOOKUP(TRIM(D996),TRIM(DFC!A:A),DFC!A:A,"NÃO ESTÁ NA DFC")</f>
        <v xml:space="preserve">      FRETE ENTRADA</v>
      </c>
    </row>
    <row r="997" spans="1:14" customFormat="1" ht="14.4" x14ac:dyDescent="0.3">
      <c r="A997" s="24"/>
      <c r="B997" s="21">
        <v>46010</v>
      </c>
      <c r="C997" s="91" t="s">
        <v>15</v>
      </c>
      <c r="D997" s="21" t="s">
        <v>246</v>
      </c>
      <c r="E997" s="20" t="s">
        <v>397</v>
      </c>
      <c r="F997" s="22" t="s">
        <v>319</v>
      </c>
      <c r="G997" s="285">
        <v>1040</v>
      </c>
      <c r="H997" s="1"/>
      <c r="I997" s="1">
        <f>COUNTIF(Tabela1[NF],Tabela1[[#This Row],[NF]])</f>
        <v>0</v>
      </c>
      <c r="K997" s="82">
        <f>Tabela1[[#This Row],[DT. VENCIMENTO]]</f>
        <v>46010</v>
      </c>
      <c r="N997" s="14" t="str" cm="1">
        <f t="array" ref="N997">_xlfn.XLOOKUP(TRIM(D997),TRIM(DFC!A:A),DFC!A:A,"NÃO ESTÁ NA DFC")</f>
        <v xml:space="preserve">          VALES</v>
      </c>
    </row>
    <row r="998" spans="1:14" customFormat="1" ht="14.4" x14ac:dyDescent="0.3">
      <c r="A998" s="24"/>
      <c r="B998" s="21">
        <v>46010</v>
      </c>
      <c r="C998" s="91" t="s">
        <v>15</v>
      </c>
      <c r="D998" s="21" t="s">
        <v>47</v>
      </c>
      <c r="E998" s="20" t="s">
        <v>530</v>
      </c>
      <c r="F998" s="22" t="s">
        <v>321</v>
      </c>
      <c r="G998" s="285">
        <v>1011.55</v>
      </c>
      <c r="H998" s="1"/>
      <c r="I998" s="1">
        <f>COUNTIF(Tabela1[NF],Tabela1[[#This Row],[NF]])</f>
        <v>0</v>
      </c>
      <c r="K998" s="82">
        <f>Tabela1[[#This Row],[DT. VENCIMENTO]]</f>
        <v>46010</v>
      </c>
      <c r="N998" s="14" t="str" cm="1">
        <f t="array" ref="N998">_xlfn.XLOOKUP(TRIM(D998),TRIM(DFC!A:A),DFC!A:A,"NÃO ESTÁ NA DFC")</f>
        <v xml:space="preserve">          13 SALARIO</v>
      </c>
    </row>
    <row r="999" spans="1:14" customFormat="1" ht="14.4" x14ac:dyDescent="0.3">
      <c r="A999" s="24"/>
      <c r="B999" s="21">
        <v>46010</v>
      </c>
      <c r="C999" s="91" t="s">
        <v>15</v>
      </c>
      <c r="D999" s="21" t="s">
        <v>246</v>
      </c>
      <c r="E999" s="20" t="s">
        <v>397</v>
      </c>
      <c r="F999" s="22" t="s">
        <v>326</v>
      </c>
      <c r="G999" s="285">
        <v>1687.11</v>
      </c>
      <c r="H999" s="1"/>
      <c r="I999" s="1">
        <f>COUNTIF(Tabela1[NF],Tabela1[[#This Row],[NF]])</f>
        <v>0</v>
      </c>
      <c r="K999" s="82">
        <f>Tabela1[[#This Row],[DT. VENCIMENTO]]</f>
        <v>46010</v>
      </c>
      <c r="N999" s="14" t="str" cm="1">
        <f t="array" ref="N999">_xlfn.XLOOKUP(TRIM(D999),TRIM(DFC!A:A),DFC!A:A,"NÃO ESTÁ NA DFC")</f>
        <v xml:space="preserve">          VALES</v>
      </c>
    </row>
    <row r="1000" spans="1:14" customFormat="1" ht="14.4" x14ac:dyDescent="0.3">
      <c r="A1000" s="24"/>
      <c r="B1000" s="21">
        <v>46010</v>
      </c>
      <c r="C1000" s="91" t="s">
        <v>15</v>
      </c>
      <c r="D1000" s="21" t="s">
        <v>246</v>
      </c>
      <c r="E1000" s="20" t="s">
        <v>397</v>
      </c>
      <c r="F1000" s="22" t="s">
        <v>327</v>
      </c>
      <c r="G1000" s="285">
        <v>833.74</v>
      </c>
      <c r="H1000" s="1"/>
      <c r="I1000" s="1">
        <f>COUNTIF(Tabela1[NF],Tabela1[[#This Row],[NF]])</f>
        <v>0</v>
      </c>
      <c r="K1000" s="82">
        <f>Tabela1[[#This Row],[DT. VENCIMENTO]]</f>
        <v>46010</v>
      </c>
      <c r="N1000" s="14" t="str" cm="1">
        <f t="array" ref="N1000">_xlfn.XLOOKUP(TRIM(D1000),TRIM(DFC!A:A),DFC!A:A,"NÃO ESTÁ NA DFC")</f>
        <v xml:space="preserve">          VALES</v>
      </c>
    </row>
    <row r="1001" spans="1:14" customFormat="1" ht="14.4" x14ac:dyDescent="0.3">
      <c r="A1001" s="24"/>
      <c r="B1001" s="21">
        <v>46010</v>
      </c>
      <c r="C1001" s="91" t="s">
        <v>15</v>
      </c>
      <c r="D1001" s="21" t="s">
        <v>246</v>
      </c>
      <c r="E1001" s="20" t="s">
        <v>397</v>
      </c>
      <c r="F1001" s="22" t="s">
        <v>322</v>
      </c>
      <c r="G1001" s="285">
        <v>871.67</v>
      </c>
      <c r="H1001" s="1"/>
      <c r="I1001" s="1">
        <f>COUNTIF(Tabela1[NF],Tabela1[[#This Row],[NF]])</f>
        <v>0</v>
      </c>
      <c r="K1001" s="82">
        <f>Tabela1[[#This Row],[DT. VENCIMENTO]]</f>
        <v>46010</v>
      </c>
      <c r="N1001" s="14" t="str" cm="1">
        <f t="array" ref="N1001">_xlfn.XLOOKUP(TRIM(D1001),TRIM(DFC!A:A),DFC!A:A,"NÃO ESTÁ NA DFC")</f>
        <v xml:space="preserve">          VALES</v>
      </c>
    </row>
    <row r="1002" spans="1:14" customFormat="1" ht="14.4" x14ac:dyDescent="0.3">
      <c r="A1002" s="24"/>
      <c r="B1002" s="21">
        <v>46010</v>
      </c>
      <c r="C1002" s="91" t="s">
        <v>15</v>
      </c>
      <c r="D1002" s="21" t="s">
        <v>246</v>
      </c>
      <c r="E1002" s="20" t="s">
        <v>397</v>
      </c>
      <c r="F1002" s="22" t="s">
        <v>320</v>
      </c>
      <c r="G1002" s="285">
        <v>1000</v>
      </c>
      <c r="H1002" s="1"/>
      <c r="I1002" s="1">
        <f>COUNTIF(Tabela1[NF],Tabela1[[#This Row],[NF]])</f>
        <v>0</v>
      </c>
      <c r="K1002" s="82">
        <f>Tabela1[[#This Row],[DT. VENCIMENTO]]</f>
        <v>46010</v>
      </c>
      <c r="N1002" s="14" t="str" cm="1">
        <f t="array" ref="N1002">_xlfn.XLOOKUP(TRIM(D1002),TRIM(DFC!A:A),DFC!A:A,"NÃO ESTÁ NA DFC")</f>
        <v xml:space="preserve">          VALES</v>
      </c>
    </row>
    <row r="1003" spans="1:14" customFormat="1" ht="14.4" x14ac:dyDescent="0.3">
      <c r="A1003" s="24"/>
      <c r="B1003" s="21">
        <v>46010</v>
      </c>
      <c r="C1003" s="91" t="s">
        <v>15</v>
      </c>
      <c r="D1003" s="21" t="s">
        <v>47</v>
      </c>
      <c r="E1003" s="20" t="s">
        <v>530</v>
      </c>
      <c r="F1003" s="22" t="s">
        <v>319</v>
      </c>
      <c r="G1003" s="285">
        <v>1008.91</v>
      </c>
      <c r="H1003" s="1"/>
      <c r="I1003" s="1">
        <f>COUNTIF(Tabela1[NF],Tabela1[[#This Row],[NF]])</f>
        <v>0</v>
      </c>
      <c r="K1003" s="82">
        <f>Tabela1[[#This Row],[DT. VENCIMENTO]]</f>
        <v>46010</v>
      </c>
      <c r="N1003" s="14" t="str" cm="1">
        <f t="array" ref="N1003">_xlfn.XLOOKUP(TRIM(D1003),TRIM(DFC!A:A),DFC!A:A,"NÃO ESTÁ NA DFC")</f>
        <v xml:space="preserve">          13 SALARIO</v>
      </c>
    </row>
    <row r="1004" spans="1:14" customFormat="1" ht="14.4" x14ac:dyDescent="0.3">
      <c r="A1004" s="24"/>
      <c r="B1004" s="21">
        <v>46010</v>
      </c>
      <c r="C1004" s="91" t="s">
        <v>15</v>
      </c>
      <c r="D1004" s="21" t="s">
        <v>47</v>
      </c>
      <c r="E1004" s="20" t="s">
        <v>530</v>
      </c>
      <c r="F1004" s="22" t="s">
        <v>320</v>
      </c>
      <c r="G1004" s="285">
        <v>663.05</v>
      </c>
      <c r="H1004" s="1"/>
      <c r="I1004" s="1">
        <f>COUNTIF(Tabela1[NF],Tabela1[[#This Row],[NF]])</f>
        <v>0</v>
      </c>
      <c r="K1004" s="26">
        <f>Tabela1[[#This Row],[DT. VENCIMENTO]]</f>
        <v>46010</v>
      </c>
      <c r="N1004" s="14" t="str" cm="1">
        <f t="array" ref="N1004">_xlfn.XLOOKUP(TRIM(D1004),TRIM(DFC!A:A),DFC!A:A,"NÃO ESTÁ NA DFC")</f>
        <v xml:space="preserve">          13 SALARIO</v>
      </c>
    </row>
    <row r="1005" spans="1:14" customFormat="1" ht="14.4" x14ac:dyDescent="0.3">
      <c r="A1005" s="24"/>
      <c r="B1005" s="21">
        <v>46010</v>
      </c>
      <c r="C1005" s="91" t="s">
        <v>15</v>
      </c>
      <c r="D1005" s="21" t="s">
        <v>246</v>
      </c>
      <c r="E1005" s="20" t="s">
        <v>397</v>
      </c>
      <c r="F1005" s="22" t="s">
        <v>321</v>
      </c>
      <c r="G1005" s="285">
        <v>1505.9</v>
      </c>
      <c r="H1005" s="1"/>
      <c r="I1005" s="1">
        <f>COUNTIF(Tabela1[NF],Tabela1[[#This Row],[NF]])</f>
        <v>0</v>
      </c>
      <c r="K1005" s="82">
        <f>Tabela1[[#This Row],[DT. VENCIMENTO]]</f>
        <v>46010</v>
      </c>
      <c r="N1005" s="14" t="str" cm="1">
        <f t="array" ref="N1005">_xlfn.XLOOKUP(TRIM(D1005),TRIM(DFC!A:A),DFC!A:A,"NÃO ESTÁ NA DFC")</f>
        <v xml:space="preserve">          VALES</v>
      </c>
    </row>
    <row r="1006" spans="1:14" customFormat="1" ht="14.4" x14ac:dyDescent="0.3">
      <c r="A1006" s="24"/>
      <c r="B1006" s="21">
        <v>46010</v>
      </c>
      <c r="C1006" s="91" t="s">
        <v>15</v>
      </c>
      <c r="D1006" s="21" t="s">
        <v>47</v>
      </c>
      <c r="E1006" s="20" t="s">
        <v>530</v>
      </c>
      <c r="F1006" s="22" t="s">
        <v>441</v>
      </c>
      <c r="G1006" s="285">
        <v>326.02999999999997</v>
      </c>
      <c r="H1006" s="1"/>
      <c r="I1006" s="1">
        <f>COUNTIF(Tabela1[NF],Tabela1[[#This Row],[NF]])</f>
        <v>0</v>
      </c>
      <c r="K1006" s="82">
        <f>Tabela1[[#This Row],[DT. VENCIMENTO]]</f>
        <v>46010</v>
      </c>
      <c r="N1006" s="14" t="str" cm="1">
        <f t="array" ref="N1006">_xlfn.XLOOKUP(TRIM(D1006),TRIM(DFC!A:A),DFC!A:A,"NÃO ESTÁ NA DFC")</f>
        <v xml:space="preserve">          13 SALARIO</v>
      </c>
    </row>
    <row r="1007" spans="1:14" customFormat="1" ht="14.4" x14ac:dyDescent="0.3">
      <c r="A1007" s="24"/>
      <c r="B1007" s="21">
        <v>46010</v>
      </c>
      <c r="C1007" s="91" t="s">
        <v>15</v>
      </c>
      <c r="D1007" s="21" t="s">
        <v>47</v>
      </c>
      <c r="E1007" s="20" t="s">
        <v>530</v>
      </c>
      <c r="F1007" s="22" t="s">
        <v>322</v>
      </c>
      <c r="G1007" s="285">
        <v>559</v>
      </c>
      <c r="H1007" s="1"/>
      <c r="I1007" s="1">
        <f>COUNTIF(Tabela1[NF],Tabela1[[#This Row],[NF]])</f>
        <v>0</v>
      </c>
      <c r="K1007" s="82">
        <f>Tabela1[[#This Row],[DT. VENCIMENTO]]</f>
        <v>46010</v>
      </c>
      <c r="N1007" s="14" t="str" cm="1">
        <f t="array" ref="N1007">_xlfn.XLOOKUP(TRIM(D1007),TRIM(DFC!A:A),DFC!A:A,"NÃO ESTÁ NA DFC")</f>
        <v xml:space="preserve">          13 SALARIO</v>
      </c>
    </row>
    <row r="1008" spans="1:14" customFormat="1" ht="14.4" x14ac:dyDescent="0.3">
      <c r="A1008" s="24"/>
      <c r="B1008" s="21">
        <v>46010</v>
      </c>
      <c r="C1008" s="91" t="s">
        <v>15</v>
      </c>
      <c r="D1008" s="21" t="s">
        <v>47</v>
      </c>
      <c r="E1008" s="20" t="s">
        <v>531</v>
      </c>
      <c r="F1008" s="22" t="s">
        <v>326</v>
      </c>
      <c r="G1008" s="285">
        <v>706.11</v>
      </c>
      <c r="H1008" s="1"/>
      <c r="I1008" s="1">
        <f>COUNTIF(Tabela1[NF],Tabela1[[#This Row],[NF]])</f>
        <v>0</v>
      </c>
      <c r="K1008" s="82">
        <f>Tabela1[[#This Row],[DT. VENCIMENTO]]</f>
        <v>46010</v>
      </c>
      <c r="N1008" s="14" t="str" cm="1">
        <f t="array" ref="N1008">_xlfn.XLOOKUP(TRIM(D1008),TRIM(DFC!A:A),DFC!A:A,"NÃO ESTÁ NA DFC")</f>
        <v xml:space="preserve">          13 SALARIO</v>
      </c>
    </row>
    <row r="1009" spans="1:14" customFormat="1" ht="14.4" x14ac:dyDescent="0.3">
      <c r="A1009" s="24"/>
      <c r="B1009" s="21">
        <v>46010</v>
      </c>
      <c r="C1009" s="91" t="s">
        <v>15</v>
      </c>
      <c r="D1009" s="21" t="s">
        <v>47</v>
      </c>
      <c r="E1009" s="20" t="s">
        <v>531</v>
      </c>
      <c r="F1009" s="22" t="s">
        <v>327</v>
      </c>
      <c r="G1009" s="285">
        <v>487.29</v>
      </c>
      <c r="H1009" s="1"/>
      <c r="I1009" s="1">
        <f>COUNTIF(Tabela1[NF],Tabela1[[#This Row],[NF]])</f>
        <v>0</v>
      </c>
      <c r="K1009" s="82">
        <f>Tabela1[[#This Row],[DT. VENCIMENTO]]</f>
        <v>46010</v>
      </c>
      <c r="N1009" s="14" t="str" cm="1">
        <f t="array" ref="N1009">_xlfn.XLOOKUP(TRIM(D1009),TRIM(DFC!A:A),DFC!A:A,"NÃO ESTÁ NA DFC")</f>
        <v xml:space="preserve">          13 SALARIO</v>
      </c>
    </row>
    <row r="1010" spans="1:14" customFormat="1" ht="14.4" x14ac:dyDescent="0.3">
      <c r="A1010" s="24"/>
      <c r="B1010" s="21">
        <v>46010</v>
      </c>
      <c r="C1010" s="91" t="s">
        <v>15</v>
      </c>
      <c r="D1010" s="21" t="s">
        <v>47</v>
      </c>
      <c r="E1010" s="20" t="s">
        <v>531</v>
      </c>
      <c r="F1010" s="22" t="s">
        <v>324</v>
      </c>
      <c r="G1010" s="285">
        <v>603.14</v>
      </c>
      <c r="H1010" s="1"/>
      <c r="I1010" s="1">
        <f>COUNTIF(Tabela1[NF],Tabela1[[#This Row],[NF]])</f>
        <v>0</v>
      </c>
      <c r="K1010" s="82">
        <f>Tabela1[[#This Row],[DT. VENCIMENTO]]</f>
        <v>46010</v>
      </c>
      <c r="N1010" s="14" t="str" cm="1">
        <f t="array" ref="N1010">_xlfn.XLOOKUP(TRIM(D1010),TRIM(DFC!A:A),DFC!A:A,"NÃO ESTÁ NA DFC")</f>
        <v xml:space="preserve">          13 SALARIO</v>
      </c>
    </row>
    <row r="1011" spans="1:14" customFormat="1" ht="14.4" x14ac:dyDescent="0.3">
      <c r="A1011" s="24"/>
      <c r="B1011" s="21">
        <v>46010</v>
      </c>
      <c r="C1011" s="91" t="s">
        <v>15</v>
      </c>
      <c r="D1011" s="21" t="s">
        <v>82</v>
      </c>
      <c r="E1011" s="20"/>
      <c r="F1011" s="22" t="s">
        <v>532</v>
      </c>
      <c r="G1011" s="285">
        <v>287.5</v>
      </c>
      <c r="H1011" s="1"/>
      <c r="I1011" s="1">
        <f>COUNTIF(Tabela1[NF],Tabela1[[#This Row],[NF]])</f>
        <v>0</v>
      </c>
      <c r="K1011" s="82">
        <f>Tabela1[[#This Row],[DT. VENCIMENTO]]</f>
        <v>46010</v>
      </c>
      <c r="N1011" s="14" t="str" cm="1">
        <f t="array" ref="N1011">_xlfn.XLOOKUP(TRIM(D1011),TRIM(DFC!A:A),DFC!A:A,"NÃO ESTÁ NA DFC")</f>
        <v xml:space="preserve">          DIÁRIAS</v>
      </c>
    </row>
    <row r="1012" spans="1:14" customFormat="1" ht="14.4" x14ac:dyDescent="0.3">
      <c r="A1012" s="24"/>
      <c r="B1012" s="21">
        <v>46010</v>
      </c>
      <c r="C1012" s="91" t="s">
        <v>15</v>
      </c>
      <c r="D1012" s="21" t="s">
        <v>82</v>
      </c>
      <c r="E1012" s="20"/>
      <c r="F1012" s="22" t="s">
        <v>533</v>
      </c>
      <c r="G1012" s="285">
        <v>600</v>
      </c>
      <c r="H1012" s="1"/>
      <c r="I1012" s="1">
        <f>COUNTIF(Tabela1[NF],Tabela1[[#This Row],[NF]])</f>
        <v>0</v>
      </c>
      <c r="K1012" s="82">
        <f>Tabela1[[#This Row],[DT. VENCIMENTO]]</f>
        <v>46010</v>
      </c>
      <c r="N1012" s="14" t="str" cm="1">
        <f t="array" ref="N1012">_xlfn.XLOOKUP(TRIM(D1012),TRIM(DFC!A:A),DFC!A:A,"NÃO ESTÁ NA DFC")</f>
        <v xml:space="preserve">          DIÁRIAS</v>
      </c>
    </row>
    <row r="1013" spans="1:14" customFormat="1" ht="14.4" x14ac:dyDescent="0.3">
      <c r="A1013" s="24"/>
      <c r="B1013" s="21">
        <v>46010</v>
      </c>
      <c r="C1013" s="91" t="s">
        <v>15</v>
      </c>
      <c r="D1013" s="84" t="s">
        <v>94</v>
      </c>
      <c r="E1013" s="20"/>
      <c r="F1013" s="22" t="s">
        <v>398</v>
      </c>
      <c r="G1013" s="285">
        <v>45.04</v>
      </c>
      <c r="H1013" s="1"/>
      <c r="I1013" s="1">
        <f>COUNTIF(Tabela1[NF],Tabela1[[#This Row],[NF]])</f>
        <v>0</v>
      </c>
      <c r="K1013" s="82">
        <f>Tabela1[[#This Row],[DT. VENCIMENTO]]</f>
        <v>46010</v>
      </c>
      <c r="N1013" s="14" t="str" cm="1">
        <f t="array" ref="N1013">_xlfn.XLOOKUP(TRIM(D1013),TRIM(DFC!A:A),DFC!A:A,"NÃO ESTÁ NA DFC")</f>
        <v xml:space="preserve">          IRPF</v>
      </c>
    </row>
    <row r="1014" spans="1:14" customFormat="1" ht="14.4" x14ac:dyDescent="0.3">
      <c r="A1014" s="24"/>
      <c r="B1014" s="21">
        <v>46013</v>
      </c>
      <c r="C1014" s="91" t="s">
        <v>15</v>
      </c>
      <c r="D1014" s="84" t="s">
        <v>28</v>
      </c>
      <c r="E1014" s="20" t="s">
        <v>534</v>
      </c>
      <c r="F1014" s="22" t="s">
        <v>535</v>
      </c>
      <c r="G1014" s="285">
        <v>40</v>
      </c>
      <c r="H1014" s="1"/>
      <c r="I1014" s="1">
        <f>COUNTIF(Tabela1[NF],Tabela1[[#This Row],[NF]])</f>
        <v>0</v>
      </c>
      <c r="K1014" s="82">
        <f>Tabela1[[#This Row],[DT. VENCIMENTO]]</f>
        <v>46013</v>
      </c>
      <c r="N1014" s="14" t="str" cm="1">
        <f t="array" ref="N1014">_xlfn.XLOOKUP(TRIM(D1014),TRIM(DFC!A:A),DFC!A:A,"NÃO ESTÁ NA DFC")</f>
        <v xml:space="preserve">          FERRAMENTAS PARA MANUTENÇÃO</v>
      </c>
    </row>
    <row r="1015" spans="1:14" customFormat="1" ht="14.4" x14ac:dyDescent="0.3">
      <c r="A1015" s="24"/>
      <c r="B1015" s="21">
        <v>46013</v>
      </c>
      <c r="C1015" s="91" t="s">
        <v>15</v>
      </c>
      <c r="D1015" s="84" t="s">
        <v>89</v>
      </c>
      <c r="E1015" s="20"/>
      <c r="F1015" s="94" t="s">
        <v>409</v>
      </c>
      <c r="G1015" s="285">
        <v>759</v>
      </c>
      <c r="H1015" s="1"/>
      <c r="I1015" s="1">
        <f>COUNTIF(Tabela1[NF],Tabela1[[#This Row],[NF]])</f>
        <v>0</v>
      </c>
      <c r="K1015" s="82">
        <f>Tabela1[[#This Row],[DT. VENCIMENTO]]</f>
        <v>46013</v>
      </c>
      <c r="N1015" s="14" t="str" cm="1">
        <f t="array" ref="N1015">_xlfn.XLOOKUP(TRIM(D1015),TRIM(DFC!A:A),DFC!A:A,"NÃO ESTÁ NA DFC")</f>
        <v xml:space="preserve">          FUNDO PENITENCIÁRIO</v>
      </c>
    </row>
    <row r="1016" spans="1:14" customFormat="1" ht="14.4" x14ac:dyDescent="0.3">
      <c r="A1016" s="24"/>
      <c r="B1016" s="21">
        <v>46013</v>
      </c>
      <c r="C1016" s="91" t="s">
        <v>44</v>
      </c>
      <c r="D1016" s="21" t="s">
        <v>129</v>
      </c>
      <c r="E1016" s="20" t="s">
        <v>247</v>
      </c>
      <c r="F1016" s="94" t="s">
        <v>251</v>
      </c>
      <c r="G1016" s="285">
        <v>21104.11</v>
      </c>
      <c r="H1016" s="1"/>
      <c r="I1016" s="1">
        <f>COUNTIF(Tabela1[NF],Tabela1[[#This Row],[NF]])</f>
        <v>0</v>
      </c>
      <c r="K1016" s="26">
        <f>Tabela1[[#This Row],[DT. VENCIMENTO]]</f>
        <v>46013</v>
      </c>
      <c r="N1016" s="14" t="str" cm="1">
        <f t="array" ref="N1016">_xlfn.XLOOKUP(TRIM(D1016),TRIM(DFC!A:A),DFC!A:A,"NÃO ESTÁ NA DFC")</f>
        <v xml:space="preserve">     SIMPLES NACIONAL</v>
      </c>
    </row>
    <row r="1017" spans="1:14" customFormat="1" ht="14.4" x14ac:dyDescent="0.3">
      <c r="A1017" s="24"/>
      <c r="B1017" s="21">
        <v>46013</v>
      </c>
      <c r="C1017" s="91" t="s">
        <v>15</v>
      </c>
      <c r="D1017" s="21" t="s">
        <v>82</v>
      </c>
      <c r="E1017" s="20"/>
      <c r="F1017" s="22" t="s">
        <v>351</v>
      </c>
      <c r="G1017" s="285">
        <v>593.75</v>
      </c>
      <c r="H1017" s="1"/>
      <c r="I1017" s="1">
        <f>COUNTIF(Tabela1[NF],Tabela1[[#This Row],[NF]])</f>
        <v>0</v>
      </c>
      <c r="K1017" s="82">
        <f>Tabela1[[#This Row],[DT. VENCIMENTO]]</f>
        <v>46013</v>
      </c>
      <c r="N1017" s="14" t="str" cm="1">
        <f t="array" ref="N1017">_xlfn.XLOOKUP(TRIM(D1017),TRIM(DFC!A:A),DFC!A:A,"NÃO ESTÁ NA DFC")</f>
        <v xml:space="preserve">          DIÁRIAS</v>
      </c>
    </row>
    <row r="1018" spans="1:14" customFormat="1" ht="14.4" x14ac:dyDescent="0.3">
      <c r="A1018" s="24"/>
      <c r="B1018" s="21">
        <v>46013</v>
      </c>
      <c r="C1018" s="91" t="s">
        <v>15</v>
      </c>
      <c r="D1018" s="21" t="s">
        <v>82</v>
      </c>
      <c r="E1018" s="20"/>
      <c r="F1018" s="22" t="s">
        <v>412</v>
      </c>
      <c r="G1018" s="285">
        <v>568.75</v>
      </c>
      <c r="H1018" s="1"/>
      <c r="I1018" s="1">
        <f>COUNTIF(Tabela1[NF],Tabela1[[#This Row],[NF]])</f>
        <v>0</v>
      </c>
      <c r="K1018" s="82">
        <f>Tabela1[[#This Row],[DT. VENCIMENTO]]</f>
        <v>46013</v>
      </c>
      <c r="N1018" s="14" t="str" cm="1">
        <f t="array" ref="N1018">_xlfn.XLOOKUP(TRIM(D1018),TRIM(DFC!A:A),DFC!A:A,"NÃO ESTÁ NA DFC")</f>
        <v xml:space="preserve">          DIÁRIAS</v>
      </c>
    </row>
    <row r="1019" spans="1:14" customFormat="1" ht="14.4" x14ac:dyDescent="0.3">
      <c r="A1019" s="24"/>
      <c r="B1019" s="21">
        <v>46013</v>
      </c>
      <c r="C1019" s="91" t="s">
        <v>15</v>
      </c>
      <c r="D1019" s="21" t="s">
        <v>82</v>
      </c>
      <c r="E1019" s="20"/>
      <c r="F1019" s="22" t="s">
        <v>536</v>
      </c>
      <c r="G1019" s="285">
        <v>487.5</v>
      </c>
      <c r="H1019" s="1"/>
      <c r="I1019" s="1">
        <f>COUNTIF(Tabela1[NF],Tabela1[[#This Row],[NF]])</f>
        <v>0</v>
      </c>
      <c r="K1019" s="82">
        <f>Tabela1[[#This Row],[DT. VENCIMENTO]]</f>
        <v>46013</v>
      </c>
      <c r="N1019" s="14" t="str" cm="1">
        <f t="array" ref="N1019">_xlfn.XLOOKUP(TRIM(D1019),TRIM(DFC!A:A),DFC!A:A,"NÃO ESTÁ NA DFC")</f>
        <v xml:space="preserve">          DIÁRIAS</v>
      </c>
    </row>
    <row r="1020" spans="1:14" customFormat="1" ht="14.4" x14ac:dyDescent="0.3">
      <c r="A1020" s="24"/>
      <c r="B1020" s="21">
        <v>46013</v>
      </c>
      <c r="C1020" s="91" t="s">
        <v>15</v>
      </c>
      <c r="D1020" s="21" t="s">
        <v>19</v>
      </c>
      <c r="E1020" s="20"/>
      <c r="F1020" s="22" t="s">
        <v>537</v>
      </c>
      <c r="G1020" s="285">
        <v>40</v>
      </c>
      <c r="H1020" s="1"/>
      <c r="I1020" s="1">
        <f>COUNTIF(Tabela1[NF],Tabela1[[#This Row],[NF]])</f>
        <v>0</v>
      </c>
      <c r="K1020" s="82">
        <f>Tabela1[[#This Row],[DT. VENCIMENTO]]</f>
        <v>46013</v>
      </c>
      <c r="N1020" s="14" t="str" cm="1">
        <f t="array" ref="N1020">_xlfn.XLOOKUP(TRIM(D1020),TRIM(DFC!A:A),DFC!A:A,"NÃO ESTÁ NA DFC")</f>
        <v xml:space="preserve">      PEÇAS</v>
      </c>
    </row>
    <row r="1021" spans="1:14" customFormat="1" ht="14.4" x14ac:dyDescent="0.3">
      <c r="A1021" s="24"/>
      <c r="B1021" s="21">
        <v>46013</v>
      </c>
      <c r="C1021" s="91" t="s">
        <v>15</v>
      </c>
      <c r="D1021" s="21" t="s">
        <v>19</v>
      </c>
      <c r="E1021" s="20"/>
      <c r="F1021" s="22" t="s">
        <v>537</v>
      </c>
      <c r="G1021" s="285">
        <v>25</v>
      </c>
      <c r="H1021" s="1"/>
      <c r="I1021" s="1">
        <f>COUNTIF(Tabela1[NF],Tabela1[[#This Row],[NF]])</f>
        <v>0</v>
      </c>
      <c r="K1021" s="82">
        <f>Tabela1[[#This Row],[DT. VENCIMENTO]]</f>
        <v>46013</v>
      </c>
      <c r="N1021" s="14" t="str" cm="1">
        <f t="array" ref="N1021">_xlfn.XLOOKUP(TRIM(D1021),TRIM(DFC!A:A),DFC!A:A,"NÃO ESTÁ NA DFC")</f>
        <v xml:space="preserve">      PEÇAS</v>
      </c>
    </row>
    <row r="1022" spans="1:14" customFormat="1" ht="14.4" x14ac:dyDescent="0.3">
      <c r="A1022" s="24"/>
      <c r="B1022" s="21">
        <v>46013</v>
      </c>
      <c r="C1022" s="91" t="s">
        <v>15</v>
      </c>
      <c r="D1022" s="21" t="s">
        <v>82</v>
      </c>
      <c r="E1022" s="20"/>
      <c r="F1022" s="22" t="s">
        <v>353</v>
      </c>
      <c r="G1022" s="285">
        <v>527.08000000000004</v>
      </c>
      <c r="H1022" s="1"/>
      <c r="I1022" s="1">
        <f>COUNTIF(Tabela1[NF],Tabela1[[#This Row],[NF]])</f>
        <v>0</v>
      </c>
      <c r="K1022" s="26">
        <f>Tabela1[[#This Row],[DT. VENCIMENTO]]</f>
        <v>46013</v>
      </c>
      <c r="N1022" s="14" t="str" cm="1">
        <f t="array" ref="N1022">_xlfn.XLOOKUP(TRIM(D1022),TRIM(DFC!A:A),DFC!A:A,"NÃO ESTÁ NA DFC")</f>
        <v xml:space="preserve">          DIÁRIAS</v>
      </c>
    </row>
    <row r="1023" spans="1:14" customFormat="1" ht="14.4" x14ac:dyDescent="0.3">
      <c r="A1023" s="24"/>
      <c r="B1023" s="21">
        <v>46013</v>
      </c>
      <c r="C1023" s="91" t="s">
        <v>15</v>
      </c>
      <c r="D1023" s="21" t="s">
        <v>82</v>
      </c>
      <c r="E1023" s="20"/>
      <c r="F1023" s="22" t="s">
        <v>538</v>
      </c>
      <c r="G1023" s="285">
        <v>100</v>
      </c>
      <c r="H1023" s="1"/>
      <c r="I1023" s="1">
        <f>COUNTIF(Tabela1[NF],Tabela1[[#This Row],[NF]])</f>
        <v>0</v>
      </c>
      <c r="K1023" s="82">
        <f>Tabela1[[#This Row],[DT. VENCIMENTO]]</f>
        <v>46013</v>
      </c>
      <c r="N1023" s="14" t="str" cm="1">
        <f t="array" ref="N1023">_xlfn.XLOOKUP(TRIM(D1023),TRIM(DFC!A:A),DFC!A:A,"NÃO ESTÁ NA DFC")</f>
        <v xml:space="preserve">          DIÁRIAS</v>
      </c>
    </row>
    <row r="1024" spans="1:14" customFormat="1" ht="14.4" x14ac:dyDescent="0.3">
      <c r="A1024" s="24"/>
      <c r="B1024" s="21">
        <v>46013</v>
      </c>
      <c r="C1024" s="91" t="s">
        <v>15</v>
      </c>
      <c r="D1024" s="21" t="s">
        <v>82</v>
      </c>
      <c r="E1024" s="20" t="s">
        <v>539</v>
      </c>
      <c r="F1024" s="94" t="s">
        <v>540</v>
      </c>
      <c r="G1024" s="285">
        <v>553.12</v>
      </c>
      <c r="H1024" s="1"/>
      <c r="I1024" s="1">
        <f>COUNTIF(Tabela1[NF],Tabela1[[#This Row],[NF]])</f>
        <v>0</v>
      </c>
      <c r="K1024" s="26">
        <f>Tabela1[[#This Row],[DT. VENCIMENTO]]</f>
        <v>46013</v>
      </c>
      <c r="N1024" s="14" t="str" cm="1">
        <f t="array" ref="N1024">_xlfn.XLOOKUP(TRIM(D1024),TRIM(DFC!A:A),DFC!A:A,"NÃO ESTÁ NA DFC")</f>
        <v xml:space="preserve">          DIÁRIAS</v>
      </c>
    </row>
    <row r="1025" spans="1:14" customFormat="1" ht="14.4" x14ac:dyDescent="0.3">
      <c r="A1025" s="24"/>
      <c r="B1025" s="21">
        <v>46013</v>
      </c>
      <c r="C1025" s="91" t="s">
        <v>15</v>
      </c>
      <c r="D1025" s="21" t="s">
        <v>23</v>
      </c>
      <c r="E1025" s="20"/>
      <c r="F1025" s="94" t="s">
        <v>389</v>
      </c>
      <c r="G1025" s="285">
        <v>1414</v>
      </c>
      <c r="H1025" s="1"/>
      <c r="I1025" s="1">
        <f>COUNTIF(Tabela1[NF],Tabela1[[#This Row],[NF]])</f>
        <v>0</v>
      </c>
      <c r="K1025" s="82">
        <f>Tabela1[[#This Row],[DT. VENCIMENTO]]</f>
        <v>46013</v>
      </c>
      <c r="N1025" s="14" t="str" cm="1">
        <f t="array" ref="N1025">_xlfn.XLOOKUP(TRIM(D1025),TRIM(DFC!A:A),DFC!A:A,"NÃO ESTÁ NA DFC")</f>
        <v xml:space="preserve">         CONTABILIDADE</v>
      </c>
    </row>
    <row r="1026" spans="1:14" customFormat="1" ht="14.4" x14ac:dyDescent="0.3">
      <c r="A1026" s="24"/>
      <c r="B1026" s="21">
        <v>46013</v>
      </c>
      <c r="C1026" s="91" t="s">
        <v>15</v>
      </c>
      <c r="D1026" s="21" t="s">
        <v>215</v>
      </c>
      <c r="E1026" s="20"/>
      <c r="F1026" s="94" t="s">
        <v>381</v>
      </c>
      <c r="G1026" s="285">
        <v>1730</v>
      </c>
      <c r="H1026" s="1"/>
      <c r="I1026" s="1">
        <f>COUNTIF(Tabela1[NF],Tabela1[[#This Row],[NF]])</f>
        <v>0</v>
      </c>
      <c r="K1026" s="26">
        <f>Tabela1[[#This Row],[DT. VENCIMENTO]]</f>
        <v>46013</v>
      </c>
      <c r="N1026" s="14" t="str" cm="1">
        <f t="array" ref="N1026">_xlfn.XLOOKUP(TRIM(D1026),TRIM(DFC!A:A),DFC!A:A,"NÃO ESTÁ NA DFC")</f>
        <v xml:space="preserve">         DESIGNER GRAFICO</v>
      </c>
    </row>
    <row r="1027" spans="1:14" customFormat="1" ht="14.4" x14ac:dyDescent="0.3">
      <c r="A1027" s="24"/>
      <c r="B1027" s="21">
        <v>46013</v>
      </c>
      <c r="C1027" s="91" t="s">
        <v>15</v>
      </c>
      <c r="D1027" s="21" t="s">
        <v>19</v>
      </c>
      <c r="E1027" s="20"/>
      <c r="F1027" s="22" t="s">
        <v>405</v>
      </c>
      <c r="G1027" s="285">
        <v>2084.66</v>
      </c>
      <c r="H1027" s="1"/>
      <c r="I1027" s="1">
        <f>COUNTIF(Tabela1[NF],Tabela1[[#This Row],[NF]])</f>
        <v>0</v>
      </c>
      <c r="K1027" s="82">
        <f>Tabela1[[#This Row],[DT. VENCIMENTO]]</f>
        <v>46013</v>
      </c>
      <c r="N1027" s="14" t="str" cm="1">
        <f t="array" ref="N1027">_xlfn.XLOOKUP(TRIM(D1027),TRIM(DFC!A:A),DFC!A:A,"NÃO ESTÁ NA DFC")</f>
        <v xml:space="preserve">      PEÇAS</v>
      </c>
    </row>
    <row r="1028" spans="1:14" customFormat="1" ht="14.4" x14ac:dyDescent="0.3">
      <c r="A1028" s="24"/>
      <c r="B1028" s="21">
        <v>46013</v>
      </c>
      <c r="C1028" s="91" t="s">
        <v>15</v>
      </c>
      <c r="D1028" s="21" t="s">
        <v>29</v>
      </c>
      <c r="E1028" s="20"/>
      <c r="F1028" s="132" t="s">
        <v>541</v>
      </c>
      <c r="G1028" s="285">
        <v>100.51</v>
      </c>
      <c r="H1028" s="1"/>
      <c r="I1028" s="1">
        <f>COUNTIF(Tabela1[NF],Tabela1[[#This Row],[NF]])</f>
        <v>0</v>
      </c>
      <c r="K1028" s="82">
        <f>Tabela1[[#This Row],[DT. VENCIMENTO]]</f>
        <v>46013</v>
      </c>
      <c r="N1028" s="14" t="str" cm="1">
        <f t="array" ref="N1028">_xlfn.XLOOKUP(TRIM(D1028),TRIM(DFC!A:A),DFC!A:A,"NÃO ESTÁ NA DFC")</f>
        <v xml:space="preserve">      FRETE DE SAÍDA</v>
      </c>
    </row>
    <row r="1029" spans="1:14" customFormat="1" ht="14.4" x14ac:dyDescent="0.3">
      <c r="A1029" s="24"/>
      <c r="B1029" s="21">
        <v>46013</v>
      </c>
      <c r="C1029" s="91" t="s">
        <v>15</v>
      </c>
      <c r="D1029" s="21" t="s">
        <v>19</v>
      </c>
      <c r="E1029" s="20"/>
      <c r="F1029" s="22" t="s">
        <v>422</v>
      </c>
      <c r="G1029" s="285">
        <v>6740</v>
      </c>
      <c r="H1029" s="1"/>
      <c r="I1029" s="1">
        <f>COUNTIF(Tabela1[NF],Tabela1[[#This Row],[NF]])</f>
        <v>0</v>
      </c>
      <c r="K1029" s="82">
        <f>Tabela1[[#This Row],[DT. VENCIMENTO]]</f>
        <v>46013</v>
      </c>
      <c r="N1029" s="14" t="str" cm="1">
        <f t="array" ref="N1029">_xlfn.XLOOKUP(TRIM(D1029),TRIM(DFC!A:A),DFC!A:A,"NÃO ESTÁ NA DFC")</f>
        <v xml:space="preserve">      PEÇAS</v>
      </c>
    </row>
    <row r="1030" spans="1:14" customFormat="1" ht="14.4" x14ac:dyDescent="0.3">
      <c r="A1030" s="24"/>
      <c r="B1030" s="21">
        <v>46013</v>
      </c>
      <c r="C1030" s="91" t="s">
        <v>15</v>
      </c>
      <c r="D1030" s="21" t="s">
        <v>154</v>
      </c>
      <c r="E1030" s="20"/>
      <c r="F1030" s="22" t="s">
        <v>299</v>
      </c>
      <c r="G1030" s="285">
        <v>1088.67</v>
      </c>
      <c r="H1030" s="1"/>
      <c r="I1030" s="1">
        <f>COUNTIF(Tabela1[NF],Tabela1[[#This Row],[NF]])</f>
        <v>0</v>
      </c>
      <c r="K1030" s="82">
        <f>Tabela1[[#This Row],[DT. VENCIMENTO]]</f>
        <v>46013</v>
      </c>
      <c r="N1030" s="14" t="str" cm="1">
        <f t="array" ref="N1030">_xlfn.XLOOKUP(TRIM(D1030),TRIM(DFC!A:A),DFC!A:A,"NÃO ESTÁ NA DFC")</f>
        <v xml:space="preserve">      EMBALAGENS</v>
      </c>
    </row>
    <row r="1031" spans="1:14" customFormat="1" ht="14.4" x14ac:dyDescent="0.3">
      <c r="A1031" s="24"/>
      <c r="B1031" s="21">
        <v>46013</v>
      </c>
      <c r="C1031" s="91" t="s">
        <v>15</v>
      </c>
      <c r="D1031" s="21" t="s">
        <v>19</v>
      </c>
      <c r="E1031" s="20"/>
      <c r="F1031" s="22" t="s">
        <v>228</v>
      </c>
      <c r="G1031" s="285">
        <v>3521.79</v>
      </c>
      <c r="H1031" s="1"/>
      <c r="I1031" s="1">
        <f>COUNTIF(Tabela1[NF],Tabela1[[#This Row],[NF]])</f>
        <v>0</v>
      </c>
      <c r="K1031" s="82">
        <f>Tabela1[[#This Row],[DT. VENCIMENTO]]</f>
        <v>46013</v>
      </c>
      <c r="N1031" s="14" t="str" cm="1">
        <f t="array" ref="N1031">_xlfn.XLOOKUP(TRIM(D1031),TRIM(DFC!A:A),DFC!A:A,"NÃO ESTÁ NA DFC")</f>
        <v xml:space="preserve">      PEÇAS</v>
      </c>
    </row>
    <row r="1032" spans="1:14" customFormat="1" ht="14.4" x14ac:dyDescent="0.3">
      <c r="A1032" s="24"/>
      <c r="B1032" s="21">
        <v>46013</v>
      </c>
      <c r="C1032" s="91" t="s">
        <v>15</v>
      </c>
      <c r="D1032" s="21" t="s">
        <v>19</v>
      </c>
      <c r="E1032" s="20"/>
      <c r="F1032" s="22" t="s">
        <v>228</v>
      </c>
      <c r="G1032" s="285">
        <v>3907.44</v>
      </c>
      <c r="H1032" s="1"/>
      <c r="I1032" s="1">
        <f>COUNTIF(Tabela1[NF],Tabela1[[#This Row],[NF]])</f>
        <v>0</v>
      </c>
      <c r="K1032" s="82">
        <f>Tabela1[[#This Row],[DT. VENCIMENTO]]</f>
        <v>46013</v>
      </c>
      <c r="N1032" s="14" t="str" cm="1">
        <f t="array" ref="N1032">_xlfn.XLOOKUP(TRIM(D1032),TRIM(DFC!A:A),DFC!A:A,"NÃO ESTÁ NA DFC")</f>
        <v xml:space="preserve">      PEÇAS</v>
      </c>
    </row>
    <row r="1033" spans="1:14" customFormat="1" ht="14.4" x14ac:dyDescent="0.3">
      <c r="A1033" s="24"/>
      <c r="B1033" s="21">
        <v>46013</v>
      </c>
      <c r="C1033" s="91" t="s">
        <v>15</v>
      </c>
      <c r="D1033" s="21" t="s">
        <v>19</v>
      </c>
      <c r="E1033" s="20"/>
      <c r="F1033" s="22" t="s">
        <v>407</v>
      </c>
      <c r="G1033" s="285">
        <v>24255.57</v>
      </c>
      <c r="H1033" s="1"/>
      <c r="I1033" s="1">
        <f>COUNTIF(Tabela1[NF],Tabela1[[#This Row],[NF]])</f>
        <v>0</v>
      </c>
      <c r="K1033" s="82">
        <f>Tabela1[[#This Row],[DT. VENCIMENTO]]</f>
        <v>46013</v>
      </c>
      <c r="N1033" s="14" t="str" cm="1">
        <f t="array" ref="N1033">_xlfn.XLOOKUP(TRIM(D1033),TRIM(DFC!A:A),DFC!A:A,"NÃO ESTÁ NA DFC")</f>
        <v xml:space="preserve">      PEÇAS</v>
      </c>
    </row>
    <row r="1034" spans="1:14" customFormat="1" ht="14.4" x14ac:dyDescent="0.3">
      <c r="A1034" s="24"/>
      <c r="B1034" s="21">
        <v>46013</v>
      </c>
      <c r="C1034" s="91" t="s">
        <v>15</v>
      </c>
      <c r="D1034" s="21" t="s">
        <v>31</v>
      </c>
      <c r="E1034" s="20"/>
      <c r="F1034" s="22" t="s">
        <v>408</v>
      </c>
      <c r="G1034" s="285">
        <v>2067.37</v>
      </c>
      <c r="H1034" s="1"/>
      <c r="I1034" s="1">
        <f>COUNTIF(Tabela1[NF],Tabela1[[#This Row],[NF]])</f>
        <v>0</v>
      </c>
      <c r="K1034" s="82">
        <f>Tabela1[[#This Row],[DT. VENCIMENTO]]</f>
        <v>46013</v>
      </c>
      <c r="N1034" s="14" t="str" cm="1">
        <f t="array" ref="N1034">_xlfn.XLOOKUP(TRIM(D1034),TRIM(DFC!A:A),DFC!A:A,"NÃO ESTÁ NA DFC")</f>
        <v xml:space="preserve">      GRAN RESIDENCE</v>
      </c>
    </row>
    <row r="1035" spans="1:14" customFormat="1" ht="14.4" x14ac:dyDescent="0.3">
      <c r="A1035" s="24"/>
      <c r="B1035" s="21">
        <v>46013</v>
      </c>
      <c r="C1035" s="91" t="s">
        <v>15</v>
      </c>
      <c r="D1035" s="21" t="s">
        <v>19</v>
      </c>
      <c r="E1035" s="20"/>
      <c r="F1035" s="22" t="s">
        <v>407</v>
      </c>
      <c r="G1035" s="285">
        <v>8085.19</v>
      </c>
      <c r="H1035" s="1"/>
      <c r="I1035" s="1">
        <f>COUNTIF(Tabela1[NF],Tabela1[[#This Row],[NF]])</f>
        <v>0</v>
      </c>
      <c r="K1035" s="82">
        <f>Tabela1[[#This Row],[DT. VENCIMENTO]]</f>
        <v>46013</v>
      </c>
      <c r="N1035" s="14" t="str" cm="1">
        <f t="array" ref="N1035">_xlfn.XLOOKUP(TRIM(D1035),TRIM(DFC!A:A),DFC!A:A,"NÃO ESTÁ NA DFC")</f>
        <v xml:space="preserve">      PEÇAS</v>
      </c>
    </row>
    <row r="1036" spans="1:14" customFormat="1" ht="14.4" x14ac:dyDescent="0.3">
      <c r="A1036" s="24"/>
      <c r="B1036" s="21">
        <v>46013</v>
      </c>
      <c r="C1036" s="91" t="s">
        <v>15</v>
      </c>
      <c r="D1036" s="21" t="s">
        <v>19</v>
      </c>
      <c r="E1036" s="20"/>
      <c r="F1036" s="22" t="s">
        <v>405</v>
      </c>
      <c r="G1036" s="285">
        <v>6253.99</v>
      </c>
      <c r="H1036" s="1"/>
      <c r="I1036" s="1">
        <f>COUNTIF(Tabela1[NF],Tabela1[[#This Row],[NF]])</f>
        <v>0</v>
      </c>
      <c r="K1036" s="82">
        <f>Tabela1[[#This Row],[DT. VENCIMENTO]]</f>
        <v>46013</v>
      </c>
      <c r="N1036" s="14" t="str" cm="1">
        <f t="array" ref="N1036">_xlfn.XLOOKUP(TRIM(D1036),TRIM(DFC!A:A),DFC!A:A,"NÃO ESTÁ NA DFC")</f>
        <v xml:space="preserve">      PEÇAS</v>
      </c>
    </row>
    <row r="1037" spans="1:14" customFormat="1" ht="14.4" x14ac:dyDescent="0.3">
      <c r="A1037" s="24"/>
      <c r="B1037" s="21">
        <v>46013</v>
      </c>
      <c r="C1037" s="91" t="s">
        <v>15</v>
      </c>
      <c r="D1037" s="21" t="s">
        <v>19</v>
      </c>
      <c r="E1037" s="20"/>
      <c r="F1037" s="22" t="s">
        <v>300</v>
      </c>
      <c r="G1037" s="285">
        <v>12112.67</v>
      </c>
      <c r="H1037" s="1"/>
      <c r="I1037" s="1">
        <f>COUNTIF(Tabela1[NF],Tabela1[[#This Row],[NF]])</f>
        <v>0</v>
      </c>
      <c r="K1037" s="82">
        <f>Tabela1[[#This Row],[DT. VENCIMENTO]]</f>
        <v>46013</v>
      </c>
      <c r="N1037" s="14" t="str" cm="1">
        <f t="array" ref="N1037">_xlfn.XLOOKUP(TRIM(D1037),TRIM(DFC!A:A),DFC!A:A,"NÃO ESTÁ NA DFC")</f>
        <v xml:space="preserve">      PEÇAS</v>
      </c>
    </row>
    <row r="1038" spans="1:14" customFormat="1" ht="14.4" x14ac:dyDescent="0.3">
      <c r="A1038" s="24"/>
      <c r="B1038" s="21">
        <v>46013</v>
      </c>
      <c r="C1038" s="91" t="s">
        <v>15</v>
      </c>
      <c r="D1038" s="21" t="s">
        <v>19</v>
      </c>
      <c r="E1038" s="20"/>
      <c r="F1038" s="22" t="s">
        <v>406</v>
      </c>
      <c r="G1038" s="285">
        <v>1776.71</v>
      </c>
      <c r="H1038" s="1"/>
      <c r="I1038" s="1">
        <f>COUNTIF(Tabela1[NF],Tabela1[[#This Row],[NF]])</f>
        <v>0</v>
      </c>
      <c r="K1038" s="82">
        <f>Tabela1[[#This Row],[DT. VENCIMENTO]]</f>
        <v>46013</v>
      </c>
      <c r="N1038" s="14" t="str" cm="1">
        <f t="array" ref="N1038">_xlfn.XLOOKUP(TRIM(D1038),TRIM(DFC!A:A),DFC!A:A,"NÃO ESTÁ NA DFC")</f>
        <v xml:space="preserve">      PEÇAS</v>
      </c>
    </row>
    <row r="1039" spans="1:14" customFormat="1" ht="14.4" x14ac:dyDescent="0.3">
      <c r="A1039" s="24"/>
      <c r="B1039" s="21">
        <v>46013</v>
      </c>
      <c r="C1039" s="91" t="s">
        <v>15</v>
      </c>
      <c r="D1039" s="21" t="s">
        <v>72</v>
      </c>
      <c r="E1039" s="20"/>
      <c r="F1039" s="22" t="s">
        <v>380</v>
      </c>
      <c r="G1039" s="285">
        <v>579.75</v>
      </c>
      <c r="H1039" s="1"/>
      <c r="I1039" s="1">
        <f>COUNTIF(Tabela1[NF],Tabela1[[#This Row],[NF]])</f>
        <v>0</v>
      </c>
      <c r="K1039" s="82">
        <f>Tabela1[[#This Row],[DT. VENCIMENTO]]</f>
        <v>46013</v>
      </c>
      <c r="N1039" s="14" t="str" cm="1">
        <f t="array" ref="N1039">_xlfn.XLOOKUP(TRIM(D1039),TRIM(DFC!A:A),DFC!A:A,"NÃO ESTÁ NA DFC")</f>
        <v xml:space="preserve">          COMBUSTÍVEL</v>
      </c>
    </row>
    <row r="1040" spans="1:14" customFormat="1" ht="14.4" x14ac:dyDescent="0.3">
      <c r="A1040" s="24"/>
      <c r="B1040" s="21">
        <v>46013</v>
      </c>
      <c r="C1040" s="91" t="s">
        <v>15</v>
      </c>
      <c r="D1040" s="84" t="s">
        <v>98</v>
      </c>
      <c r="E1040" s="20"/>
      <c r="F1040" s="22" t="s">
        <v>542</v>
      </c>
      <c r="G1040" s="285">
        <v>50</v>
      </c>
      <c r="H1040" s="1"/>
      <c r="I1040" s="1">
        <f>COUNTIF(Tabela1[NF],Tabela1[[#This Row],[NF]])</f>
        <v>0</v>
      </c>
      <c r="K1040" s="26">
        <f>Tabela1[[#This Row],[DT. VENCIMENTO]]</f>
        <v>46013</v>
      </c>
      <c r="N1040" s="14" t="str" cm="1">
        <f t="array" ref="N1040">_xlfn.XLOOKUP(TRIM(D1040),TRIM(DFC!A:A),DFC!A:A,"NÃO ESTÁ NA DFC")</f>
        <v xml:space="preserve">     REEMBOLSO SAC</v>
      </c>
    </row>
    <row r="1041" spans="1:14" customFormat="1" ht="14.4" x14ac:dyDescent="0.3">
      <c r="A1041" s="24"/>
      <c r="B1041" s="21">
        <v>46013</v>
      </c>
      <c r="C1041" s="91" t="s">
        <v>15</v>
      </c>
      <c r="D1041" s="21" t="s">
        <v>82</v>
      </c>
      <c r="E1041" s="20"/>
      <c r="F1041" s="22" t="s">
        <v>411</v>
      </c>
      <c r="G1041" s="285">
        <v>320</v>
      </c>
      <c r="H1041" s="1"/>
      <c r="I1041" s="1">
        <f>COUNTIF(Tabela1[NF],Tabela1[[#This Row],[NF]])</f>
        <v>0</v>
      </c>
      <c r="K1041" s="26">
        <f>Tabela1[[#This Row],[DT. VENCIMENTO]]</f>
        <v>46013</v>
      </c>
      <c r="N1041" s="14" t="str" cm="1">
        <f t="array" ref="N1041">_xlfn.XLOOKUP(TRIM(D1041),TRIM(DFC!A:A),DFC!A:A,"NÃO ESTÁ NA DFC")</f>
        <v xml:space="preserve">          DIÁRIAS</v>
      </c>
    </row>
    <row r="1042" spans="1:14" customFormat="1" ht="14.4" x14ac:dyDescent="0.3">
      <c r="A1042" s="19">
        <v>460032</v>
      </c>
      <c r="B1042" s="21">
        <v>46013</v>
      </c>
      <c r="C1042" s="91" t="s">
        <v>15</v>
      </c>
      <c r="D1042" s="21" t="s">
        <v>19</v>
      </c>
      <c r="E1042" s="20"/>
      <c r="F1042" s="22" t="s">
        <v>310</v>
      </c>
      <c r="G1042" s="285">
        <v>5965.13</v>
      </c>
      <c r="H1042" s="1"/>
      <c r="I1042" s="1">
        <f>COUNTIF(Tabela1[NF],Tabela1[[#This Row],[NF]])</f>
        <v>2</v>
      </c>
      <c r="K1042" s="82">
        <f>Tabela1[[#This Row],[DT. VENCIMENTO]]</f>
        <v>46013</v>
      </c>
      <c r="N1042" s="14" t="str" cm="1">
        <f t="array" ref="N1042">_xlfn.XLOOKUP(TRIM(D1042),TRIM(DFC!A:A),DFC!A:A,"NÃO ESTÁ NA DFC")</f>
        <v xml:space="preserve">      PEÇAS</v>
      </c>
    </row>
    <row r="1043" spans="1:14" customFormat="1" ht="14.4" x14ac:dyDescent="0.3">
      <c r="A1043" s="24"/>
      <c r="B1043" s="21">
        <v>46014</v>
      </c>
      <c r="C1043" s="91" t="s">
        <v>15</v>
      </c>
      <c r="D1043" s="21" t="s">
        <v>156</v>
      </c>
      <c r="E1043" s="20" t="s">
        <v>157</v>
      </c>
      <c r="F1043" s="22" t="s">
        <v>314</v>
      </c>
      <c r="G1043" s="252">
        <v>4050</v>
      </c>
      <c r="H1043" s="1"/>
      <c r="I1043" s="1">
        <f>COUNTIF(Tabela1[NF],Tabela1[[#This Row],[NF]])</f>
        <v>0</v>
      </c>
      <c r="K1043" s="82">
        <f>Tabela1[[#This Row],[DT. VENCIMENTO]]</f>
        <v>46014</v>
      </c>
      <c r="N1043" s="14" t="str" cm="1">
        <f t="array" ref="N1043">_xlfn.XLOOKUP(TRIM(D1043),TRIM(DFC!A:A),DFC!A:A,"NÃO ESTÁ NA DFC")</f>
        <v xml:space="preserve">      MONTAGEM DE RODAS</v>
      </c>
    </row>
    <row r="1044" spans="1:14" customFormat="1" ht="14.4" x14ac:dyDescent="0.3">
      <c r="A1044" s="24"/>
      <c r="B1044" s="21">
        <v>46014</v>
      </c>
      <c r="C1044" s="91" t="s">
        <v>15</v>
      </c>
      <c r="D1044" s="21" t="s">
        <v>97</v>
      </c>
      <c r="E1044" s="20" t="s">
        <v>543</v>
      </c>
      <c r="F1044" s="22" t="s">
        <v>544</v>
      </c>
      <c r="G1044" s="252">
        <v>500</v>
      </c>
      <c r="H1044" s="1"/>
      <c r="I1044" s="1">
        <f>COUNTIF(Tabela1[NF],Tabela1[[#This Row],[NF]])</f>
        <v>0</v>
      </c>
      <c r="K1044" s="82">
        <f>Tabela1[[#This Row],[DT. VENCIMENTO]]</f>
        <v>46014</v>
      </c>
      <c r="N1044" s="14" t="str" cm="1">
        <f t="array" ref="N1044">_xlfn.XLOOKUP(TRIM(D1044),TRIM(DFC!A:A),DFC!A:A,"NÃO ESTÁ NA DFC")</f>
        <v xml:space="preserve">          MANUTENÇÃO PREDIAL</v>
      </c>
    </row>
    <row r="1045" spans="1:14" customFormat="1" ht="14.4" x14ac:dyDescent="0.3">
      <c r="A1045" s="24"/>
      <c r="B1045" s="21">
        <v>46014</v>
      </c>
      <c r="C1045" s="91" t="s">
        <v>15</v>
      </c>
      <c r="D1045" s="21" t="s">
        <v>19</v>
      </c>
      <c r="E1045" s="20"/>
      <c r="F1045" s="22" t="s">
        <v>300</v>
      </c>
      <c r="G1045" s="252">
        <v>5970.24</v>
      </c>
      <c r="H1045" s="1"/>
      <c r="I1045" s="1">
        <f>COUNTIF(Tabela1[NF],Tabela1[[#This Row],[NF]])</f>
        <v>0</v>
      </c>
      <c r="K1045" s="82">
        <f>Tabela1[[#This Row],[DT. VENCIMENTO]]</f>
        <v>46014</v>
      </c>
      <c r="N1045" s="14" t="str" cm="1">
        <f t="array" ref="N1045">_xlfn.XLOOKUP(TRIM(D1045),TRIM(DFC!A:A),DFC!A:A,"NÃO ESTÁ NA DFC")</f>
        <v xml:space="preserve">      PEÇAS</v>
      </c>
    </row>
    <row r="1046" spans="1:14" customFormat="1" ht="14.4" x14ac:dyDescent="0.3">
      <c r="A1046" s="24"/>
      <c r="B1046" s="21">
        <v>46014</v>
      </c>
      <c r="C1046" s="91" t="s">
        <v>15</v>
      </c>
      <c r="D1046" s="21" t="s">
        <v>19</v>
      </c>
      <c r="E1046" s="20"/>
      <c r="F1046" s="22" t="s">
        <v>228</v>
      </c>
      <c r="G1046" s="252">
        <v>3467.02</v>
      </c>
      <c r="H1046" s="1"/>
      <c r="I1046" s="1">
        <f>COUNTIF(Tabela1[NF],Tabela1[[#This Row],[NF]])</f>
        <v>0</v>
      </c>
      <c r="K1046" s="82">
        <f>Tabela1[[#This Row],[DT. VENCIMENTO]]</f>
        <v>46014</v>
      </c>
      <c r="N1046" s="14" t="str" cm="1">
        <f t="array" ref="N1046">_xlfn.XLOOKUP(TRIM(D1046),TRIM(DFC!A:A),DFC!A:A,"NÃO ESTÁ NA DFC")</f>
        <v xml:space="preserve">      PEÇAS</v>
      </c>
    </row>
    <row r="1047" spans="1:14" customFormat="1" ht="14.4" x14ac:dyDescent="0.3">
      <c r="A1047" s="24"/>
      <c r="B1047" s="21">
        <v>46014</v>
      </c>
      <c r="C1047" s="91" t="s">
        <v>15</v>
      </c>
      <c r="D1047" s="21" t="s">
        <v>154</v>
      </c>
      <c r="E1047" s="20"/>
      <c r="F1047" s="22" t="s">
        <v>302</v>
      </c>
      <c r="G1047" s="252">
        <v>2908.21</v>
      </c>
      <c r="H1047" s="1"/>
      <c r="I1047" s="1">
        <f>COUNTIF(Tabela1[NF],Tabela1[[#This Row],[NF]])</f>
        <v>0</v>
      </c>
      <c r="K1047" s="82">
        <f>Tabela1[[#This Row],[DT. VENCIMENTO]]</f>
        <v>46014</v>
      </c>
      <c r="N1047" s="14" t="str" cm="1">
        <f t="array" ref="N1047">_xlfn.XLOOKUP(TRIM(D1047),TRIM(DFC!A:A),DFC!A:A,"NÃO ESTÁ NA DFC")</f>
        <v xml:space="preserve">      EMBALAGENS</v>
      </c>
    </row>
    <row r="1048" spans="1:14" customFormat="1" ht="14.4" x14ac:dyDescent="0.3">
      <c r="A1048" s="24"/>
      <c r="B1048" s="21">
        <v>46014</v>
      </c>
      <c r="C1048" s="91" t="s">
        <v>15</v>
      </c>
      <c r="D1048" s="21" t="s">
        <v>154</v>
      </c>
      <c r="E1048" s="20"/>
      <c r="F1048" s="22" t="s">
        <v>302</v>
      </c>
      <c r="G1048" s="252">
        <v>2925.66</v>
      </c>
      <c r="H1048" s="1"/>
      <c r="I1048" s="1">
        <f>COUNTIF(Tabela1[NF],Tabela1[[#This Row],[NF]])</f>
        <v>0</v>
      </c>
      <c r="K1048" s="82">
        <f>Tabela1[[#This Row],[DT. VENCIMENTO]]</f>
        <v>46014</v>
      </c>
      <c r="N1048" s="14" t="str" cm="1">
        <f t="array" ref="N1048">_xlfn.XLOOKUP(TRIM(D1048),TRIM(DFC!A:A),DFC!A:A,"NÃO ESTÁ NA DFC")</f>
        <v xml:space="preserve">      EMBALAGENS</v>
      </c>
    </row>
    <row r="1049" spans="1:14" customFormat="1" ht="14.4" x14ac:dyDescent="0.3">
      <c r="A1049" s="24"/>
      <c r="B1049" s="21">
        <v>46014</v>
      </c>
      <c r="C1049" s="91" t="s">
        <v>15</v>
      </c>
      <c r="D1049" s="21" t="s">
        <v>19</v>
      </c>
      <c r="E1049" s="20"/>
      <c r="F1049" s="22" t="s">
        <v>301</v>
      </c>
      <c r="G1049" s="252">
        <v>5221.6099999999997</v>
      </c>
      <c r="H1049" s="1"/>
      <c r="I1049" s="1">
        <f>COUNTIF(Tabela1[NF],Tabela1[[#This Row],[NF]])</f>
        <v>0</v>
      </c>
      <c r="K1049" s="82">
        <f>Tabela1[[#This Row],[DT. VENCIMENTO]]</f>
        <v>46014</v>
      </c>
      <c r="N1049" s="14" t="str" cm="1">
        <f t="array" ref="N1049">_xlfn.XLOOKUP(TRIM(D1049),TRIM(DFC!A:A),DFC!A:A,"NÃO ESTÁ NA DFC")</f>
        <v xml:space="preserve">      PEÇAS</v>
      </c>
    </row>
    <row r="1050" spans="1:14" customFormat="1" ht="14.4" x14ac:dyDescent="0.3">
      <c r="A1050" s="19">
        <v>447338</v>
      </c>
      <c r="B1050" s="21">
        <v>46014</v>
      </c>
      <c r="C1050" s="91" t="s">
        <v>15</v>
      </c>
      <c r="D1050" s="21" t="s">
        <v>19</v>
      </c>
      <c r="E1050" s="20"/>
      <c r="F1050" s="22" t="s">
        <v>310</v>
      </c>
      <c r="G1050" s="252">
        <v>6028</v>
      </c>
      <c r="H1050" s="1"/>
      <c r="I1050" s="1">
        <f>COUNTIF(Tabela1[NF],Tabela1[[#This Row],[NF]])</f>
        <v>4</v>
      </c>
      <c r="K1050" s="82">
        <f>Tabela1[[#This Row],[DT. VENCIMENTO]]</f>
        <v>46014</v>
      </c>
      <c r="N1050" s="14" t="str" cm="1">
        <f t="array" ref="N1050">_xlfn.XLOOKUP(TRIM(D1050),TRIM(DFC!A:A),DFC!A:A,"NÃO ESTÁ NA DFC")</f>
        <v xml:space="preserve">      PEÇAS</v>
      </c>
    </row>
    <row r="1051" spans="1:14" customFormat="1" ht="14.4" x14ac:dyDescent="0.3">
      <c r="A1051" s="24"/>
      <c r="B1051" s="21">
        <v>46015</v>
      </c>
      <c r="C1051" s="91" t="s">
        <v>15</v>
      </c>
      <c r="D1051" s="84" t="s">
        <v>545</v>
      </c>
      <c r="E1051" s="81" t="s">
        <v>546</v>
      </c>
      <c r="F1051" s="22" t="s">
        <v>547</v>
      </c>
      <c r="G1051" s="252">
        <v>1440</v>
      </c>
      <c r="H1051" s="1"/>
      <c r="I1051" s="1">
        <f>COUNTIF(Tabela1[NF],Tabela1[[#This Row],[NF]])</f>
        <v>0</v>
      </c>
      <c r="K1051" s="82">
        <f>Tabela1[[#This Row],[DT. VENCIMENTO]]</f>
        <v>46015</v>
      </c>
      <c r="N1051" s="14" t="str" cm="1">
        <f t="array" ref="N1051">_xlfn.XLOOKUP(TRIM(D1051),TRIM(DFC!A:A),DFC!A:A,"NÃO ESTÁ NA DFC")</f>
        <v xml:space="preserve">          CONFRATERNIZAÇÃO</v>
      </c>
    </row>
    <row r="1052" spans="1:14" customFormat="1" ht="14.4" x14ac:dyDescent="0.3">
      <c r="A1052" s="24"/>
      <c r="B1052" s="21">
        <v>46015</v>
      </c>
      <c r="C1052" s="91" t="s">
        <v>15</v>
      </c>
      <c r="D1052" s="21" t="s">
        <v>19</v>
      </c>
      <c r="E1052" s="20"/>
      <c r="F1052" s="22" t="s">
        <v>301</v>
      </c>
      <c r="G1052" s="252">
        <v>6707.11</v>
      </c>
      <c r="H1052" s="1"/>
      <c r="I1052" s="1">
        <f>COUNTIF(Tabela1[NF],Tabela1[[#This Row],[NF]])</f>
        <v>0</v>
      </c>
      <c r="K1052" s="82">
        <f>Tabela1[[#This Row],[DT. VENCIMENTO]]</f>
        <v>46015</v>
      </c>
      <c r="N1052" s="14" t="str" cm="1">
        <f t="array" ref="N1052">_xlfn.XLOOKUP(TRIM(D1052),TRIM(DFC!A:A),DFC!A:A,"NÃO ESTÁ NA DFC")</f>
        <v xml:space="preserve">      PEÇAS</v>
      </c>
    </row>
    <row r="1053" spans="1:14" customFormat="1" ht="14.4" x14ac:dyDescent="0.3">
      <c r="A1053" s="24"/>
      <c r="B1053" s="21">
        <v>46015</v>
      </c>
      <c r="C1053" s="91" t="s">
        <v>15</v>
      </c>
      <c r="D1053" s="21" t="s">
        <v>19</v>
      </c>
      <c r="E1053" s="20" t="s">
        <v>482</v>
      </c>
      <c r="F1053" s="22" t="s">
        <v>483</v>
      </c>
      <c r="G1053" s="252">
        <v>1879.17</v>
      </c>
      <c r="H1053" s="1"/>
      <c r="I1053" s="1">
        <f>COUNTIF(Tabela1[NF],Tabela1[[#This Row],[NF]])</f>
        <v>0</v>
      </c>
      <c r="K1053" s="82">
        <f>Tabela1[[#This Row],[DT. VENCIMENTO]]</f>
        <v>46015</v>
      </c>
      <c r="N1053" s="14" t="str" cm="1">
        <f t="array" ref="N1053">_xlfn.XLOOKUP(TRIM(D1053),TRIM(DFC!A:A),DFC!A:A,"NÃO ESTÁ NA DFC")</f>
        <v xml:space="preserve">      PEÇAS</v>
      </c>
    </row>
    <row r="1054" spans="1:14" customFormat="1" ht="14.4" x14ac:dyDescent="0.3">
      <c r="A1054" s="24"/>
      <c r="B1054" s="21">
        <v>46015</v>
      </c>
      <c r="C1054" s="91" t="s">
        <v>15</v>
      </c>
      <c r="D1054" s="21" t="s">
        <v>37</v>
      </c>
      <c r="E1054" s="20"/>
      <c r="F1054" s="22" t="s">
        <v>341</v>
      </c>
      <c r="G1054" s="252">
        <v>245.9</v>
      </c>
      <c r="H1054" s="1"/>
      <c r="I1054" s="1">
        <f>COUNTIF(Tabela1[NF],Tabela1[[#This Row],[NF]])</f>
        <v>0</v>
      </c>
      <c r="K1054" s="26">
        <f>Tabela1[[#This Row],[DT. VENCIMENTO]]</f>
        <v>46015</v>
      </c>
      <c r="N1054" s="14" t="str" cm="1">
        <f t="array" ref="N1054">_xlfn.XLOOKUP(TRIM(D1054),TRIM(DFC!A:A),DFC!A:A,"NÃO ESTÁ NA DFC")</f>
        <v xml:space="preserve">          MATERIAL DE ESCRITÓRIO</v>
      </c>
    </row>
    <row r="1055" spans="1:14" customFormat="1" ht="14.4" x14ac:dyDescent="0.3">
      <c r="A1055" s="24"/>
      <c r="B1055" s="21">
        <v>46017</v>
      </c>
      <c r="C1055" s="91" t="s">
        <v>15</v>
      </c>
      <c r="D1055" s="21" t="s">
        <v>19</v>
      </c>
      <c r="E1055" s="20"/>
      <c r="F1055" s="22" t="s">
        <v>228</v>
      </c>
      <c r="G1055" s="252">
        <v>3139.2</v>
      </c>
      <c r="H1055" s="1"/>
      <c r="I1055" s="1">
        <f>COUNTIF(Tabela1[NF],Tabela1[[#This Row],[NF]])</f>
        <v>0</v>
      </c>
      <c r="K1055" s="26">
        <f>Tabela1[[#This Row],[DT. VENCIMENTO]]</f>
        <v>46017</v>
      </c>
      <c r="N1055" s="14" t="str" cm="1">
        <f t="array" ref="N1055">_xlfn.XLOOKUP(TRIM(D1055),TRIM(DFC!A:A),DFC!A:A,"NÃO ESTÁ NA DFC")</f>
        <v xml:space="preserve">      PEÇAS</v>
      </c>
    </row>
    <row r="1056" spans="1:14" customFormat="1" ht="14.4" x14ac:dyDescent="0.3">
      <c r="A1056" s="24"/>
      <c r="B1056" s="21">
        <v>46017</v>
      </c>
      <c r="C1056" s="91" t="s">
        <v>15</v>
      </c>
      <c r="D1056" s="21" t="s">
        <v>19</v>
      </c>
      <c r="E1056" s="20"/>
      <c r="F1056" s="22" t="s">
        <v>300</v>
      </c>
      <c r="G1056" s="252">
        <v>1784.66</v>
      </c>
      <c r="H1056" s="1"/>
      <c r="I1056" s="1">
        <f>COUNTIF(Tabela1[NF],Tabela1[[#This Row],[NF]])</f>
        <v>0</v>
      </c>
      <c r="K1056" s="82">
        <f>Tabela1[[#This Row],[DT. VENCIMENTO]]</f>
        <v>46017</v>
      </c>
      <c r="N1056" s="14" t="str" cm="1">
        <f t="array" ref="N1056">_xlfn.XLOOKUP(TRIM(D1056),TRIM(DFC!A:A),DFC!A:A,"NÃO ESTÁ NA DFC")</f>
        <v xml:space="preserve">      PEÇAS</v>
      </c>
    </row>
    <row r="1057" spans="1:14" customFormat="1" ht="14.4" x14ac:dyDescent="0.3">
      <c r="A1057" s="24"/>
      <c r="B1057" s="21">
        <v>46017</v>
      </c>
      <c r="C1057" s="91" t="s">
        <v>15</v>
      </c>
      <c r="D1057" s="21" t="s">
        <v>154</v>
      </c>
      <c r="E1057" s="20"/>
      <c r="F1057" s="22" t="s">
        <v>302</v>
      </c>
      <c r="G1057" s="252">
        <v>3216.48</v>
      </c>
      <c r="H1057" s="1"/>
      <c r="I1057" s="1">
        <f>COUNTIF(Tabela1[NF],Tabela1[[#This Row],[NF]])</f>
        <v>0</v>
      </c>
      <c r="K1057" s="82">
        <f>Tabela1[[#This Row],[DT. VENCIMENTO]]</f>
        <v>46017</v>
      </c>
      <c r="N1057" s="14" t="str" cm="1">
        <f t="array" ref="N1057">_xlfn.XLOOKUP(TRIM(D1057),TRIM(DFC!A:A),DFC!A:A,"NÃO ESTÁ NA DFC")</f>
        <v xml:space="preserve">      EMBALAGENS</v>
      </c>
    </row>
    <row r="1058" spans="1:14" customFormat="1" ht="14.4" x14ac:dyDescent="0.3">
      <c r="A1058" s="24"/>
      <c r="B1058" s="21">
        <v>46017</v>
      </c>
      <c r="C1058" s="91" t="s">
        <v>15</v>
      </c>
      <c r="D1058" s="21" t="s">
        <v>19</v>
      </c>
      <c r="E1058" s="20"/>
      <c r="F1058" s="22" t="s">
        <v>300</v>
      </c>
      <c r="G1058" s="252">
        <v>5970.21</v>
      </c>
      <c r="H1058" s="1"/>
      <c r="I1058" s="1">
        <f>COUNTIF(Tabela1[NF],Tabela1[[#This Row],[NF]])</f>
        <v>0</v>
      </c>
      <c r="K1058" s="82">
        <f>Tabela1[[#This Row],[DT. VENCIMENTO]]</f>
        <v>46017</v>
      </c>
      <c r="N1058" s="14" t="str" cm="1">
        <f t="array" ref="N1058">_xlfn.XLOOKUP(TRIM(D1058),TRIM(DFC!A:A),DFC!A:A,"NÃO ESTÁ NA DFC")</f>
        <v xml:space="preserve">      PEÇAS</v>
      </c>
    </row>
    <row r="1059" spans="1:14" customFormat="1" ht="14.4" x14ac:dyDescent="0.3">
      <c r="A1059" s="24"/>
      <c r="B1059" s="21">
        <v>46017</v>
      </c>
      <c r="C1059" s="91" t="s">
        <v>15</v>
      </c>
      <c r="D1059" s="21" t="s">
        <v>29</v>
      </c>
      <c r="E1059" s="20"/>
      <c r="F1059" s="22" t="s">
        <v>548</v>
      </c>
      <c r="G1059" s="252">
        <v>100</v>
      </c>
      <c r="H1059" s="1"/>
      <c r="I1059" s="1">
        <f>COUNTIF(Tabela1[NF],Tabela1[[#This Row],[NF]])</f>
        <v>0</v>
      </c>
      <c r="K1059" s="26">
        <f>Tabela1[[#This Row],[DT. VENCIMENTO]]</f>
        <v>46017</v>
      </c>
      <c r="N1059" s="14" t="str" cm="1">
        <f t="array" ref="N1059">_xlfn.XLOOKUP(TRIM(D1059),TRIM(DFC!A:A),DFC!A:A,"NÃO ESTÁ NA DFC")</f>
        <v xml:space="preserve">      FRETE DE SAÍDA</v>
      </c>
    </row>
    <row r="1060" spans="1:14" customFormat="1" ht="14.4" x14ac:dyDescent="0.3">
      <c r="A1060" s="24"/>
      <c r="B1060" s="21">
        <v>46017</v>
      </c>
      <c r="C1060" s="91" t="s">
        <v>15</v>
      </c>
      <c r="D1060" s="21" t="s">
        <v>29</v>
      </c>
      <c r="E1060" s="20"/>
      <c r="F1060" s="22" t="s">
        <v>168</v>
      </c>
      <c r="G1060" s="252">
        <v>130</v>
      </c>
      <c r="H1060" s="1"/>
      <c r="I1060" s="1">
        <f>COUNTIF(Tabela1[NF],Tabela1[[#This Row],[NF]])</f>
        <v>0</v>
      </c>
      <c r="K1060" s="26">
        <f>Tabela1[[#This Row],[DT. VENCIMENTO]]</f>
        <v>46017</v>
      </c>
      <c r="N1060" s="14" t="str" cm="1">
        <f t="array" ref="N1060">_xlfn.XLOOKUP(TRIM(D1060),TRIM(DFC!A:A),DFC!A:A,"NÃO ESTÁ NA DFC")</f>
        <v xml:space="preserve">      FRETE DE SAÍDA</v>
      </c>
    </row>
    <row r="1061" spans="1:14" customFormat="1" ht="14.4" x14ac:dyDescent="0.3">
      <c r="A1061" s="24"/>
      <c r="B1061" s="21">
        <v>46017</v>
      </c>
      <c r="C1061" s="91" t="s">
        <v>15</v>
      </c>
      <c r="D1061" s="21" t="s">
        <v>29</v>
      </c>
      <c r="E1061" s="20"/>
      <c r="F1061" s="22" t="s">
        <v>168</v>
      </c>
      <c r="G1061" s="252">
        <v>495</v>
      </c>
      <c r="H1061" s="1"/>
      <c r="I1061" s="1">
        <f>COUNTIF(Tabela1[NF],Tabela1[[#This Row],[NF]])</f>
        <v>0</v>
      </c>
      <c r="K1061" s="82">
        <f>Tabela1[[#This Row],[DT. VENCIMENTO]]</f>
        <v>46017</v>
      </c>
      <c r="N1061" s="14" t="str" cm="1">
        <f t="array" ref="N1061">_xlfn.XLOOKUP(TRIM(D1061),TRIM(DFC!A:A),DFC!A:A,"NÃO ESTÁ NA DFC")</f>
        <v xml:space="preserve">      FRETE DE SAÍDA</v>
      </c>
    </row>
    <row r="1062" spans="1:14" customFormat="1" ht="14.4" x14ac:dyDescent="0.3">
      <c r="A1062" s="24"/>
      <c r="B1062" s="21">
        <v>46017</v>
      </c>
      <c r="C1062" s="91" t="s">
        <v>15</v>
      </c>
      <c r="D1062" s="21" t="s">
        <v>29</v>
      </c>
      <c r="E1062" s="20"/>
      <c r="F1062" s="22" t="s">
        <v>168</v>
      </c>
      <c r="G1062" s="252">
        <v>326.7</v>
      </c>
      <c r="H1062" s="1"/>
      <c r="I1062" s="1">
        <f>COUNTIF(Tabela1[NF],Tabela1[[#This Row],[NF]])</f>
        <v>0</v>
      </c>
      <c r="K1062" s="82">
        <f>Tabela1[[#This Row],[DT. VENCIMENTO]]</f>
        <v>46017</v>
      </c>
      <c r="N1062" s="14" t="str" cm="1">
        <f t="array" ref="N1062">_xlfn.XLOOKUP(TRIM(D1062),TRIM(DFC!A:A),DFC!A:A,"NÃO ESTÁ NA DFC")</f>
        <v xml:space="preserve">      FRETE DE SAÍDA</v>
      </c>
    </row>
    <row r="1063" spans="1:14" customFormat="1" ht="14.4" x14ac:dyDescent="0.3">
      <c r="A1063" s="24"/>
      <c r="B1063" s="21">
        <v>46017</v>
      </c>
      <c r="C1063" s="91" t="s">
        <v>15</v>
      </c>
      <c r="D1063" s="21" t="s">
        <v>29</v>
      </c>
      <c r="E1063" s="20"/>
      <c r="F1063" s="22" t="s">
        <v>168</v>
      </c>
      <c r="G1063" s="252">
        <v>249</v>
      </c>
      <c r="H1063" s="1"/>
      <c r="I1063" s="1">
        <f>COUNTIF(Tabela1[NF],Tabela1[[#This Row],[NF]])</f>
        <v>0</v>
      </c>
      <c r="K1063" s="82">
        <f>Tabela1[[#This Row],[DT. VENCIMENTO]]</f>
        <v>46017</v>
      </c>
      <c r="N1063" s="14" t="str" cm="1">
        <f t="array" ref="N1063">_xlfn.XLOOKUP(TRIM(D1063),TRIM(DFC!A:A),DFC!A:A,"NÃO ESTÁ NA DFC")</f>
        <v xml:space="preserve">      FRETE DE SAÍDA</v>
      </c>
    </row>
    <row r="1064" spans="1:14" customFormat="1" ht="14.4" x14ac:dyDescent="0.3">
      <c r="A1064" s="24"/>
      <c r="B1064" s="21">
        <v>46017</v>
      </c>
      <c r="C1064" s="91" t="s">
        <v>15</v>
      </c>
      <c r="D1064" s="21" t="s">
        <v>29</v>
      </c>
      <c r="E1064" s="20"/>
      <c r="F1064" s="22" t="s">
        <v>168</v>
      </c>
      <c r="G1064" s="252">
        <v>70</v>
      </c>
      <c r="H1064" s="1"/>
      <c r="I1064" s="1">
        <f>COUNTIF(Tabela1[NF],Tabela1[[#This Row],[NF]])</f>
        <v>0</v>
      </c>
      <c r="K1064" s="82">
        <f>Tabela1[[#This Row],[DT. VENCIMENTO]]</f>
        <v>46017</v>
      </c>
      <c r="N1064" s="14" t="str" cm="1">
        <f t="array" ref="N1064">_xlfn.XLOOKUP(TRIM(D1064),TRIM(DFC!A:A),DFC!A:A,"NÃO ESTÁ NA DFC")</f>
        <v xml:space="preserve">      FRETE DE SAÍDA</v>
      </c>
    </row>
    <row r="1065" spans="1:14" customFormat="1" ht="14.4" x14ac:dyDescent="0.3">
      <c r="A1065" s="24"/>
      <c r="B1065" s="21">
        <v>46017</v>
      </c>
      <c r="C1065" s="91" t="s">
        <v>15</v>
      </c>
      <c r="D1065" s="21" t="s">
        <v>29</v>
      </c>
      <c r="E1065" s="20"/>
      <c r="F1065" s="22" t="s">
        <v>168</v>
      </c>
      <c r="G1065" s="252">
        <v>282.92</v>
      </c>
      <c r="H1065" s="1"/>
      <c r="I1065" s="1">
        <f>COUNTIF(Tabela1[NF],Tabela1[[#This Row],[NF]])</f>
        <v>0</v>
      </c>
      <c r="K1065" s="82">
        <f>Tabela1[[#This Row],[DT. VENCIMENTO]]</f>
        <v>46017</v>
      </c>
      <c r="N1065" s="14" t="str" cm="1">
        <f t="array" ref="N1065">_xlfn.XLOOKUP(TRIM(D1065),TRIM(DFC!A:A),DFC!A:A,"NÃO ESTÁ NA DFC")</f>
        <v xml:space="preserve">      FRETE DE SAÍDA</v>
      </c>
    </row>
    <row r="1066" spans="1:14" customFormat="1" ht="14.4" x14ac:dyDescent="0.3">
      <c r="A1066" s="24"/>
      <c r="B1066" s="21">
        <v>46017</v>
      </c>
      <c r="C1066" s="91" t="s">
        <v>15</v>
      </c>
      <c r="D1066" s="84" t="s">
        <v>29</v>
      </c>
      <c r="E1066" s="20" t="s">
        <v>449</v>
      </c>
      <c r="F1066" s="22" t="s">
        <v>450</v>
      </c>
      <c r="G1066" s="252">
        <v>330</v>
      </c>
      <c r="H1066" s="1"/>
      <c r="I1066" s="1">
        <f>COUNTIF(Tabela1[NF],Tabela1[[#This Row],[NF]])</f>
        <v>0</v>
      </c>
      <c r="K1066" s="82">
        <f>Tabela1[[#This Row],[DT. VENCIMENTO]]</f>
        <v>46017</v>
      </c>
      <c r="N1066" s="14" t="str" cm="1">
        <f t="array" ref="N1066">_xlfn.XLOOKUP(TRIM(D1066),TRIM(DFC!A:A),DFC!A:A,"NÃO ESTÁ NA DFC")</f>
        <v xml:space="preserve">      FRETE DE SAÍDA</v>
      </c>
    </row>
    <row r="1067" spans="1:14" customFormat="1" ht="14.4" x14ac:dyDescent="0.3">
      <c r="A1067" s="24"/>
      <c r="B1067" s="21">
        <v>46017</v>
      </c>
      <c r="C1067" s="91" t="s">
        <v>15</v>
      </c>
      <c r="D1067" s="84" t="s">
        <v>29</v>
      </c>
      <c r="E1067" s="20" t="s">
        <v>449</v>
      </c>
      <c r="F1067" s="22" t="s">
        <v>294</v>
      </c>
      <c r="G1067" s="252">
        <v>55</v>
      </c>
      <c r="H1067" s="1"/>
      <c r="I1067" s="1">
        <f>COUNTIF(Tabela1[NF],Tabela1[[#This Row],[NF]])</f>
        <v>0</v>
      </c>
      <c r="K1067" s="26">
        <f>Tabela1[[#This Row],[DT. VENCIMENTO]]</f>
        <v>46017</v>
      </c>
      <c r="N1067" s="14" t="str" cm="1">
        <f t="array" ref="N1067">_xlfn.XLOOKUP(TRIM(D1067),TRIM(DFC!A:A),DFC!A:A,"NÃO ESTÁ NA DFC")</f>
        <v xml:space="preserve">      FRETE DE SAÍDA</v>
      </c>
    </row>
    <row r="1068" spans="1:14" customFormat="1" ht="14.4" x14ac:dyDescent="0.3">
      <c r="A1068" s="24"/>
      <c r="B1068" s="21">
        <v>46017</v>
      </c>
      <c r="C1068" s="91" t="s">
        <v>15</v>
      </c>
      <c r="D1068" s="21" t="s">
        <v>29</v>
      </c>
      <c r="E1068" s="20"/>
      <c r="F1068" s="22" t="s">
        <v>168</v>
      </c>
      <c r="G1068" s="252">
        <v>430</v>
      </c>
      <c r="H1068" s="1"/>
      <c r="I1068" s="1">
        <f>COUNTIF(Tabela1[NF],Tabela1[[#This Row],[NF]])</f>
        <v>0</v>
      </c>
      <c r="K1068" s="82">
        <f>Tabela1[[#This Row],[DT. VENCIMENTO]]</f>
        <v>46017</v>
      </c>
      <c r="N1068" s="14" t="str" cm="1">
        <f t="array" ref="N1068">_xlfn.XLOOKUP(TRIM(D1068),TRIM(DFC!A:A),DFC!A:A,"NÃO ESTÁ NA DFC")</f>
        <v xml:space="preserve">      FRETE DE SAÍDA</v>
      </c>
    </row>
    <row r="1069" spans="1:14" customFormat="1" ht="14.4" x14ac:dyDescent="0.3">
      <c r="A1069" s="24"/>
      <c r="B1069" s="21">
        <v>46017</v>
      </c>
      <c r="C1069" s="91" t="s">
        <v>15</v>
      </c>
      <c r="D1069" s="21" t="s">
        <v>29</v>
      </c>
      <c r="E1069" s="20"/>
      <c r="F1069" s="22" t="s">
        <v>168</v>
      </c>
      <c r="G1069" s="252">
        <v>770</v>
      </c>
      <c r="H1069" s="1"/>
      <c r="I1069" s="1">
        <f>COUNTIF(Tabela1[NF],Tabela1[[#This Row],[NF]])</f>
        <v>0</v>
      </c>
      <c r="K1069" s="82">
        <f>Tabela1[[#This Row],[DT. VENCIMENTO]]</f>
        <v>46017</v>
      </c>
      <c r="N1069" s="14" t="str" cm="1">
        <f t="array" ref="N1069">_xlfn.XLOOKUP(TRIM(D1069),TRIM(DFC!A:A),DFC!A:A,"NÃO ESTÁ NA DFC")</f>
        <v xml:space="preserve">      FRETE DE SAÍDA</v>
      </c>
    </row>
    <row r="1070" spans="1:14" customFormat="1" ht="14.4" x14ac:dyDescent="0.3">
      <c r="A1070" s="24"/>
      <c r="B1070" s="21">
        <v>46017</v>
      </c>
      <c r="C1070" s="91" t="s">
        <v>15</v>
      </c>
      <c r="D1070" s="21" t="s">
        <v>29</v>
      </c>
      <c r="E1070" s="20"/>
      <c r="F1070" s="22" t="s">
        <v>168</v>
      </c>
      <c r="G1070" s="252">
        <v>495.05</v>
      </c>
      <c r="H1070" s="1"/>
      <c r="I1070" s="1">
        <f>COUNTIF(Tabela1[NF],Tabela1[[#This Row],[NF]])</f>
        <v>0</v>
      </c>
      <c r="K1070" s="82">
        <f>Tabela1[[#This Row],[DT. VENCIMENTO]]</f>
        <v>46017</v>
      </c>
      <c r="N1070" s="14" t="str" cm="1">
        <f t="array" ref="N1070">_xlfn.XLOOKUP(TRIM(D1070),TRIM(DFC!A:A),DFC!A:A,"NÃO ESTÁ NA DFC")</f>
        <v xml:space="preserve">      FRETE DE SAÍDA</v>
      </c>
    </row>
    <row r="1071" spans="1:14" customFormat="1" ht="14.4" x14ac:dyDescent="0.3">
      <c r="A1071" s="24"/>
      <c r="B1071" s="21">
        <v>46017</v>
      </c>
      <c r="C1071" s="91" t="s">
        <v>15</v>
      </c>
      <c r="D1071" s="21" t="s">
        <v>22</v>
      </c>
      <c r="E1071" s="20" t="s">
        <v>427</v>
      </c>
      <c r="F1071" s="22" t="s">
        <v>428</v>
      </c>
      <c r="G1071" s="252">
        <v>3000</v>
      </c>
      <c r="H1071" s="1"/>
      <c r="I1071" s="1">
        <f>COUNTIF(Tabela1[NF],Tabela1[[#This Row],[NF]])</f>
        <v>0</v>
      </c>
      <c r="K1071" s="82">
        <f>Tabela1[[#This Row],[DT. VENCIMENTO]]</f>
        <v>46017</v>
      </c>
      <c r="N1071" s="14" t="str" cm="1">
        <f t="array" ref="N1071">_xlfn.XLOOKUP(TRIM(D1071),TRIM(DFC!A:A),DFC!A:A,"NÃO ESTÁ NA DFC")</f>
        <v xml:space="preserve">         CONSULTORIAS</v>
      </c>
    </row>
    <row r="1072" spans="1:14" customFormat="1" ht="14.4" x14ac:dyDescent="0.3">
      <c r="A1072" s="24"/>
      <c r="B1072" s="21">
        <v>46017</v>
      </c>
      <c r="C1072" s="91" t="s">
        <v>15</v>
      </c>
      <c r="D1072" s="84" t="s">
        <v>43</v>
      </c>
      <c r="E1072" s="20" t="s">
        <v>549</v>
      </c>
      <c r="F1072" s="22" t="s">
        <v>550</v>
      </c>
      <c r="G1072" s="252">
        <v>1000</v>
      </c>
      <c r="H1072" s="1"/>
      <c r="I1072" s="1">
        <f>COUNTIF(Tabela1[NF],Tabela1[[#This Row],[NF]])</f>
        <v>0</v>
      </c>
      <c r="K1072" s="82">
        <f>Tabela1[[#This Row],[DT. VENCIMENTO]]</f>
        <v>46017</v>
      </c>
      <c r="N1072" s="14" t="str" cm="1">
        <f t="array" ref="N1072">_xlfn.XLOOKUP(TRIM(D1072),TRIM(DFC!A:A),DFC!A:A,"NÃO ESTÁ NA DFC")</f>
        <v xml:space="preserve">          TRABALHISTA</v>
      </c>
    </row>
    <row r="1073" spans="1:14" customFormat="1" ht="14.4" x14ac:dyDescent="0.3">
      <c r="A1073" s="19">
        <v>447947</v>
      </c>
      <c r="B1073" s="21">
        <v>46017</v>
      </c>
      <c r="C1073" s="91" t="s">
        <v>15</v>
      </c>
      <c r="D1073" s="21" t="s">
        <v>19</v>
      </c>
      <c r="E1073" s="20"/>
      <c r="F1073" s="22" t="s">
        <v>24</v>
      </c>
      <c r="G1073" s="252">
        <v>2979</v>
      </c>
      <c r="H1073" s="1"/>
      <c r="I1073" s="1">
        <f>COUNTIF(Tabela1[NF],Tabela1[[#This Row],[NF]])</f>
        <v>4</v>
      </c>
      <c r="K1073" s="82">
        <f>Tabela1[[#This Row],[DT. VENCIMENTO]]</f>
        <v>46017</v>
      </c>
      <c r="N1073" s="14" t="str" cm="1">
        <f t="array" ref="N1073">_xlfn.XLOOKUP(TRIM(D1073),TRIM(DFC!A:A),DFC!A:A,"NÃO ESTÁ NA DFC")</f>
        <v xml:space="preserve">      PEÇAS</v>
      </c>
    </row>
    <row r="1074" spans="1:14" customFormat="1" ht="14.4" x14ac:dyDescent="0.3">
      <c r="A1074" s="19">
        <v>618065</v>
      </c>
      <c r="B1074" s="21">
        <v>46017</v>
      </c>
      <c r="C1074" s="91" t="s">
        <v>15</v>
      </c>
      <c r="D1074" s="21" t="s">
        <v>19</v>
      </c>
      <c r="E1074" s="20"/>
      <c r="F1074" s="22" t="s">
        <v>310</v>
      </c>
      <c r="G1074" s="252">
        <v>19435</v>
      </c>
      <c r="H1074" s="1"/>
      <c r="I1074" s="1">
        <f>COUNTIF(Tabela1[NF],Tabela1[[#This Row],[NF]])</f>
        <v>3</v>
      </c>
      <c r="K1074" s="82">
        <f>Tabela1[[#This Row],[DT. VENCIMENTO]]</f>
        <v>46017</v>
      </c>
      <c r="N1074" s="14" t="str" cm="1">
        <f t="array" ref="N1074">_xlfn.XLOOKUP(TRIM(D1074),TRIM(DFC!A:A),DFC!A:A,"NÃO ESTÁ NA DFC")</f>
        <v xml:space="preserve">      PEÇAS</v>
      </c>
    </row>
    <row r="1075" spans="1:14" customFormat="1" ht="14.4" x14ac:dyDescent="0.3">
      <c r="A1075" s="19">
        <v>454243</v>
      </c>
      <c r="B1075" s="21">
        <v>46017</v>
      </c>
      <c r="C1075" s="91" t="s">
        <v>15</v>
      </c>
      <c r="D1075" s="21" t="s">
        <v>19</v>
      </c>
      <c r="E1075" s="20"/>
      <c r="F1075" s="22" t="s">
        <v>310</v>
      </c>
      <c r="G1075" s="252">
        <v>4217</v>
      </c>
      <c r="H1075" s="1"/>
      <c r="I1075" s="1">
        <f>COUNTIF(Tabela1[NF],Tabela1[[#This Row],[NF]])</f>
        <v>3</v>
      </c>
      <c r="K1075" s="82">
        <f>Tabela1[[#This Row],[DT. VENCIMENTO]]</f>
        <v>46017</v>
      </c>
      <c r="N1075" s="14" t="str" cm="1">
        <f t="array" ref="N1075">_xlfn.XLOOKUP(TRIM(D1075),TRIM(DFC!A:A),DFC!A:A,"NÃO ESTÁ NA DFC")</f>
        <v xml:space="preserve">      PEÇAS</v>
      </c>
    </row>
    <row r="1076" spans="1:14" customFormat="1" ht="14.4" x14ac:dyDescent="0.3">
      <c r="A1076" s="19">
        <v>454172</v>
      </c>
      <c r="B1076" s="21">
        <v>46017</v>
      </c>
      <c r="C1076" s="91" t="s">
        <v>15</v>
      </c>
      <c r="D1076" s="21" t="s">
        <v>19</v>
      </c>
      <c r="E1076" s="20"/>
      <c r="F1076" s="22" t="s">
        <v>310</v>
      </c>
      <c r="G1076" s="252">
        <v>12350</v>
      </c>
      <c r="H1076" s="1"/>
      <c r="I1076" s="1">
        <f>COUNTIF(Tabela1[NF],Tabela1[[#This Row],[NF]])</f>
        <v>3</v>
      </c>
      <c r="K1076" s="82">
        <f>Tabela1[[#This Row],[DT. VENCIMENTO]]</f>
        <v>46017</v>
      </c>
      <c r="N1076" s="14" t="str" cm="1">
        <f t="array" ref="N1076">_xlfn.XLOOKUP(TRIM(D1076),TRIM(DFC!A:A),DFC!A:A,"NÃO ESTÁ NA DFC")</f>
        <v xml:space="preserve">      PEÇAS</v>
      </c>
    </row>
    <row r="1077" spans="1:14" customFormat="1" ht="14.4" x14ac:dyDescent="0.3">
      <c r="A1077" s="19">
        <v>454492</v>
      </c>
      <c r="B1077" s="21">
        <v>46017</v>
      </c>
      <c r="C1077" s="91" t="s">
        <v>15</v>
      </c>
      <c r="D1077" s="21" t="s">
        <v>19</v>
      </c>
      <c r="E1077" s="20"/>
      <c r="F1077" s="22" t="s">
        <v>30</v>
      </c>
      <c r="G1077" s="252">
        <v>35750</v>
      </c>
      <c r="H1077" s="1"/>
      <c r="I1077" s="1">
        <f>COUNTIF(Tabela1[NF],Tabela1[[#This Row],[NF]])</f>
        <v>2</v>
      </c>
      <c r="K1077" s="82">
        <f>Tabela1[[#This Row],[DT. VENCIMENTO]]</f>
        <v>46017</v>
      </c>
      <c r="N1077" s="14" t="str" cm="1">
        <f t="array" ref="N1077">_xlfn.XLOOKUP(TRIM(D1077),TRIM(DFC!A:A),DFC!A:A,"NÃO ESTÁ NA DFC")</f>
        <v xml:space="preserve">      PEÇAS</v>
      </c>
    </row>
    <row r="1078" spans="1:14" customFormat="1" ht="14.4" x14ac:dyDescent="0.3">
      <c r="A1078" s="24"/>
      <c r="B1078" s="21">
        <v>46020</v>
      </c>
      <c r="C1078" s="91" t="s">
        <v>15</v>
      </c>
      <c r="D1078" s="21" t="s">
        <v>82</v>
      </c>
      <c r="E1078" s="20"/>
      <c r="F1078" s="22" t="s">
        <v>351</v>
      </c>
      <c r="G1078" s="252">
        <v>225</v>
      </c>
      <c r="H1078" s="1"/>
      <c r="I1078" s="1">
        <f>COUNTIF(Tabela1[NF],Tabela1[[#This Row],[NF]])</f>
        <v>0</v>
      </c>
      <c r="K1078" s="82">
        <f>Tabela1[[#This Row],[DT. VENCIMENTO]]</f>
        <v>46020</v>
      </c>
      <c r="N1078" s="14" t="str" cm="1">
        <f t="array" ref="N1078">_xlfn.XLOOKUP(TRIM(D1078),TRIM(DFC!A:A),DFC!A:A,"NÃO ESTÁ NA DFC")</f>
        <v xml:space="preserve">          DIÁRIAS</v>
      </c>
    </row>
    <row r="1079" spans="1:14" customFormat="1" ht="14.4" x14ac:dyDescent="0.3">
      <c r="A1079" s="24"/>
      <c r="B1079" s="21">
        <v>46020</v>
      </c>
      <c r="C1079" s="91" t="s">
        <v>15</v>
      </c>
      <c r="D1079" s="21" t="s">
        <v>82</v>
      </c>
      <c r="E1079" s="20"/>
      <c r="F1079" s="22" t="s">
        <v>412</v>
      </c>
      <c r="G1079" s="252">
        <v>225</v>
      </c>
      <c r="H1079" s="1"/>
      <c r="I1079" s="1">
        <f>COUNTIF(Tabela1[NF],Tabela1[[#This Row],[NF]])</f>
        <v>0</v>
      </c>
      <c r="K1079" s="82">
        <f>Tabela1[[#This Row],[DT. VENCIMENTO]]</f>
        <v>46020</v>
      </c>
      <c r="N1079" s="14" t="str" cm="1">
        <f t="array" ref="N1079">_xlfn.XLOOKUP(TRIM(D1079),TRIM(DFC!A:A),DFC!A:A,"NÃO ESTÁ NA DFC")</f>
        <v xml:space="preserve">          DIÁRIAS</v>
      </c>
    </row>
    <row r="1080" spans="1:14" customFormat="1" ht="14.4" x14ac:dyDescent="0.3">
      <c r="A1080" s="24"/>
      <c r="B1080" s="21">
        <v>46020</v>
      </c>
      <c r="C1080" s="91" t="s">
        <v>15</v>
      </c>
      <c r="D1080" s="84" t="s">
        <v>98</v>
      </c>
      <c r="E1080" s="20"/>
      <c r="F1080" s="22" t="s">
        <v>551</v>
      </c>
      <c r="G1080" s="252">
        <v>100</v>
      </c>
      <c r="H1080" s="1"/>
      <c r="I1080" s="1">
        <f>COUNTIF(Tabela1[NF],Tabela1[[#This Row],[NF]])</f>
        <v>0</v>
      </c>
      <c r="K1080" s="26">
        <f>Tabela1[[#This Row],[DT. VENCIMENTO]]</f>
        <v>46020</v>
      </c>
      <c r="N1080" s="14" t="str" cm="1">
        <f t="array" ref="N1080">_xlfn.XLOOKUP(TRIM(D1080),TRIM(DFC!A:A),DFC!A:A,"NÃO ESTÁ NA DFC")</f>
        <v xml:space="preserve">     REEMBOLSO SAC</v>
      </c>
    </row>
    <row r="1081" spans="1:14" customFormat="1" ht="14.4" x14ac:dyDescent="0.3">
      <c r="A1081" s="24"/>
      <c r="B1081" s="21">
        <v>46020</v>
      </c>
      <c r="C1081" s="91" t="s">
        <v>15</v>
      </c>
      <c r="D1081" s="21" t="s">
        <v>82</v>
      </c>
      <c r="E1081" s="20"/>
      <c r="F1081" s="22" t="s">
        <v>552</v>
      </c>
      <c r="G1081" s="252">
        <v>100</v>
      </c>
      <c r="H1081" s="1"/>
      <c r="I1081" s="1">
        <f>COUNTIF(Tabela1[NF],Tabela1[[#This Row],[NF]])</f>
        <v>0</v>
      </c>
      <c r="K1081" s="82">
        <f>Tabela1[[#This Row],[DT. VENCIMENTO]]</f>
        <v>46020</v>
      </c>
      <c r="N1081" s="14" t="str" cm="1">
        <f t="array" ref="N1081">_xlfn.XLOOKUP(TRIM(D1081),TRIM(DFC!A:A),DFC!A:A,"NÃO ESTÁ NA DFC")</f>
        <v xml:space="preserve">          DIÁRIAS</v>
      </c>
    </row>
    <row r="1082" spans="1:14" customFormat="1" ht="14.4" x14ac:dyDescent="0.3">
      <c r="A1082" s="24"/>
      <c r="B1082" s="21">
        <v>46020</v>
      </c>
      <c r="C1082" s="91" t="s">
        <v>15</v>
      </c>
      <c r="D1082" s="21" t="s">
        <v>82</v>
      </c>
      <c r="E1082" s="20"/>
      <c r="F1082" s="22" t="s">
        <v>538</v>
      </c>
      <c r="G1082" s="252">
        <v>100</v>
      </c>
      <c r="H1082" s="1"/>
      <c r="I1082" s="1">
        <f>COUNTIF(Tabela1[NF],Tabela1[[#This Row],[NF]])</f>
        <v>0</v>
      </c>
      <c r="K1082" s="82">
        <f>Tabela1[[#This Row],[DT. VENCIMENTO]]</f>
        <v>46020</v>
      </c>
      <c r="N1082" s="14" t="str" cm="1">
        <f t="array" ref="N1082">_xlfn.XLOOKUP(TRIM(D1082),TRIM(DFC!A:A),DFC!A:A,"NÃO ESTÁ NA DFC")</f>
        <v xml:space="preserve">          DIÁRIAS</v>
      </c>
    </row>
    <row r="1083" spans="1:14" customFormat="1" ht="14.4" x14ac:dyDescent="0.3">
      <c r="A1083" s="24"/>
      <c r="B1083" s="21">
        <v>46020</v>
      </c>
      <c r="C1083" s="91" t="s">
        <v>15</v>
      </c>
      <c r="D1083" s="21" t="s">
        <v>82</v>
      </c>
      <c r="E1083" s="20"/>
      <c r="F1083" s="22" t="s">
        <v>353</v>
      </c>
      <c r="G1083" s="252">
        <v>237.5</v>
      </c>
      <c r="H1083" s="1"/>
      <c r="I1083" s="1">
        <f>COUNTIF(Tabela1[NF],Tabela1[[#This Row],[NF]])</f>
        <v>0</v>
      </c>
      <c r="K1083" s="82">
        <f>Tabela1[[#This Row],[DT. VENCIMENTO]]</f>
        <v>46020</v>
      </c>
      <c r="N1083" s="14" t="str" cm="1">
        <f t="array" ref="N1083">_xlfn.XLOOKUP(TRIM(D1083),TRIM(DFC!A:A),DFC!A:A,"NÃO ESTÁ NA DFC")</f>
        <v xml:space="preserve">          DIÁRIAS</v>
      </c>
    </row>
    <row r="1084" spans="1:14" customFormat="1" ht="14.4" x14ac:dyDescent="0.3">
      <c r="A1084" s="24"/>
      <c r="B1084" s="21">
        <v>46021</v>
      </c>
      <c r="C1084" s="91" t="s">
        <v>15</v>
      </c>
      <c r="D1084" s="84" t="s">
        <v>98</v>
      </c>
      <c r="E1084" s="20"/>
      <c r="F1084" s="22" t="s">
        <v>553</v>
      </c>
      <c r="G1084" s="252">
        <v>20</v>
      </c>
      <c r="H1084" s="1"/>
      <c r="I1084" s="1">
        <f>COUNTIF(Tabela1[NF],Tabela1[[#This Row],[NF]])</f>
        <v>0</v>
      </c>
      <c r="K1084" s="82">
        <f>Tabela1[[#This Row],[DT. VENCIMENTO]]</f>
        <v>46021</v>
      </c>
      <c r="N1084" s="14" t="str" cm="1">
        <f t="array" ref="N1084">_xlfn.XLOOKUP(TRIM(D1084),TRIM(DFC!A:A),DFC!A:A,"NÃO ESTÁ NA DFC")</f>
        <v xml:space="preserve">     REEMBOLSO SAC</v>
      </c>
    </row>
    <row r="1085" spans="1:14" customFormat="1" ht="14.4" x14ac:dyDescent="0.3">
      <c r="A1085" s="24"/>
      <c r="B1085" s="21">
        <v>46021</v>
      </c>
      <c r="C1085" s="91" t="s">
        <v>15</v>
      </c>
      <c r="D1085" s="84" t="s">
        <v>98</v>
      </c>
      <c r="E1085" s="20"/>
      <c r="F1085" s="22" t="s">
        <v>554</v>
      </c>
      <c r="G1085" s="252">
        <v>50</v>
      </c>
      <c r="H1085" s="1"/>
      <c r="I1085" s="1">
        <f>COUNTIF(Tabela1[NF],Tabela1[[#This Row],[NF]])</f>
        <v>0</v>
      </c>
      <c r="K1085" s="82">
        <f>Tabela1[[#This Row],[DT. VENCIMENTO]]</f>
        <v>46021</v>
      </c>
      <c r="N1085" s="14" t="str" cm="1">
        <f t="array" ref="N1085">_xlfn.XLOOKUP(TRIM(D1085),TRIM(DFC!A:A),DFC!A:A,"NÃO ESTÁ NA DFC")</f>
        <v xml:space="preserve">     REEMBOLSO SAC</v>
      </c>
    </row>
    <row r="1086" spans="1:14" customFormat="1" ht="14.4" x14ac:dyDescent="0.3">
      <c r="A1086" s="24"/>
      <c r="B1086" s="21">
        <v>46021</v>
      </c>
      <c r="C1086" s="91" t="s">
        <v>15</v>
      </c>
      <c r="D1086" s="84" t="s">
        <v>98</v>
      </c>
      <c r="E1086" s="20"/>
      <c r="F1086" s="22" t="s">
        <v>555</v>
      </c>
      <c r="G1086" s="252">
        <v>79</v>
      </c>
      <c r="H1086" s="1"/>
      <c r="I1086" s="1">
        <f>COUNTIF(Tabela1[NF],Tabela1[[#This Row],[NF]])</f>
        <v>0</v>
      </c>
      <c r="K1086" s="82">
        <f>Tabela1[[#This Row],[DT. VENCIMENTO]]</f>
        <v>46021</v>
      </c>
      <c r="N1086" s="14" t="str" cm="1">
        <f t="array" ref="N1086">_xlfn.XLOOKUP(TRIM(D1086),TRIM(DFC!A:A),DFC!A:A,"NÃO ESTÁ NA DFC")</f>
        <v xml:space="preserve">     REEMBOLSO SAC</v>
      </c>
    </row>
    <row r="1087" spans="1:14" customFormat="1" ht="14.4" x14ac:dyDescent="0.3">
      <c r="A1087" s="24"/>
      <c r="B1087" s="21">
        <v>46021</v>
      </c>
      <c r="C1087" s="91" t="s">
        <v>15</v>
      </c>
      <c r="D1087" s="84" t="s">
        <v>98</v>
      </c>
      <c r="E1087" s="20"/>
      <c r="F1087" s="22" t="s">
        <v>556</v>
      </c>
      <c r="G1087" s="252">
        <v>20</v>
      </c>
      <c r="H1087" s="1"/>
      <c r="I1087" s="1">
        <f>COUNTIF(Tabela1[NF],Tabela1[[#This Row],[NF]])</f>
        <v>0</v>
      </c>
      <c r="K1087" s="26">
        <f>Tabela1[[#This Row],[DT. VENCIMENTO]]</f>
        <v>46021</v>
      </c>
      <c r="N1087" s="14" t="str" cm="1">
        <f t="array" ref="N1087">_xlfn.XLOOKUP(TRIM(D1087),TRIM(DFC!A:A),DFC!A:A,"NÃO ESTÁ NA DFC")</f>
        <v xml:space="preserve">     REEMBOLSO SAC</v>
      </c>
    </row>
    <row r="1088" spans="1:14" customFormat="1" ht="14.4" x14ac:dyDescent="0.3">
      <c r="A1088" s="24"/>
      <c r="B1088" s="21">
        <v>46021</v>
      </c>
      <c r="C1088" s="91" t="s">
        <v>15</v>
      </c>
      <c r="D1088" s="84" t="s">
        <v>19</v>
      </c>
      <c r="E1088" s="20"/>
      <c r="F1088" s="22" t="s">
        <v>407</v>
      </c>
      <c r="G1088" s="252">
        <v>3280.65</v>
      </c>
      <c r="H1088" s="1"/>
      <c r="I1088" s="1">
        <f>COUNTIF(Tabela1[NF],Tabela1[[#This Row],[NF]])</f>
        <v>0</v>
      </c>
      <c r="K1088" s="82">
        <f>Tabela1[[#This Row],[DT. VENCIMENTO]]</f>
        <v>46021</v>
      </c>
      <c r="N1088" s="14" t="str" cm="1">
        <f t="array" ref="N1088">_xlfn.XLOOKUP(TRIM(D1088),TRIM(DFC!A:A),DFC!A:A,"NÃO ESTÁ NA DFC")</f>
        <v xml:space="preserve">      PEÇAS</v>
      </c>
    </row>
    <row r="1089" spans="1:14" customFormat="1" ht="14.4" x14ac:dyDescent="0.3">
      <c r="A1089" s="24"/>
      <c r="B1089" s="21">
        <v>46021</v>
      </c>
      <c r="C1089" s="91" t="s">
        <v>15</v>
      </c>
      <c r="D1089" s="84" t="s">
        <v>19</v>
      </c>
      <c r="E1089" s="20"/>
      <c r="F1089" s="22" t="s">
        <v>407</v>
      </c>
      <c r="G1089" s="252">
        <v>1093.56</v>
      </c>
      <c r="H1089" s="1"/>
      <c r="I1089" s="1">
        <f>COUNTIF(Tabela1[NF],Tabela1[[#This Row],[NF]])</f>
        <v>0</v>
      </c>
      <c r="K1089" s="82">
        <f>Tabela1[[#This Row],[DT. VENCIMENTO]]</f>
        <v>46021</v>
      </c>
      <c r="N1089" s="14" t="str" cm="1">
        <f t="array" ref="N1089">_xlfn.XLOOKUP(TRIM(D1089),TRIM(DFC!A:A),DFC!A:A,"NÃO ESTÁ NA DFC")</f>
        <v xml:space="preserve">      PEÇAS</v>
      </c>
    </row>
    <row r="1090" spans="1:14" customFormat="1" ht="14.4" x14ac:dyDescent="0.3">
      <c r="A1090" s="24"/>
      <c r="B1090" s="21">
        <v>46021</v>
      </c>
      <c r="C1090" s="91" t="s">
        <v>15</v>
      </c>
      <c r="D1090" s="84" t="s">
        <v>19</v>
      </c>
      <c r="E1090" s="20"/>
      <c r="F1090" s="22" t="s">
        <v>407</v>
      </c>
      <c r="G1090" s="252">
        <v>3280.65</v>
      </c>
      <c r="H1090" s="1"/>
      <c r="I1090" s="1">
        <f>COUNTIF(Tabela1[NF],Tabela1[[#This Row],[NF]])</f>
        <v>0</v>
      </c>
      <c r="K1090" s="26">
        <f>Tabela1[[#This Row],[DT. VENCIMENTO]]</f>
        <v>46021</v>
      </c>
      <c r="N1090" s="14" t="str" cm="1">
        <f t="array" ref="N1090">_xlfn.XLOOKUP(TRIM(D1090),TRIM(DFC!A:A),DFC!A:A,"NÃO ESTÁ NA DFC")</f>
        <v xml:space="preserve">      PEÇAS</v>
      </c>
    </row>
    <row r="1091" spans="1:14" customFormat="1" ht="14.4" x14ac:dyDescent="0.3">
      <c r="A1091" s="24"/>
      <c r="B1091" s="21">
        <v>46021</v>
      </c>
      <c r="C1091" s="91" t="s">
        <v>15</v>
      </c>
      <c r="D1091" s="84" t="s">
        <v>37</v>
      </c>
      <c r="E1091" s="20"/>
      <c r="F1091" s="22" t="s">
        <v>341</v>
      </c>
      <c r="G1091" s="252">
        <v>270.37</v>
      </c>
      <c r="H1091" s="1"/>
      <c r="I1091" s="1">
        <f>COUNTIF(Tabela1[NF],Tabela1[[#This Row],[NF]])</f>
        <v>0</v>
      </c>
      <c r="K1091" s="82">
        <f>Tabela1[[#This Row],[DT. VENCIMENTO]]</f>
        <v>46021</v>
      </c>
      <c r="N1091" s="14" t="str" cm="1">
        <f t="array" ref="N1091">_xlfn.XLOOKUP(TRIM(D1091),TRIM(DFC!A:A),DFC!A:A,"NÃO ESTÁ NA DFC")</f>
        <v xml:space="preserve">          MATERIAL DE ESCRITÓRIO</v>
      </c>
    </row>
    <row r="1092" spans="1:14" customFormat="1" ht="14.4" x14ac:dyDescent="0.3">
      <c r="A1092" s="24"/>
      <c r="B1092" s="21">
        <v>46021</v>
      </c>
      <c r="C1092" s="91" t="s">
        <v>15</v>
      </c>
      <c r="D1092" s="84" t="s">
        <v>19</v>
      </c>
      <c r="E1092" s="20"/>
      <c r="F1092" s="22" t="s">
        <v>315</v>
      </c>
      <c r="G1092" s="252">
        <v>617.69000000000005</v>
      </c>
      <c r="H1092" s="1"/>
      <c r="I1092" s="1">
        <f>COUNTIF(Tabela1[NF],Tabela1[[#This Row],[NF]])</f>
        <v>0</v>
      </c>
      <c r="K1092" s="82">
        <f>Tabela1[[#This Row],[DT. VENCIMENTO]]</f>
        <v>46021</v>
      </c>
      <c r="N1092" s="14" t="str" cm="1">
        <f t="array" ref="N1092">_xlfn.XLOOKUP(TRIM(D1092),TRIM(DFC!A:A),DFC!A:A,"NÃO ESTÁ NA DFC")</f>
        <v xml:space="preserve">      PEÇAS</v>
      </c>
    </row>
    <row r="1093" spans="1:14" customFormat="1" ht="14.4" x14ac:dyDescent="0.3">
      <c r="A1093" s="24"/>
      <c r="B1093" s="21">
        <v>46021</v>
      </c>
      <c r="C1093" s="91" t="s">
        <v>15</v>
      </c>
      <c r="D1093" s="84" t="s">
        <v>19</v>
      </c>
      <c r="E1093" s="20"/>
      <c r="F1093" s="22" t="s">
        <v>315</v>
      </c>
      <c r="G1093" s="252">
        <v>2541.2199999999998</v>
      </c>
      <c r="H1093" s="1"/>
      <c r="I1093" s="1">
        <f>COUNTIF(Tabela1[NF],Tabela1[[#This Row],[NF]])</f>
        <v>0</v>
      </c>
      <c r="K1093" s="82">
        <f>Tabela1[[#This Row],[DT. VENCIMENTO]]</f>
        <v>46021</v>
      </c>
      <c r="N1093" s="14" t="str" cm="1">
        <f t="array" ref="N1093">_xlfn.XLOOKUP(TRIM(D1093),TRIM(DFC!A:A),DFC!A:A,"NÃO ESTÁ NA DFC")</f>
        <v xml:space="preserve">      PEÇAS</v>
      </c>
    </row>
    <row r="1094" spans="1:14" customFormat="1" ht="14.4" x14ac:dyDescent="0.3">
      <c r="A1094" s="24"/>
      <c r="B1094" s="21">
        <v>46021</v>
      </c>
      <c r="C1094" s="91" t="s">
        <v>15</v>
      </c>
      <c r="D1094" s="84" t="s">
        <v>19</v>
      </c>
      <c r="E1094" s="20"/>
      <c r="F1094" s="22" t="s">
        <v>228</v>
      </c>
      <c r="G1094" s="252">
        <v>1654.2</v>
      </c>
      <c r="H1094" s="1"/>
      <c r="I1094" s="1">
        <f>COUNTIF(Tabela1[NF],Tabela1[[#This Row],[NF]])</f>
        <v>0</v>
      </c>
      <c r="K1094" s="82">
        <f>Tabela1[[#This Row],[DT. VENCIMENTO]]</f>
        <v>46021</v>
      </c>
      <c r="N1094" s="14" t="str" cm="1">
        <f t="array" ref="N1094">_xlfn.XLOOKUP(TRIM(D1094),TRIM(DFC!A:A),DFC!A:A,"NÃO ESTÁ NA DFC")</f>
        <v xml:space="preserve">      PEÇAS</v>
      </c>
    </row>
    <row r="1095" spans="1:14" customFormat="1" ht="14.4" x14ac:dyDescent="0.3">
      <c r="A1095" s="24"/>
      <c r="B1095" s="21">
        <v>46021</v>
      </c>
      <c r="C1095" s="91" t="s">
        <v>15</v>
      </c>
      <c r="D1095" s="84" t="s">
        <v>19</v>
      </c>
      <c r="E1095" s="20"/>
      <c r="F1095" s="22" t="s">
        <v>407</v>
      </c>
      <c r="G1095" s="252">
        <v>1093.56</v>
      </c>
      <c r="H1095" s="1"/>
      <c r="I1095" s="1">
        <f>COUNTIF(Tabela1[NF],Tabela1[[#This Row],[NF]])</f>
        <v>0</v>
      </c>
      <c r="K1095" s="82">
        <f>Tabela1[[#This Row],[DT. VENCIMENTO]]</f>
        <v>46021</v>
      </c>
      <c r="N1095" s="14" t="str" cm="1">
        <f t="array" ref="N1095">_xlfn.XLOOKUP(TRIM(D1095),TRIM(DFC!A:A),DFC!A:A,"NÃO ESTÁ NA DFC")</f>
        <v xml:space="preserve">      PEÇAS</v>
      </c>
    </row>
    <row r="1096" spans="1:14" customFormat="1" ht="14.4" x14ac:dyDescent="0.3">
      <c r="A1096" s="24"/>
      <c r="B1096" s="21">
        <v>46021</v>
      </c>
      <c r="C1096" s="91" t="s">
        <v>15</v>
      </c>
      <c r="D1096" s="84" t="s">
        <v>19</v>
      </c>
      <c r="E1096" s="20"/>
      <c r="F1096" s="22" t="s">
        <v>455</v>
      </c>
      <c r="G1096" s="252">
        <v>2757.17</v>
      </c>
      <c r="H1096" s="1"/>
      <c r="I1096" s="1">
        <f>COUNTIF(Tabela1[NF],Tabela1[[#This Row],[NF]])</f>
        <v>0</v>
      </c>
      <c r="K1096" s="82">
        <f>Tabela1[[#This Row],[DT. VENCIMENTO]]</f>
        <v>46021</v>
      </c>
      <c r="N1096" s="14" t="str" cm="1">
        <f t="array" ref="N1096">_xlfn.XLOOKUP(TRIM(D1096),TRIM(DFC!A:A),DFC!A:A,"NÃO ESTÁ NA DFC")</f>
        <v xml:space="preserve">      PEÇAS</v>
      </c>
    </row>
    <row r="1097" spans="1:14" customFormat="1" ht="14.4" x14ac:dyDescent="0.3">
      <c r="A1097" s="24"/>
      <c r="B1097" s="21">
        <v>46021</v>
      </c>
      <c r="C1097" s="91" t="s">
        <v>15</v>
      </c>
      <c r="D1097" s="84" t="s">
        <v>19</v>
      </c>
      <c r="E1097" s="20"/>
      <c r="F1097" s="22" t="s">
        <v>297</v>
      </c>
      <c r="G1097" s="252">
        <v>192.39</v>
      </c>
      <c r="H1097" s="1"/>
      <c r="I1097" s="1">
        <f>COUNTIF(Tabela1[NF],Tabela1[[#This Row],[NF]])</f>
        <v>0</v>
      </c>
      <c r="K1097" s="82">
        <f>Tabela1[[#This Row],[DT. VENCIMENTO]]</f>
        <v>46021</v>
      </c>
      <c r="N1097" s="14" t="str" cm="1">
        <f t="array" ref="N1097">_xlfn.XLOOKUP(TRIM(D1097),TRIM(DFC!A:A),DFC!A:A,"NÃO ESTÁ NA DFC")</f>
        <v xml:space="preserve">      PEÇAS</v>
      </c>
    </row>
    <row r="1098" spans="1:14" customFormat="1" ht="14.4" x14ac:dyDescent="0.3">
      <c r="A1098" s="24"/>
      <c r="B1098" s="21">
        <v>46021</v>
      </c>
      <c r="C1098" s="91" t="s">
        <v>15</v>
      </c>
      <c r="D1098" s="84" t="s">
        <v>19</v>
      </c>
      <c r="E1098" s="20"/>
      <c r="F1098" s="22" t="s">
        <v>301</v>
      </c>
      <c r="G1098" s="252">
        <v>1984.57</v>
      </c>
      <c r="H1098" s="1"/>
      <c r="I1098" s="1">
        <f>COUNTIF(Tabela1[NF],Tabela1[[#This Row],[NF]])</f>
        <v>0</v>
      </c>
      <c r="K1098" s="82">
        <f>Tabela1[[#This Row],[DT. VENCIMENTO]]</f>
        <v>46021</v>
      </c>
      <c r="N1098" s="14" t="str" cm="1">
        <f t="array" ref="N1098">_xlfn.XLOOKUP(TRIM(D1098),TRIM(DFC!A:A),DFC!A:A,"NÃO ESTÁ NA DFC")</f>
        <v xml:space="preserve">      PEÇAS</v>
      </c>
    </row>
    <row r="1099" spans="1:14" customFormat="1" ht="14.4" x14ac:dyDescent="0.3">
      <c r="A1099" s="24"/>
      <c r="B1099" s="21">
        <v>46021</v>
      </c>
      <c r="C1099" s="91" t="s">
        <v>15</v>
      </c>
      <c r="D1099" s="84" t="s">
        <v>154</v>
      </c>
      <c r="E1099" s="20"/>
      <c r="F1099" s="22" t="s">
        <v>302</v>
      </c>
      <c r="G1099" s="252">
        <v>1783.29</v>
      </c>
      <c r="H1099" s="1"/>
      <c r="I1099" s="1">
        <f>COUNTIF(Tabela1[NF],Tabela1[[#This Row],[NF]])</f>
        <v>0</v>
      </c>
      <c r="K1099" s="82">
        <f>Tabela1[[#This Row],[DT. VENCIMENTO]]</f>
        <v>46021</v>
      </c>
      <c r="N1099" s="14" t="str" cm="1">
        <f t="array" ref="N1099">_xlfn.XLOOKUP(TRIM(D1099),TRIM(DFC!A:A),DFC!A:A,"NÃO ESTÁ NA DFC")</f>
        <v xml:space="preserve">      EMBALAGENS</v>
      </c>
    </row>
    <row r="1100" spans="1:14" customFormat="1" ht="14.4" x14ac:dyDescent="0.3">
      <c r="A1100" s="24"/>
      <c r="B1100" s="21">
        <v>46021</v>
      </c>
      <c r="C1100" s="91" t="s">
        <v>15</v>
      </c>
      <c r="D1100" s="84" t="s">
        <v>19</v>
      </c>
      <c r="E1100" s="20"/>
      <c r="F1100" s="22" t="s">
        <v>315</v>
      </c>
      <c r="G1100" s="252">
        <v>1853.07</v>
      </c>
      <c r="H1100" s="1"/>
      <c r="I1100" s="1">
        <f>COUNTIF(Tabela1[NF],Tabela1[[#This Row],[NF]])</f>
        <v>0</v>
      </c>
      <c r="K1100" s="82">
        <f>Tabela1[[#This Row],[DT. VENCIMENTO]]</f>
        <v>46021</v>
      </c>
      <c r="N1100" s="14" t="str" cm="1">
        <f t="array" ref="N1100">_xlfn.XLOOKUP(TRIM(D1100),TRIM(DFC!A:A),DFC!A:A,"NÃO ESTÁ NA DFC")</f>
        <v xml:space="preserve">      PEÇAS</v>
      </c>
    </row>
    <row r="1101" spans="1:14" customFormat="1" ht="14.4" x14ac:dyDescent="0.3">
      <c r="A1101" s="24"/>
      <c r="B1101" s="21">
        <v>46021</v>
      </c>
      <c r="C1101" s="91" t="s">
        <v>15</v>
      </c>
      <c r="D1101" s="283" t="s">
        <v>249</v>
      </c>
      <c r="E1101" s="20" t="s">
        <v>557</v>
      </c>
      <c r="F1101" s="22" t="s">
        <v>251</v>
      </c>
      <c r="G1101" s="252">
        <v>1690.27</v>
      </c>
      <c r="H1101" s="1"/>
      <c r="I1101" s="1">
        <f>COUNTIF(Tabela1[NF],Tabela1[[#This Row],[NF]])</f>
        <v>0</v>
      </c>
      <c r="K1101" s="82">
        <f>Tabela1[[#This Row],[DT. VENCIMENTO]]</f>
        <v>46021</v>
      </c>
      <c r="N1101" s="14" t="str" cm="1">
        <f t="array" ref="N1101">_xlfn.XLOOKUP(TRIM(D1101),TRIM(DFC!A:A),DFC!A:A,"NÃO ESTÁ NA DFC")</f>
        <v xml:space="preserve">          SIMPLES NACIONAL PARCELAMENTO</v>
      </c>
    </row>
    <row r="1102" spans="1:14" customFormat="1" ht="14.4" x14ac:dyDescent="0.3">
      <c r="A1102" s="24"/>
      <c r="B1102" s="21">
        <v>46021</v>
      </c>
      <c r="C1102" s="91" t="s">
        <v>15</v>
      </c>
      <c r="D1102" s="283" t="s">
        <v>249</v>
      </c>
      <c r="E1102" s="20"/>
      <c r="F1102" s="22" t="s">
        <v>251</v>
      </c>
      <c r="G1102" s="252">
        <v>1690.27</v>
      </c>
      <c r="H1102" s="1"/>
      <c r="I1102" s="1">
        <f>COUNTIF(Tabela1[NF],Tabela1[[#This Row],[NF]])</f>
        <v>0</v>
      </c>
      <c r="K1102" s="82">
        <f>Tabela1[[#This Row],[DT. VENCIMENTO]]</f>
        <v>46021</v>
      </c>
      <c r="N1102" s="14" t="str" cm="1">
        <f t="array" ref="N1102">_xlfn.XLOOKUP(TRIM(D1102),TRIM(DFC!A:A),DFC!A:A,"NÃO ESTÁ NA DFC")</f>
        <v xml:space="preserve">          SIMPLES NACIONAL PARCELAMENTO</v>
      </c>
    </row>
    <row r="1103" spans="1:14" customFormat="1" ht="14.4" x14ac:dyDescent="0.3">
      <c r="A1103" s="24">
        <v>614562</v>
      </c>
      <c r="B1103" s="21">
        <v>46021</v>
      </c>
      <c r="C1103" s="91" t="s">
        <v>15</v>
      </c>
      <c r="D1103" s="84" t="s">
        <v>19</v>
      </c>
      <c r="E1103" s="20"/>
      <c r="F1103" s="22" t="s">
        <v>310</v>
      </c>
      <c r="G1103" s="252">
        <v>2781.59</v>
      </c>
      <c r="H1103" s="1"/>
      <c r="I1103" s="1">
        <f>COUNTIF(Tabela1[NF],Tabela1[[#This Row],[NF]])</f>
        <v>5</v>
      </c>
      <c r="K1103" s="82">
        <f>Tabela1[[#This Row],[DT. VENCIMENTO]]</f>
        <v>46021</v>
      </c>
      <c r="N1103" s="14" t="str" cm="1">
        <f t="array" ref="N1103">_xlfn.XLOOKUP(TRIM(D1103),TRIM(DFC!A:A),DFC!A:A,"NÃO ESTÁ NA DFC")</f>
        <v xml:space="preserve">      PEÇAS</v>
      </c>
    </row>
    <row r="1104" spans="1:14" customFormat="1" ht="14.4" x14ac:dyDescent="0.3">
      <c r="A1104" s="19">
        <v>614512</v>
      </c>
      <c r="B1104" s="21">
        <v>46021</v>
      </c>
      <c r="C1104" s="21" t="s">
        <v>15</v>
      </c>
      <c r="D1104" s="84" t="s">
        <v>19</v>
      </c>
      <c r="E1104" s="20"/>
      <c r="F1104" s="22" t="s">
        <v>310</v>
      </c>
      <c r="G1104" s="252">
        <v>3378.16</v>
      </c>
      <c r="H1104" s="1"/>
      <c r="I1104" s="1">
        <f>COUNTIF(Tabela1[NF],Tabela1[[#This Row],[NF]])</f>
        <v>5</v>
      </c>
      <c r="K1104" s="26">
        <f>Tabela1[[#This Row],[DT. VENCIMENTO]]</f>
        <v>46021</v>
      </c>
      <c r="N1104" s="14" t="str" cm="1">
        <f t="array" ref="N1104">_xlfn.XLOOKUP(TRIM(D1104),TRIM(DFC!A:A),DFC!A:A,"NÃO ESTÁ NA DFC")</f>
        <v xml:space="preserve">      PEÇAS</v>
      </c>
    </row>
    <row r="1105" spans="1:14" customFormat="1" ht="14.4" x14ac:dyDescent="0.3">
      <c r="A1105" s="19">
        <v>454904</v>
      </c>
      <c r="B1105" s="21">
        <v>46021</v>
      </c>
      <c r="C1105" s="21" t="s">
        <v>15</v>
      </c>
      <c r="D1105" s="84" t="s">
        <v>19</v>
      </c>
      <c r="E1105" s="20"/>
      <c r="F1105" s="22" t="s">
        <v>310</v>
      </c>
      <c r="G1105" s="252">
        <v>805.2</v>
      </c>
      <c r="H1105" s="1"/>
      <c r="I1105" s="1">
        <f>COUNTIF(Tabela1[NF],Tabela1[[#This Row],[NF]])</f>
        <v>3</v>
      </c>
      <c r="K1105" s="26">
        <f>Tabela1[[#This Row],[DT. VENCIMENTO]]</f>
        <v>46021</v>
      </c>
      <c r="N1105" s="14" t="str" cm="1">
        <f t="array" ref="N1105">_xlfn.XLOOKUP(TRIM(D1105),TRIM(DFC!A:A),DFC!A:A,"NÃO ESTÁ NA DFC")</f>
        <v xml:space="preserve">      PEÇAS</v>
      </c>
    </row>
    <row r="1106" spans="1:14" customFormat="1" ht="14.4" x14ac:dyDescent="0.3">
      <c r="A1106" s="24">
        <v>609659</v>
      </c>
      <c r="B1106" s="21">
        <v>46021</v>
      </c>
      <c r="C1106" s="21" t="s">
        <v>15</v>
      </c>
      <c r="D1106" s="84" t="s">
        <v>19</v>
      </c>
      <c r="E1106" s="20"/>
      <c r="F1106" s="22" t="s">
        <v>24</v>
      </c>
      <c r="G1106" s="252">
        <v>7733.44</v>
      </c>
      <c r="H1106" s="1"/>
      <c r="I1106" s="1">
        <f>COUNTIF(Tabela1[NF],Tabela1[[#This Row],[NF]])</f>
        <v>4</v>
      </c>
      <c r="K1106" s="26">
        <f>Tabela1[[#This Row],[DT. VENCIMENTO]]</f>
        <v>46021</v>
      </c>
      <c r="N1106" s="14" t="str" cm="1">
        <f t="array" ref="N1106">_xlfn.XLOOKUP(TRIM(D1106),TRIM(DFC!A:A),DFC!A:A,"NÃO ESTÁ NA DFC")</f>
        <v xml:space="preserve">      PEÇAS</v>
      </c>
    </row>
    <row r="1107" spans="1:14" customFormat="1" ht="14.4" x14ac:dyDescent="0.3">
      <c r="A1107" s="19">
        <v>622499</v>
      </c>
      <c r="B1107" s="21">
        <v>46021</v>
      </c>
      <c r="C1107" s="21" t="s">
        <v>15</v>
      </c>
      <c r="D1107" s="84" t="s">
        <v>19</v>
      </c>
      <c r="E1107" s="20"/>
      <c r="F1107" s="22" t="s">
        <v>310</v>
      </c>
      <c r="G1107" s="252">
        <v>5355.34</v>
      </c>
      <c r="H1107" s="1"/>
      <c r="I1107" s="1">
        <f>COUNTIF(Tabela1[NF],Tabela1[[#This Row],[NF]])</f>
        <v>3</v>
      </c>
      <c r="K1107" s="26">
        <f>Tabela1[[#This Row],[DT. VENCIMENTO]]</f>
        <v>46021</v>
      </c>
      <c r="N1107" s="14" t="str" cm="1">
        <f t="array" ref="N1107">_xlfn.XLOOKUP(TRIM(D1107),TRIM(DFC!A:A),DFC!A:A,"NÃO ESTÁ NA DFC")</f>
        <v xml:space="preserve">      PEÇAS</v>
      </c>
    </row>
    <row r="1108" spans="1:14" customFormat="1" ht="14.4" x14ac:dyDescent="0.3">
      <c r="A1108" s="24"/>
      <c r="B1108" s="21">
        <v>46022</v>
      </c>
      <c r="C1108" s="21" t="s">
        <v>15</v>
      </c>
      <c r="D1108" s="84" t="s">
        <v>82</v>
      </c>
      <c r="E1108" s="20"/>
      <c r="F1108" s="22" t="s">
        <v>558</v>
      </c>
      <c r="G1108" s="252">
        <v>150</v>
      </c>
      <c r="H1108" s="1"/>
      <c r="I1108" s="1">
        <f>COUNTIF(Tabela1[NF],Tabela1[[#This Row],[NF]])</f>
        <v>0</v>
      </c>
      <c r="K1108" s="26">
        <f>Tabela1[[#This Row],[DT. VENCIMENTO]]</f>
        <v>46022</v>
      </c>
      <c r="N1108" s="14" t="str" cm="1">
        <f t="array" ref="N1108">_xlfn.XLOOKUP(TRIM(D1108),TRIM(DFC!A:A),DFC!A:A,"NÃO ESTÁ NA DFC")</f>
        <v xml:space="preserve">          DIÁRIAS</v>
      </c>
    </row>
    <row r="1109" spans="1:14" customFormat="1" ht="14.4" x14ac:dyDescent="0.3">
      <c r="A1109" s="24"/>
      <c r="B1109" s="21">
        <v>46022</v>
      </c>
      <c r="C1109" s="21" t="s">
        <v>15</v>
      </c>
      <c r="D1109" s="84" t="s">
        <v>82</v>
      </c>
      <c r="E1109" s="20"/>
      <c r="F1109" s="22" t="s">
        <v>538</v>
      </c>
      <c r="G1109" s="252">
        <v>275</v>
      </c>
      <c r="H1109" s="1"/>
      <c r="I1109" s="1">
        <f>COUNTIF(Tabela1[NF],Tabela1[[#This Row],[NF]])</f>
        <v>0</v>
      </c>
      <c r="K1109" s="26">
        <f>Tabela1[[#This Row],[DT. VENCIMENTO]]</f>
        <v>46022</v>
      </c>
      <c r="N1109" s="14" t="str" cm="1">
        <f t="array" ref="N1109">_xlfn.XLOOKUP(TRIM(D1109),TRIM(DFC!A:A),DFC!A:A,"NÃO ESTÁ NA DFC")</f>
        <v xml:space="preserve">          DIÁRIAS</v>
      </c>
    </row>
    <row r="1110" spans="1:14" customFormat="1" ht="14.4" x14ac:dyDescent="0.3">
      <c r="A1110" s="24"/>
      <c r="B1110" s="21">
        <v>46022</v>
      </c>
      <c r="C1110" s="21" t="s">
        <v>15</v>
      </c>
      <c r="D1110" s="84" t="s">
        <v>82</v>
      </c>
      <c r="E1110" s="20"/>
      <c r="F1110" s="22" t="s">
        <v>536</v>
      </c>
      <c r="G1110" s="252">
        <v>225</v>
      </c>
      <c r="H1110" s="1"/>
      <c r="I1110" s="1">
        <f>COUNTIF(Tabela1[NF],Tabela1[[#This Row],[NF]])</f>
        <v>0</v>
      </c>
      <c r="K1110" s="26">
        <f>Tabela1[[#This Row],[DT. VENCIMENTO]]</f>
        <v>46022</v>
      </c>
      <c r="N1110" s="14" t="str" cm="1">
        <f t="array" ref="N1110">_xlfn.XLOOKUP(TRIM(D1110),TRIM(DFC!A:A),DFC!A:A,"NÃO ESTÁ NA DFC")</f>
        <v xml:space="preserve">          DIÁRIAS</v>
      </c>
    </row>
    <row r="1111" spans="1:14" customFormat="1" ht="14.4" x14ac:dyDescent="0.3">
      <c r="A1111" s="24"/>
      <c r="B1111" s="21">
        <v>46022</v>
      </c>
      <c r="C1111" s="21" t="s">
        <v>15</v>
      </c>
      <c r="D1111" s="84" t="s">
        <v>82</v>
      </c>
      <c r="E1111" s="20"/>
      <c r="F1111" s="22" t="s">
        <v>351</v>
      </c>
      <c r="G1111" s="252">
        <v>275</v>
      </c>
      <c r="H1111" s="1"/>
      <c r="I1111" s="1">
        <f>COUNTIF(Tabela1[NF],Tabela1[[#This Row],[NF]])</f>
        <v>0</v>
      </c>
      <c r="K1111" s="26">
        <f>Tabela1[[#This Row],[DT. VENCIMENTO]]</f>
        <v>46022</v>
      </c>
      <c r="N1111" s="14" t="str" cm="1">
        <f t="array" ref="N1111">_xlfn.XLOOKUP(TRIM(D1111),TRIM(DFC!A:A),DFC!A:A,"NÃO ESTÁ NA DFC")</f>
        <v xml:space="preserve">          DIÁRIAS</v>
      </c>
    </row>
    <row r="1112" spans="1:14" customFormat="1" ht="14.4" x14ac:dyDescent="0.3">
      <c r="A1112" s="24"/>
      <c r="B1112" s="21">
        <v>46022</v>
      </c>
      <c r="C1112" s="21" t="s">
        <v>15</v>
      </c>
      <c r="D1112" s="84" t="s">
        <v>82</v>
      </c>
      <c r="E1112" s="20"/>
      <c r="F1112" s="22" t="s">
        <v>353</v>
      </c>
      <c r="G1112" s="252">
        <v>275</v>
      </c>
      <c r="H1112" s="1"/>
      <c r="I1112" s="1">
        <f>COUNTIF(Tabela1[NF],Tabela1[[#This Row],[NF]])</f>
        <v>0</v>
      </c>
      <c r="K1112" s="26">
        <f>Tabela1[[#This Row],[DT. VENCIMENTO]]</f>
        <v>46022</v>
      </c>
      <c r="N1112" s="14" t="str" cm="1">
        <f t="array" ref="N1112">_xlfn.XLOOKUP(TRIM(D1112),TRIM(DFC!A:A),DFC!A:A,"NÃO ESTÁ NA DFC")</f>
        <v xml:space="preserve">          DIÁRIAS</v>
      </c>
    </row>
    <row r="1113" spans="1:14" customFormat="1" ht="14.4" x14ac:dyDescent="0.3">
      <c r="A1113" s="24"/>
      <c r="B1113" s="21">
        <v>46024</v>
      </c>
      <c r="C1113" s="21" t="s">
        <v>15</v>
      </c>
      <c r="D1113" s="21" t="s">
        <v>19</v>
      </c>
      <c r="E1113" s="20"/>
      <c r="F1113" s="22" t="s">
        <v>301</v>
      </c>
      <c r="G1113" s="287">
        <v>4533.2</v>
      </c>
      <c r="H1113" s="1"/>
      <c r="I1113" s="1">
        <f>COUNTIF(Tabela1[NF],Tabela1[[#This Row],[NF]])</f>
        <v>0</v>
      </c>
      <c r="K1113" s="26">
        <f t="shared" ref="K1113:K1144" si="2">B1113</f>
        <v>46024</v>
      </c>
      <c r="N1113" s="14" t="str" cm="1">
        <f t="array" ref="N1113">_xlfn.XLOOKUP(TRIM(D1113),TRIM(DFC!A:A),DFC!A:A,"NÃO ESTÁ NA DFC")</f>
        <v xml:space="preserve">      PEÇAS</v>
      </c>
    </row>
    <row r="1114" spans="1:14" customFormat="1" ht="14.4" x14ac:dyDescent="0.3">
      <c r="A1114" s="24"/>
      <c r="B1114" s="21">
        <v>46024</v>
      </c>
      <c r="C1114" s="21" t="s">
        <v>15</v>
      </c>
      <c r="D1114" s="21" t="s">
        <v>19</v>
      </c>
      <c r="E1114" s="20"/>
      <c r="F1114" s="22" t="s">
        <v>315</v>
      </c>
      <c r="G1114" s="287">
        <v>444.19</v>
      </c>
      <c r="H1114" s="1"/>
      <c r="I1114" s="1">
        <f>COUNTIF(Tabela1[NF],Tabela1[[#This Row],[NF]])</f>
        <v>0</v>
      </c>
      <c r="K1114" s="26">
        <f t="shared" si="2"/>
        <v>46024</v>
      </c>
      <c r="N1114" s="14" t="str" cm="1">
        <f t="array" ref="N1114">_xlfn.XLOOKUP(TRIM(D1114),TRIM(DFC!A:A),DFC!A:A,"NÃO ESTÁ NA DFC")</f>
        <v xml:space="preserve">      PEÇAS</v>
      </c>
    </row>
    <row r="1115" spans="1:14" customFormat="1" ht="14.4" x14ac:dyDescent="0.3">
      <c r="A1115" s="24"/>
      <c r="B1115" s="21">
        <v>46024</v>
      </c>
      <c r="C1115" s="21" t="s">
        <v>15</v>
      </c>
      <c r="D1115" s="21" t="s">
        <v>19</v>
      </c>
      <c r="E1115" s="20"/>
      <c r="F1115" s="22" t="s">
        <v>315</v>
      </c>
      <c r="G1115" s="287">
        <v>7813.94</v>
      </c>
      <c r="H1115" s="1"/>
      <c r="I1115" s="1">
        <f>COUNTIF(Tabela1[NF],Tabela1[[#This Row],[NF]])</f>
        <v>0</v>
      </c>
      <c r="K1115" s="26">
        <f t="shared" si="2"/>
        <v>46024</v>
      </c>
      <c r="N1115" s="14" t="str" cm="1">
        <f t="array" ref="N1115">_xlfn.XLOOKUP(TRIM(D1115),TRIM(DFC!A:A),DFC!A:A,"NÃO ESTÁ NA DFC")</f>
        <v xml:space="preserve">      PEÇAS</v>
      </c>
    </row>
    <row r="1116" spans="1:14" customFormat="1" ht="14.4" x14ac:dyDescent="0.3">
      <c r="A1116" s="24"/>
      <c r="B1116" s="21">
        <v>46024</v>
      </c>
      <c r="C1116" s="21" t="s">
        <v>15</v>
      </c>
      <c r="D1116" s="21" t="s">
        <v>19</v>
      </c>
      <c r="E1116" s="20"/>
      <c r="F1116" s="22" t="s">
        <v>315</v>
      </c>
      <c r="G1116" s="287">
        <v>2754.88</v>
      </c>
      <c r="H1116" s="1"/>
      <c r="I1116" s="1">
        <f>COUNTIF(Tabela1[NF],Tabela1[[#This Row],[NF]])</f>
        <v>0</v>
      </c>
      <c r="K1116" s="26">
        <f t="shared" si="2"/>
        <v>46024</v>
      </c>
      <c r="N1116" s="14" t="str" cm="1">
        <f t="array" ref="N1116">_xlfn.XLOOKUP(TRIM(D1116),TRIM(DFC!A:A),DFC!A:A,"NÃO ESTÁ NA DFC")</f>
        <v xml:space="preserve">      PEÇAS</v>
      </c>
    </row>
    <row r="1117" spans="1:14" customFormat="1" ht="14.4" x14ac:dyDescent="0.3">
      <c r="A1117" s="24"/>
      <c r="B1117" s="21">
        <v>46024</v>
      </c>
      <c r="C1117" s="21" t="s">
        <v>15</v>
      </c>
      <c r="D1117" s="21" t="s">
        <v>19</v>
      </c>
      <c r="E1117" s="20"/>
      <c r="F1117" s="22" t="s">
        <v>315</v>
      </c>
      <c r="G1117" s="287">
        <v>1332.59</v>
      </c>
      <c r="H1117" s="1"/>
      <c r="I1117" s="1">
        <f>COUNTIF(Tabela1[NF],Tabela1[[#This Row],[NF]])</f>
        <v>0</v>
      </c>
      <c r="K1117" s="26">
        <f t="shared" si="2"/>
        <v>46024</v>
      </c>
      <c r="N1117" s="14" t="str" cm="1">
        <f t="array" ref="N1117">_xlfn.XLOOKUP(TRIM(D1117),TRIM(DFC!A:A),DFC!A:A,"NÃO ESTÁ NA DFC")</f>
        <v xml:space="preserve">      PEÇAS</v>
      </c>
    </row>
    <row r="1118" spans="1:14" customFormat="1" ht="14.4" x14ac:dyDescent="0.3">
      <c r="A1118" s="24"/>
      <c r="B1118" s="21">
        <v>46024</v>
      </c>
      <c r="C1118" s="21" t="s">
        <v>15</v>
      </c>
      <c r="D1118" s="21" t="s">
        <v>154</v>
      </c>
      <c r="E1118" s="20"/>
      <c r="F1118" s="22" t="s">
        <v>299</v>
      </c>
      <c r="G1118" s="287">
        <v>1099.56</v>
      </c>
      <c r="H1118" s="1"/>
      <c r="I1118" s="1">
        <f>COUNTIF(Tabela1[NF],Tabela1[[#This Row],[NF]])</f>
        <v>0</v>
      </c>
      <c r="K1118" s="26">
        <f t="shared" si="2"/>
        <v>46024</v>
      </c>
      <c r="N1118" s="14" t="str" cm="1">
        <f t="array" ref="N1118">_xlfn.XLOOKUP(TRIM(D1118),TRIM(DFC!A:A),DFC!A:A,"NÃO ESTÁ NA DFC")</f>
        <v xml:space="preserve">      EMBALAGENS</v>
      </c>
    </row>
    <row r="1119" spans="1:14" customFormat="1" ht="14.4" x14ac:dyDescent="0.3">
      <c r="A1119" s="24"/>
      <c r="B1119" s="21">
        <v>46024</v>
      </c>
      <c r="C1119" s="21" t="s">
        <v>15</v>
      </c>
      <c r="D1119" s="84" t="s">
        <v>37</v>
      </c>
      <c r="E1119" s="20"/>
      <c r="F1119" s="22" t="s">
        <v>341</v>
      </c>
      <c r="G1119" s="287">
        <v>366.95</v>
      </c>
      <c r="H1119" s="1"/>
      <c r="I1119" s="1">
        <f>COUNTIF(Tabela1[NF],Tabela1[[#This Row],[NF]])</f>
        <v>0</v>
      </c>
      <c r="K1119" s="26">
        <f t="shared" si="2"/>
        <v>46024</v>
      </c>
      <c r="N1119" s="14" t="str" cm="1">
        <f t="array" ref="N1119">_xlfn.XLOOKUP(TRIM(D1119),TRIM(DFC!A:A),DFC!A:A,"NÃO ESTÁ NA DFC")</f>
        <v xml:space="preserve">          MATERIAL DE ESCRITÓRIO</v>
      </c>
    </row>
    <row r="1120" spans="1:14" customFormat="1" ht="14.4" x14ac:dyDescent="0.3">
      <c r="A1120" s="24"/>
      <c r="B1120" s="21">
        <v>46024</v>
      </c>
      <c r="C1120" s="21" t="s">
        <v>15</v>
      </c>
      <c r="D1120" s="21" t="s">
        <v>29</v>
      </c>
      <c r="E1120" s="20"/>
      <c r="F1120" s="22" t="s">
        <v>420</v>
      </c>
      <c r="G1120" s="287">
        <v>850.54</v>
      </c>
      <c r="H1120" s="1"/>
      <c r="I1120" s="1">
        <f>COUNTIF(Tabela1[NF],Tabela1[[#This Row],[NF]])</f>
        <v>0</v>
      </c>
      <c r="K1120" s="26">
        <f t="shared" si="2"/>
        <v>46024</v>
      </c>
      <c r="N1120" s="14" t="str" cm="1">
        <f t="array" ref="N1120">_xlfn.XLOOKUP(TRIM(D1120),TRIM(DFC!A:A),DFC!A:A,"NÃO ESTÁ NA DFC")</f>
        <v xml:space="preserve">      FRETE DE SAÍDA</v>
      </c>
    </row>
    <row r="1121" spans="1:14" customFormat="1" ht="14.4" x14ac:dyDescent="0.3">
      <c r="A1121" s="24"/>
      <c r="B1121" s="21">
        <v>46024</v>
      </c>
      <c r="C1121" s="21" t="s">
        <v>15</v>
      </c>
      <c r="D1121" s="21" t="s">
        <v>29</v>
      </c>
      <c r="E1121" s="20"/>
      <c r="F1121" s="22" t="s">
        <v>505</v>
      </c>
      <c r="G1121" s="287">
        <v>57.81</v>
      </c>
      <c r="H1121" s="1"/>
      <c r="I1121" s="1">
        <f>COUNTIF(Tabela1[NF],Tabela1[[#This Row],[NF]])</f>
        <v>0</v>
      </c>
      <c r="K1121" s="26">
        <f t="shared" si="2"/>
        <v>46024</v>
      </c>
      <c r="N1121" s="14" t="str" cm="1">
        <f t="array" ref="N1121">_xlfn.XLOOKUP(TRIM(D1121),TRIM(DFC!A:A),DFC!A:A,"NÃO ESTÁ NA DFC")</f>
        <v xml:space="preserve">      FRETE DE SAÍDA</v>
      </c>
    </row>
    <row r="1122" spans="1:14" customFormat="1" ht="14.4" x14ac:dyDescent="0.3">
      <c r="A1122" s="24"/>
      <c r="B1122" s="21">
        <v>46024</v>
      </c>
      <c r="C1122" s="21" t="s">
        <v>15</v>
      </c>
      <c r="D1122" s="21" t="s">
        <v>19</v>
      </c>
      <c r="E1122" s="20"/>
      <c r="F1122" s="22" t="s">
        <v>300</v>
      </c>
      <c r="G1122" s="287">
        <v>8014.01</v>
      </c>
      <c r="H1122" s="1"/>
      <c r="I1122" s="1">
        <f>COUNTIF(Tabela1[NF],Tabela1[[#This Row],[NF]])</f>
        <v>0</v>
      </c>
      <c r="K1122" s="26">
        <f t="shared" si="2"/>
        <v>46024</v>
      </c>
      <c r="N1122" s="14" t="str" cm="1">
        <f t="array" ref="N1122">_xlfn.XLOOKUP(TRIM(D1122),TRIM(DFC!A:A),DFC!A:A,"NÃO ESTÁ NA DFC")</f>
        <v xml:space="preserve">      PEÇAS</v>
      </c>
    </row>
    <row r="1123" spans="1:14" customFormat="1" ht="14.4" x14ac:dyDescent="0.3">
      <c r="A1123" s="24"/>
      <c r="B1123" s="21">
        <v>46024</v>
      </c>
      <c r="C1123" s="21" t="s">
        <v>15</v>
      </c>
      <c r="D1123" s="21" t="s">
        <v>154</v>
      </c>
      <c r="E1123" s="20"/>
      <c r="F1123" s="22" t="s">
        <v>299</v>
      </c>
      <c r="G1123" s="287">
        <v>1671.78</v>
      </c>
      <c r="H1123" s="1"/>
      <c r="I1123" s="1">
        <f>COUNTIF(Tabela1[NF],Tabela1[[#This Row],[NF]])</f>
        <v>0</v>
      </c>
      <c r="K1123" s="26">
        <f t="shared" si="2"/>
        <v>46024</v>
      </c>
      <c r="N1123" s="14" t="str" cm="1">
        <f t="array" ref="N1123">_xlfn.XLOOKUP(TRIM(D1123),TRIM(DFC!A:A),DFC!A:A,"NÃO ESTÁ NA DFC")</f>
        <v xml:space="preserve">      EMBALAGENS</v>
      </c>
    </row>
    <row r="1124" spans="1:14" customFormat="1" ht="14.4" x14ac:dyDescent="0.3">
      <c r="A1124" s="24"/>
      <c r="B1124" s="21">
        <v>46024</v>
      </c>
      <c r="C1124" s="21" t="s">
        <v>15</v>
      </c>
      <c r="D1124" s="21" t="s">
        <v>154</v>
      </c>
      <c r="E1124" s="20"/>
      <c r="F1124" s="22" t="s">
        <v>396</v>
      </c>
      <c r="G1124" s="287">
        <v>1000.73</v>
      </c>
      <c r="H1124" s="1"/>
      <c r="I1124" s="1">
        <f>COUNTIF(Tabela1[NF],Tabela1[[#This Row],[NF]])</f>
        <v>0</v>
      </c>
      <c r="K1124" s="26">
        <f t="shared" si="2"/>
        <v>46024</v>
      </c>
      <c r="N1124" s="14" t="str" cm="1">
        <f t="array" ref="N1124">_xlfn.XLOOKUP(TRIM(D1124),TRIM(DFC!A:A),DFC!A:A,"NÃO ESTÁ NA DFC")</f>
        <v xml:space="preserve">      EMBALAGENS</v>
      </c>
    </row>
    <row r="1125" spans="1:14" customFormat="1" ht="14.4" x14ac:dyDescent="0.3">
      <c r="A1125" s="24"/>
      <c r="B1125" s="21">
        <v>46024</v>
      </c>
      <c r="C1125" s="21" t="s">
        <v>15</v>
      </c>
      <c r="D1125" s="21" t="s">
        <v>19</v>
      </c>
      <c r="E1125" s="20"/>
      <c r="F1125" s="22" t="s">
        <v>302</v>
      </c>
      <c r="G1125" s="287">
        <v>4508.3599999999997</v>
      </c>
      <c r="H1125" s="1"/>
      <c r="I1125" s="1">
        <f>COUNTIF(Tabela1[NF],Tabela1[[#This Row],[NF]])</f>
        <v>0</v>
      </c>
      <c r="K1125" s="26">
        <f t="shared" si="2"/>
        <v>46024</v>
      </c>
      <c r="N1125" s="14" t="str" cm="1">
        <f t="array" ref="N1125">_xlfn.XLOOKUP(TRIM(D1125),TRIM(DFC!A:A),DFC!A:A,"NÃO ESTÁ NA DFC")</f>
        <v xml:space="preserve">      PEÇAS</v>
      </c>
    </row>
    <row r="1126" spans="1:14" customFormat="1" ht="14.4" x14ac:dyDescent="0.3">
      <c r="A1126" s="24"/>
      <c r="B1126" s="21">
        <v>46024</v>
      </c>
      <c r="C1126" s="21" t="s">
        <v>15</v>
      </c>
      <c r="D1126" s="21" t="s">
        <v>19</v>
      </c>
      <c r="E1126" s="20"/>
      <c r="F1126" s="22" t="s">
        <v>315</v>
      </c>
      <c r="G1126" s="287">
        <v>8264.65</v>
      </c>
      <c r="H1126" s="1"/>
      <c r="I1126" s="1">
        <f>COUNTIF(Tabela1[NF],Tabela1[[#This Row],[NF]])</f>
        <v>0</v>
      </c>
      <c r="K1126" s="26">
        <f t="shared" si="2"/>
        <v>46024</v>
      </c>
      <c r="N1126" s="14" t="str" cm="1">
        <f t="array" ref="N1126">_xlfn.XLOOKUP(TRIM(D1126),TRIM(DFC!A:A),DFC!A:A,"NÃO ESTÁ NA DFC")</f>
        <v xml:space="preserve">      PEÇAS</v>
      </c>
    </row>
    <row r="1127" spans="1:14" customFormat="1" ht="14.4" x14ac:dyDescent="0.3">
      <c r="A1127" s="24"/>
      <c r="B1127" s="21">
        <v>46024</v>
      </c>
      <c r="C1127" s="21" t="s">
        <v>15</v>
      </c>
      <c r="D1127" s="21" t="s">
        <v>19</v>
      </c>
      <c r="E1127" s="20"/>
      <c r="F1127" s="22" t="s">
        <v>300</v>
      </c>
      <c r="G1127" s="287">
        <v>1876.34</v>
      </c>
      <c r="H1127" s="1"/>
      <c r="I1127" s="1">
        <f>COUNTIF(Tabela1[NF],Tabela1[[#This Row],[NF]])</f>
        <v>0</v>
      </c>
      <c r="K1127" s="26">
        <f t="shared" si="2"/>
        <v>46024</v>
      </c>
      <c r="N1127" s="14" t="str" cm="1">
        <f t="array" ref="N1127">_xlfn.XLOOKUP(TRIM(D1127),TRIM(DFC!A:A),DFC!A:A,"NÃO ESTÁ NA DFC")</f>
        <v xml:space="preserve">      PEÇAS</v>
      </c>
    </row>
    <row r="1128" spans="1:14" customFormat="1" ht="14.4" x14ac:dyDescent="0.3">
      <c r="A1128" s="24"/>
      <c r="B1128" s="21">
        <v>46024</v>
      </c>
      <c r="C1128" s="21" t="s">
        <v>15</v>
      </c>
      <c r="D1128" s="21" t="s">
        <v>19</v>
      </c>
      <c r="E1128" s="20"/>
      <c r="F1128" s="22" t="s">
        <v>301</v>
      </c>
      <c r="G1128" s="287">
        <v>1705.2</v>
      </c>
      <c r="H1128" s="1"/>
      <c r="I1128" s="1">
        <f>COUNTIF(Tabela1[NF],Tabela1[[#This Row],[NF]])</f>
        <v>0</v>
      </c>
      <c r="K1128" s="26">
        <f t="shared" si="2"/>
        <v>46024</v>
      </c>
      <c r="N1128" s="14" t="str" cm="1">
        <f t="array" ref="N1128">_xlfn.XLOOKUP(TRIM(D1128),TRIM(DFC!A:A),DFC!A:A,"NÃO ESTÁ NA DFC")</f>
        <v xml:space="preserve">      PEÇAS</v>
      </c>
    </row>
    <row r="1129" spans="1:14" customFormat="1" ht="14.4" x14ac:dyDescent="0.3">
      <c r="A1129" s="24"/>
      <c r="B1129" s="21">
        <v>46024</v>
      </c>
      <c r="C1129" s="21" t="s">
        <v>15</v>
      </c>
      <c r="D1129" s="21" t="s">
        <v>19</v>
      </c>
      <c r="E1129" s="20"/>
      <c r="F1129" s="22" t="s">
        <v>300</v>
      </c>
      <c r="G1129" s="287">
        <v>16957.740000000002</v>
      </c>
      <c r="H1129" s="1"/>
      <c r="I1129" s="1">
        <f>COUNTIF(Tabela1[NF],Tabela1[[#This Row],[NF]])</f>
        <v>0</v>
      </c>
      <c r="K1129" s="26">
        <f t="shared" si="2"/>
        <v>46024</v>
      </c>
      <c r="N1129" s="14" t="str" cm="1">
        <f t="array" ref="N1129">_xlfn.XLOOKUP(TRIM(D1129),TRIM(DFC!A:A),DFC!A:A,"NÃO ESTÁ NA DFC")</f>
        <v xml:space="preserve">      PEÇAS</v>
      </c>
    </row>
    <row r="1130" spans="1:14" customFormat="1" ht="14.4" x14ac:dyDescent="0.3">
      <c r="A1130" s="24"/>
      <c r="B1130" s="21">
        <v>46024</v>
      </c>
      <c r="C1130" s="21" t="s">
        <v>15</v>
      </c>
      <c r="D1130" s="21" t="s">
        <v>19</v>
      </c>
      <c r="E1130" s="20"/>
      <c r="F1130" s="22" t="s">
        <v>297</v>
      </c>
      <c r="G1130" s="287">
        <v>1157.6500000000001</v>
      </c>
      <c r="H1130" s="1"/>
      <c r="I1130" s="1">
        <f>COUNTIF(Tabela1[NF],Tabela1[[#This Row],[NF]])</f>
        <v>0</v>
      </c>
      <c r="K1130" s="26">
        <f t="shared" si="2"/>
        <v>46024</v>
      </c>
      <c r="N1130" s="14" t="str" cm="1">
        <f t="array" ref="N1130">_xlfn.XLOOKUP(TRIM(D1130),TRIM(DFC!A:A),DFC!A:A,"NÃO ESTÁ NA DFC")</f>
        <v xml:space="preserve">      PEÇAS</v>
      </c>
    </row>
    <row r="1131" spans="1:14" customFormat="1" ht="14.4" x14ac:dyDescent="0.3">
      <c r="A1131" s="24"/>
      <c r="B1131" s="21">
        <v>46024</v>
      </c>
      <c r="C1131" s="21" t="s">
        <v>15</v>
      </c>
      <c r="D1131" s="21" t="s">
        <v>19</v>
      </c>
      <c r="E1131" s="20"/>
      <c r="F1131" s="22" t="s">
        <v>315</v>
      </c>
      <c r="G1131" s="287">
        <v>1711</v>
      </c>
      <c r="H1131" s="1"/>
      <c r="I1131" s="1">
        <f>COUNTIF(Tabela1[NF],Tabela1[[#This Row],[NF]])</f>
        <v>0</v>
      </c>
      <c r="K1131" s="26">
        <f t="shared" si="2"/>
        <v>46024</v>
      </c>
      <c r="N1131" s="14" t="str" cm="1">
        <f t="array" ref="N1131">_xlfn.XLOOKUP(TRIM(D1131),TRIM(DFC!A:A),DFC!A:A,"NÃO ESTÁ NA DFC")</f>
        <v xml:space="preserve">      PEÇAS</v>
      </c>
    </row>
    <row r="1132" spans="1:14" customFormat="1" ht="14.4" x14ac:dyDescent="0.3">
      <c r="A1132" s="24"/>
      <c r="B1132" s="21">
        <v>46024</v>
      </c>
      <c r="C1132" s="21" t="s">
        <v>15</v>
      </c>
      <c r="D1132" s="21" t="s">
        <v>19</v>
      </c>
      <c r="E1132" s="20"/>
      <c r="F1132" s="22" t="s">
        <v>315</v>
      </c>
      <c r="G1132" s="287">
        <v>570.33000000000004</v>
      </c>
      <c r="H1132" s="1"/>
      <c r="I1132" s="1">
        <f>COUNTIF(Tabela1[NF],Tabela1[[#This Row],[NF]])</f>
        <v>0</v>
      </c>
      <c r="K1132" s="26">
        <f t="shared" si="2"/>
        <v>46024</v>
      </c>
      <c r="N1132" s="14" t="str" cm="1">
        <f t="array" ref="N1132">_xlfn.XLOOKUP(TRIM(D1132),TRIM(DFC!A:A),DFC!A:A,"NÃO ESTÁ NA DFC")</f>
        <v xml:space="preserve">      PEÇAS</v>
      </c>
    </row>
    <row r="1133" spans="1:14" customFormat="1" ht="14.4" x14ac:dyDescent="0.3">
      <c r="A1133" s="24"/>
      <c r="B1133" s="21">
        <v>46024</v>
      </c>
      <c r="C1133" s="21" t="s">
        <v>15</v>
      </c>
      <c r="D1133" s="21" t="s">
        <v>19</v>
      </c>
      <c r="E1133" s="20"/>
      <c r="F1133" s="22" t="s">
        <v>228</v>
      </c>
      <c r="G1133" s="287">
        <v>19184.13</v>
      </c>
      <c r="H1133" s="1"/>
      <c r="I1133" s="1">
        <f>COUNTIF(Tabela1[NF],Tabela1[[#This Row],[NF]])</f>
        <v>0</v>
      </c>
      <c r="K1133" s="26">
        <f t="shared" si="2"/>
        <v>46024</v>
      </c>
      <c r="N1133" s="14" t="str" cm="1">
        <f t="array" ref="N1133">_xlfn.XLOOKUP(TRIM(D1133),TRIM(DFC!A:A),DFC!A:A,"NÃO ESTÁ NA DFC")</f>
        <v xml:space="preserve">      PEÇAS</v>
      </c>
    </row>
    <row r="1134" spans="1:14" customFormat="1" ht="14.4" x14ac:dyDescent="0.3">
      <c r="A1134" s="24"/>
      <c r="B1134" s="21">
        <v>46024</v>
      </c>
      <c r="C1134" s="21" t="s">
        <v>15</v>
      </c>
      <c r="D1134" s="21" t="s">
        <v>19</v>
      </c>
      <c r="E1134" s="20"/>
      <c r="F1134" s="22" t="s">
        <v>228</v>
      </c>
      <c r="G1134" s="287">
        <v>3568.59</v>
      </c>
      <c r="H1134" s="1"/>
      <c r="I1134" s="1">
        <f>COUNTIF(Tabela1[NF],Tabela1[[#This Row],[NF]])</f>
        <v>0</v>
      </c>
      <c r="K1134" s="26">
        <f t="shared" si="2"/>
        <v>46024</v>
      </c>
      <c r="N1134" s="14" t="str" cm="1">
        <f t="array" ref="N1134">_xlfn.XLOOKUP(TRIM(D1134),TRIM(DFC!A:A),DFC!A:A,"NÃO ESTÁ NA DFC")</f>
        <v xml:space="preserve">      PEÇAS</v>
      </c>
    </row>
    <row r="1135" spans="1:14" customFormat="1" ht="14.4" x14ac:dyDescent="0.3">
      <c r="A1135" s="24"/>
      <c r="B1135" s="21">
        <v>46024</v>
      </c>
      <c r="C1135" s="21" t="s">
        <v>15</v>
      </c>
      <c r="D1135" s="21" t="s">
        <v>19</v>
      </c>
      <c r="E1135" s="20"/>
      <c r="F1135" s="22" t="s">
        <v>315</v>
      </c>
      <c r="G1135" s="287">
        <v>500</v>
      </c>
      <c r="H1135" s="1"/>
      <c r="I1135" s="1">
        <f>COUNTIF(Tabela1[NF],Tabela1[[#This Row],[NF]])</f>
        <v>0</v>
      </c>
      <c r="K1135" s="26">
        <f t="shared" si="2"/>
        <v>46024</v>
      </c>
      <c r="N1135" s="14" t="str" cm="1">
        <f t="array" ref="N1135">_xlfn.XLOOKUP(TRIM(D1135),TRIM(DFC!A:A),DFC!A:A,"NÃO ESTÁ NA DFC")</f>
        <v xml:space="preserve">      PEÇAS</v>
      </c>
    </row>
    <row r="1136" spans="1:14" customFormat="1" ht="14.4" x14ac:dyDescent="0.3">
      <c r="A1136" s="24"/>
      <c r="B1136" s="21">
        <v>46024</v>
      </c>
      <c r="C1136" s="21" t="s">
        <v>15</v>
      </c>
      <c r="D1136" s="21" t="s">
        <v>19</v>
      </c>
      <c r="E1136" s="20"/>
      <c r="F1136" s="22" t="s">
        <v>315</v>
      </c>
      <c r="G1136" s="287">
        <v>1500</v>
      </c>
      <c r="H1136" s="1"/>
      <c r="I1136" s="1">
        <f>COUNTIF(Tabela1[NF],Tabela1[[#This Row],[NF]])</f>
        <v>0</v>
      </c>
      <c r="K1136" s="26">
        <f t="shared" si="2"/>
        <v>46024</v>
      </c>
      <c r="N1136" s="14" t="str" cm="1">
        <f t="array" ref="N1136">_xlfn.XLOOKUP(TRIM(D1136),TRIM(DFC!A:A),DFC!A:A,"NÃO ESTÁ NA DFC")</f>
        <v xml:space="preserve">      PEÇAS</v>
      </c>
    </row>
    <row r="1137" spans="1:14" customFormat="1" ht="14.4" x14ac:dyDescent="0.3">
      <c r="A1137" s="24"/>
      <c r="B1137" s="21">
        <v>46024</v>
      </c>
      <c r="C1137" s="21" t="s">
        <v>15</v>
      </c>
      <c r="D1137" s="21" t="s">
        <v>19</v>
      </c>
      <c r="E1137" s="20"/>
      <c r="F1137" s="22" t="s">
        <v>315</v>
      </c>
      <c r="G1137" s="287">
        <v>983.33</v>
      </c>
      <c r="H1137" s="1"/>
      <c r="I1137" s="1">
        <f>COUNTIF(Tabela1[NF],Tabela1[[#This Row],[NF]])</f>
        <v>0</v>
      </c>
      <c r="K1137" s="26">
        <f t="shared" si="2"/>
        <v>46024</v>
      </c>
      <c r="N1137" s="14" t="str" cm="1">
        <f t="array" ref="N1137">_xlfn.XLOOKUP(TRIM(D1137),TRIM(DFC!A:A),DFC!A:A,"NÃO ESTÁ NA DFC")</f>
        <v xml:space="preserve">      PEÇAS</v>
      </c>
    </row>
    <row r="1138" spans="1:14" customFormat="1" ht="14.4" x14ac:dyDescent="0.3">
      <c r="A1138" s="24"/>
      <c r="B1138" s="21">
        <v>46024</v>
      </c>
      <c r="C1138" s="21" t="s">
        <v>15</v>
      </c>
      <c r="D1138" s="21" t="s">
        <v>19</v>
      </c>
      <c r="E1138" s="20"/>
      <c r="F1138" s="22" t="s">
        <v>315</v>
      </c>
      <c r="G1138" s="287">
        <v>2950</v>
      </c>
      <c r="H1138" s="1"/>
      <c r="I1138" s="1">
        <f>COUNTIF(Tabela1[NF],Tabela1[[#This Row],[NF]])</f>
        <v>0</v>
      </c>
      <c r="K1138" s="26">
        <f t="shared" si="2"/>
        <v>46024</v>
      </c>
      <c r="N1138" s="14" t="str" cm="1">
        <f t="array" ref="N1138">_xlfn.XLOOKUP(TRIM(D1138),TRIM(DFC!A:A),DFC!A:A,"NÃO ESTÁ NA DFC")</f>
        <v xml:space="preserve">      PEÇAS</v>
      </c>
    </row>
    <row r="1139" spans="1:14" customFormat="1" ht="14.4" x14ac:dyDescent="0.3">
      <c r="A1139" s="24"/>
      <c r="B1139" s="21">
        <v>46024</v>
      </c>
      <c r="C1139" s="21" t="s">
        <v>15</v>
      </c>
      <c r="D1139" s="21" t="s">
        <v>19</v>
      </c>
      <c r="E1139" s="20"/>
      <c r="F1139" s="22" t="s">
        <v>297</v>
      </c>
      <c r="G1139" s="287">
        <v>15899.1</v>
      </c>
      <c r="H1139" s="1"/>
      <c r="I1139" s="1">
        <f>COUNTIF(Tabela1[NF],Tabela1[[#This Row],[NF]])</f>
        <v>0</v>
      </c>
      <c r="K1139" s="26">
        <f t="shared" si="2"/>
        <v>46024</v>
      </c>
      <c r="N1139" s="14" t="str" cm="1">
        <f t="array" ref="N1139">_xlfn.XLOOKUP(TRIM(D1139),TRIM(DFC!A:A),DFC!A:A,"NÃO ESTÁ NA DFC")</f>
        <v xml:space="preserve">      PEÇAS</v>
      </c>
    </row>
    <row r="1140" spans="1:14" customFormat="1" ht="14.4" x14ac:dyDescent="0.3">
      <c r="A1140" s="24"/>
      <c r="B1140" s="21">
        <v>46024</v>
      </c>
      <c r="C1140" s="21" t="s">
        <v>15</v>
      </c>
      <c r="D1140" s="21" t="s">
        <v>19</v>
      </c>
      <c r="E1140" s="20"/>
      <c r="F1140" s="22" t="s">
        <v>395</v>
      </c>
      <c r="G1140" s="287">
        <v>697.58</v>
      </c>
      <c r="H1140" s="1"/>
      <c r="I1140" s="1">
        <f>COUNTIF(Tabela1[NF],Tabela1[[#This Row],[NF]])</f>
        <v>0</v>
      </c>
      <c r="K1140" s="26">
        <f t="shared" si="2"/>
        <v>46024</v>
      </c>
      <c r="N1140" s="14" t="str" cm="1">
        <f t="array" ref="N1140">_xlfn.XLOOKUP(TRIM(D1140),TRIM(DFC!A:A),DFC!A:A,"NÃO ESTÁ NA DFC")</f>
        <v xml:space="preserve">      PEÇAS</v>
      </c>
    </row>
    <row r="1141" spans="1:14" customFormat="1" ht="14.4" x14ac:dyDescent="0.3">
      <c r="A1141" s="24"/>
      <c r="B1141" s="21">
        <v>46024</v>
      </c>
      <c r="C1141" s="21" t="s">
        <v>15</v>
      </c>
      <c r="D1141" s="21" t="s">
        <v>111</v>
      </c>
      <c r="E1141" s="20"/>
      <c r="F1141" s="22" t="s">
        <v>453</v>
      </c>
      <c r="G1141" s="287">
        <v>0.03</v>
      </c>
      <c r="H1141" s="1"/>
      <c r="I1141" s="1">
        <f>COUNTIF(Tabela1[NF],Tabela1[[#This Row],[NF]])</f>
        <v>0</v>
      </c>
      <c r="K1141" s="26">
        <f t="shared" si="2"/>
        <v>46024</v>
      </c>
      <c r="N1141" s="14" t="str" cm="1">
        <f t="array" ref="N1141">_xlfn.XLOOKUP(TRIM(D1141),TRIM(DFC!A:A),DFC!A:A,"NÃO ESTÁ NA DFC")</f>
        <v xml:space="preserve">          TX. BANCÁRIA</v>
      </c>
    </row>
    <row r="1142" spans="1:14" customFormat="1" ht="14.4" x14ac:dyDescent="0.3">
      <c r="A1142" s="24"/>
      <c r="B1142" s="21">
        <v>46024</v>
      </c>
      <c r="C1142" s="21" t="s">
        <v>15</v>
      </c>
      <c r="D1142" s="21" t="s">
        <v>111</v>
      </c>
      <c r="E1142" s="20"/>
      <c r="F1142" s="22" t="s">
        <v>559</v>
      </c>
      <c r="G1142" s="287">
        <v>2.72</v>
      </c>
      <c r="H1142" s="1"/>
      <c r="I1142" s="1">
        <f>COUNTIF(Tabela1[NF],Tabela1[[#This Row],[NF]])</f>
        <v>0</v>
      </c>
      <c r="K1142" s="26">
        <f t="shared" si="2"/>
        <v>46024</v>
      </c>
      <c r="N1142" s="14" t="str" cm="1">
        <f t="array" ref="N1142">_xlfn.XLOOKUP(TRIM(D1142),TRIM(DFC!A:A),DFC!A:A,"NÃO ESTÁ NA DFC")</f>
        <v xml:space="preserve">          TX. BANCÁRIA</v>
      </c>
    </row>
    <row r="1143" spans="1:14" customFormat="1" ht="14.4" x14ac:dyDescent="0.3">
      <c r="A1143" s="19">
        <v>618596</v>
      </c>
      <c r="B1143" s="21">
        <v>46024</v>
      </c>
      <c r="C1143" s="21" t="s">
        <v>15</v>
      </c>
      <c r="D1143" s="21" t="s">
        <v>19</v>
      </c>
      <c r="E1143" s="20"/>
      <c r="F1143" s="22" t="s">
        <v>310</v>
      </c>
      <c r="G1143" s="252">
        <v>10667.68</v>
      </c>
      <c r="H1143" s="1"/>
      <c r="I1143" s="1">
        <f>COUNTIF(Tabela1[NF],Tabela1[[#This Row],[NF]])</f>
        <v>6</v>
      </c>
      <c r="K1143" s="26">
        <f t="shared" si="2"/>
        <v>46024</v>
      </c>
      <c r="N1143" s="14" t="str" cm="1">
        <f t="array" ref="N1143">_xlfn.XLOOKUP(TRIM(D1143),TRIM(DFC!A:A),DFC!A:A,"NÃO ESTÁ NA DFC")</f>
        <v xml:space="preserve">      PEÇAS</v>
      </c>
    </row>
    <row r="1144" spans="1:14" customFormat="1" ht="14.4" x14ac:dyDescent="0.3">
      <c r="A1144" s="19">
        <v>618596</v>
      </c>
      <c r="B1144" s="21">
        <v>46024</v>
      </c>
      <c r="C1144" s="21" t="s">
        <v>15</v>
      </c>
      <c r="D1144" s="21" t="s">
        <v>19</v>
      </c>
      <c r="E1144" s="20"/>
      <c r="F1144" s="22" t="s">
        <v>24</v>
      </c>
      <c r="G1144" s="252">
        <v>10667.68</v>
      </c>
      <c r="H1144" s="1"/>
      <c r="I1144" s="1">
        <f>COUNTIF(Tabela1[NF],Tabela1[[#This Row],[NF]])</f>
        <v>6</v>
      </c>
      <c r="K1144" s="26">
        <f t="shared" si="2"/>
        <v>46024</v>
      </c>
      <c r="N1144" s="14" t="str" cm="1">
        <f t="array" ref="N1144">_xlfn.XLOOKUP(TRIM(D1144),TRIM(DFC!A:A),DFC!A:A,"NÃO ESTÁ NA DFC")</f>
        <v xml:space="preserve">      PEÇAS</v>
      </c>
    </row>
    <row r="1145" spans="1:14" customFormat="1" ht="14.4" x14ac:dyDescent="0.3">
      <c r="A1145" s="19">
        <v>442271</v>
      </c>
      <c r="B1145" s="21">
        <v>46024</v>
      </c>
      <c r="C1145" s="21" t="s">
        <v>15</v>
      </c>
      <c r="D1145" s="21" t="s">
        <v>19</v>
      </c>
      <c r="E1145" s="20"/>
      <c r="F1145" s="22" t="s">
        <v>30</v>
      </c>
      <c r="G1145" s="252">
        <v>2295.6799999999998</v>
      </c>
      <c r="H1145" s="1"/>
      <c r="I1145" s="1">
        <f>COUNTIF(Tabela1[NF],Tabela1[[#This Row],[NF]])</f>
        <v>4</v>
      </c>
      <c r="K1145" s="26">
        <f t="shared" ref="K1145:K1176" si="3">B1145</f>
        <v>46024</v>
      </c>
      <c r="N1145" s="14" t="str" cm="1">
        <f t="array" ref="N1145">_xlfn.XLOOKUP(TRIM(D1145),TRIM(DFC!A:A),DFC!A:A,"NÃO ESTÁ NA DFC")</f>
        <v xml:space="preserve">      PEÇAS</v>
      </c>
    </row>
    <row r="1146" spans="1:14" customFormat="1" ht="14.4" x14ac:dyDescent="0.3">
      <c r="A1146" s="24"/>
      <c r="B1146" s="21">
        <v>46027</v>
      </c>
      <c r="C1146" s="21" t="s">
        <v>15</v>
      </c>
      <c r="D1146" s="21" t="s">
        <v>82</v>
      </c>
      <c r="E1146" s="20"/>
      <c r="F1146" s="22" t="s">
        <v>412</v>
      </c>
      <c r="G1146" s="287">
        <v>100</v>
      </c>
      <c r="H1146" s="1"/>
      <c r="I1146" s="1">
        <f>COUNTIF(Tabela1[NF],Tabela1[[#This Row],[NF]])</f>
        <v>0</v>
      </c>
      <c r="K1146" s="26">
        <f t="shared" si="3"/>
        <v>46027</v>
      </c>
      <c r="N1146" s="14" t="str" cm="1">
        <f t="array" ref="N1146">_xlfn.XLOOKUP(TRIM(D1146),TRIM(DFC!A:A),DFC!A:A,"NÃO ESTÁ NA DFC")</f>
        <v xml:space="preserve">          DIÁRIAS</v>
      </c>
    </row>
    <row r="1147" spans="1:14" customFormat="1" ht="14.4" x14ac:dyDescent="0.3">
      <c r="A1147" s="24"/>
      <c r="B1147" s="21">
        <v>46027</v>
      </c>
      <c r="C1147" s="21" t="s">
        <v>15</v>
      </c>
      <c r="D1147" s="21" t="s">
        <v>82</v>
      </c>
      <c r="E1147" s="20"/>
      <c r="F1147" s="22" t="s">
        <v>532</v>
      </c>
      <c r="G1147" s="287">
        <v>225</v>
      </c>
      <c r="H1147" s="1"/>
      <c r="I1147" s="1">
        <f>COUNTIF(Tabela1[NF],Tabela1[[#This Row],[NF]])</f>
        <v>0</v>
      </c>
      <c r="K1147" s="26">
        <f t="shared" si="3"/>
        <v>46027</v>
      </c>
      <c r="N1147" s="14" t="str" cm="1">
        <f t="array" ref="N1147">_xlfn.XLOOKUP(TRIM(D1147),TRIM(DFC!A:A),DFC!A:A,"NÃO ESTÁ NA DFC")</f>
        <v xml:space="preserve">          DIÁRIAS</v>
      </c>
    </row>
    <row r="1148" spans="1:14" customFormat="1" ht="14.4" x14ac:dyDescent="0.3">
      <c r="A1148" s="24"/>
      <c r="B1148" s="21">
        <v>46027</v>
      </c>
      <c r="C1148" s="21" t="s">
        <v>15</v>
      </c>
      <c r="D1148" s="21" t="s">
        <v>19</v>
      </c>
      <c r="E1148" s="20"/>
      <c r="F1148" s="22" t="s">
        <v>301</v>
      </c>
      <c r="G1148" s="287">
        <v>2864.4</v>
      </c>
      <c r="H1148" s="1"/>
      <c r="I1148" s="1">
        <f>COUNTIF(Tabela1[NF],Tabela1[[#This Row],[NF]])</f>
        <v>0</v>
      </c>
      <c r="K1148" s="26">
        <f t="shared" si="3"/>
        <v>46027</v>
      </c>
      <c r="N1148" s="14" t="str" cm="1">
        <f t="array" ref="N1148">_xlfn.XLOOKUP(TRIM(D1148),TRIM(DFC!A:A),DFC!A:A,"NÃO ESTÁ NA DFC")</f>
        <v xml:space="preserve">      PEÇAS</v>
      </c>
    </row>
    <row r="1149" spans="1:14" customFormat="1" ht="14.4" x14ac:dyDescent="0.3">
      <c r="A1149" s="24"/>
      <c r="B1149" s="21">
        <v>46027</v>
      </c>
      <c r="C1149" s="21" t="s">
        <v>15</v>
      </c>
      <c r="D1149" s="21" t="s">
        <v>19</v>
      </c>
      <c r="E1149" s="20"/>
      <c r="F1149" s="22" t="s">
        <v>228</v>
      </c>
      <c r="G1149" s="287">
        <v>714.8</v>
      </c>
      <c r="H1149" s="1"/>
      <c r="I1149" s="1">
        <f>COUNTIF(Tabela1[NF],Tabela1[[#This Row],[NF]])</f>
        <v>0</v>
      </c>
      <c r="K1149" s="26">
        <f t="shared" si="3"/>
        <v>46027</v>
      </c>
      <c r="N1149" s="14" t="str" cm="1">
        <f t="array" ref="N1149">_xlfn.XLOOKUP(TRIM(D1149),TRIM(DFC!A:A),DFC!A:A,"NÃO ESTÁ NA DFC")</f>
        <v xml:space="preserve">      PEÇAS</v>
      </c>
    </row>
    <row r="1150" spans="1:14" customFormat="1" ht="14.4" x14ac:dyDescent="0.3">
      <c r="A1150" s="24"/>
      <c r="B1150" s="21">
        <v>46027</v>
      </c>
      <c r="C1150" s="21" t="s">
        <v>15</v>
      </c>
      <c r="D1150" s="21" t="s">
        <v>19</v>
      </c>
      <c r="E1150" s="20"/>
      <c r="F1150" s="22" t="s">
        <v>228</v>
      </c>
      <c r="G1150" s="287">
        <v>1933.41</v>
      </c>
      <c r="H1150" s="1"/>
      <c r="I1150" s="1">
        <f>COUNTIF(Tabela1[NF],Tabela1[[#This Row],[NF]])</f>
        <v>0</v>
      </c>
      <c r="K1150" s="26">
        <f t="shared" si="3"/>
        <v>46027</v>
      </c>
      <c r="N1150" s="14" t="str" cm="1">
        <f t="array" ref="N1150">_xlfn.XLOOKUP(TRIM(D1150),TRIM(DFC!A:A),DFC!A:A,"NÃO ESTÁ NA DFC")</f>
        <v xml:space="preserve">      PEÇAS</v>
      </c>
    </row>
    <row r="1151" spans="1:14" customFormat="1" ht="14.4" x14ac:dyDescent="0.3">
      <c r="A1151" s="24"/>
      <c r="B1151" s="21">
        <v>46027</v>
      </c>
      <c r="C1151" s="21" t="s">
        <v>15</v>
      </c>
      <c r="D1151" s="21" t="s">
        <v>19</v>
      </c>
      <c r="E1151" s="20"/>
      <c r="F1151" s="22" t="s">
        <v>132</v>
      </c>
      <c r="G1151" s="287">
        <v>492</v>
      </c>
      <c r="H1151" s="1"/>
      <c r="I1151" s="1">
        <f>COUNTIF(Tabela1[NF],Tabela1[[#This Row],[NF]])</f>
        <v>0</v>
      </c>
      <c r="K1151" s="26">
        <f t="shared" si="3"/>
        <v>46027</v>
      </c>
      <c r="N1151" s="14" t="str" cm="1">
        <f t="array" ref="N1151">_xlfn.XLOOKUP(TRIM(D1151),TRIM(DFC!A:A),DFC!A:A,"NÃO ESTÁ NA DFC")</f>
        <v xml:space="preserve">      PEÇAS</v>
      </c>
    </row>
    <row r="1152" spans="1:14" customFormat="1" ht="14.4" x14ac:dyDescent="0.3">
      <c r="A1152" s="24"/>
      <c r="B1152" s="21">
        <v>46027</v>
      </c>
      <c r="C1152" s="21" t="s">
        <v>15</v>
      </c>
      <c r="D1152" s="21" t="s">
        <v>19</v>
      </c>
      <c r="E1152" s="20"/>
      <c r="F1152" s="22" t="s">
        <v>483</v>
      </c>
      <c r="G1152" s="287">
        <v>1645</v>
      </c>
      <c r="H1152" s="1"/>
      <c r="I1152" s="1">
        <f>COUNTIF(Tabela1[NF],Tabela1[[#This Row],[NF]])</f>
        <v>0</v>
      </c>
      <c r="K1152" s="26">
        <f t="shared" si="3"/>
        <v>46027</v>
      </c>
      <c r="N1152" s="14" t="str" cm="1">
        <f t="array" ref="N1152">_xlfn.XLOOKUP(TRIM(D1152),TRIM(DFC!A:A),DFC!A:A,"NÃO ESTÁ NA DFC")</f>
        <v xml:space="preserve">      PEÇAS</v>
      </c>
    </row>
    <row r="1153" spans="1:14" customFormat="1" ht="14.4" x14ac:dyDescent="0.3">
      <c r="A1153" s="24"/>
      <c r="B1153" s="21">
        <v>46027</v>
      </c>
      <c r="C1153" s="21" t="s">
        <v>15</v>
      </c>
      <c r="D1153" s="21" t="s">
        <v>19</v>
      </c>
      <c r="E1153" s="20"/>
      <c r="F1153" s="22" t="s">
        <v>149</v>
      </c>
      <c r="G1153" s="287">
        <v>1331.06</v>
      </c>
      <c r="H1153" s="1"/>
      <c r="I1153" s="1">
        <f>COUNTIF(Tabela1[NF],Tabela1[[#This Row],[NF]])</f>
        <v>0</v>
      </c>
      <c r="K1153" s="26">
        <f t="shared" si="3"/>
        <v>46027</v>
      </c>
      <c r="N1153" s="14" t="str" cm="1">
        <f t="array" ref="N1153">_xlfn.XLOOKUP(TRIM(D1153),TRIM(DFC!A:A),DFC!A:A,"NÃO ESTÁ NA DFC")</f>
        <v xml:space="preserve">      PEÇAS</v>
      </c>
    </row>
    <row r="1154" spans="1:14" customFormat="1" ht="14.4" x14ac:dyDescent="0.3">
      <c r="A1154" s="24"/>
      <c r="B1154" s="21">
        <v>46027</v>
      </c>
      <c r="C1154" s="21" t="s">
        <v>15</v>
      </c>
      <c r="D1154" s="21" t="s">
        <v>60</v>
      </c>
      <c r="E1154" s="20"/>
      <c r="F1154" s="22" t="s">
        <v>147</v>
      </c>
      <c r="G1154" s="287">
        <v>405.65</v>
      </c>
      <c r="H1154" s="1"/>
      <c r="I1154" s="1">
        <f>COUNTIF(Tabela1[NF],Tabela1[[#This Row],[NF]])</f>
        <v>0</v>
      </c>
      <c r="K1154" s="26">
        <f t="shared" si="3"/>
        <v>46027</v>
      </c>
      <c r="N1154" s="14" t="str" cm="1">
        <f t="array" ref="N1154">_xlfn.XLOOKUP(TRIM(D1154),TRIM(DFC!A:A),DFC!A:A,"NÃO ESTÁ NA DFC")</f>
        <v xml:space="preserve">          ALUGUEL</v>
      </c>
    </row>
    <row r="1155" spans="1:14" customFormat="1" ht="14.4" x14ac:dyDescent="0.3">
      <c r="A1155" s="24"/>
      <c r="B1155" s="21">
        <v>46027</v>
      </c>
      <c r="C1155" s="21" t="s">
        <v>15</v>
      </c>
      <c r="D1155" s="21" t="s">
        <v>19</v>
      </c>
      <c r="E1155" s="20"/>
      <c r="F1155" s="22" t="s">
        <v>301</v>
      </c>
      <c r="G1155" s="287">
        <v>1453.2</v>
      </c>
      <c r="H1155" s="1"/>
      <c r="I1155" s="1">
        <f>COUNTIF(Tabela1[NF],Tabela1[[#This Row],[NF]])</f>
        <v>0</v>
      </c>
      <c r="K1155" s="26">
        <f t="shared" si="3"/>
        <v>46027</v>
      </c>
      <c r="N1155" s="14" t="str" cm="1">
        <f t="array" ref="N1155">_xlfn.XLOOKUP(TRIM(D1155),TRIM(DFC!A:A),DFC!A:A,"NÃO ESTÁ NA DFC")</f>
        <v xml:space="preserve">      PEÇAS</v>
      </c>
    </row>
    <row r="1156" spans="1:14" customFormat="1" ht="14.4" x14ac:dyDescent="0.3">
      <c r="A1156" s="24"/>
      <c r="B1156" s="21">
        <v>46027</v>
      </c>
      <c r="C1156" s="21" t="s">
        <v>15</v>
      </c>
      <c r="D1156" s="21" t="s">
        <v>19</v>
      </c>
      <c r="E1156" s="20"/>
      <c r="F1156" s="22" t="s">
        <v>299</v>
      </c>
      <c r="G1156" s="287">
        <v>1660.69</v>
      </c>
      <c r="H1156" s="1"/>
      <c r="I1156" s="1">
        <f>COUNTIF(Tabela1[NF],Tabela1[[#This Row],[NF]])</f>
        <v>0</v>
      </c>
      <c r="K1156" s="26">
        <f t="shared" si="3"/>
        <v>46027</v>
      </c>
      <c r="N1156" s="14" t="str" cm="1">
        <f t="array" ref="N1156">_xlfn.XLOOKUP(TRIM(D1156),TRIM(DFC!A:A),DFC!A:A,"NÃO ESTÁ NA DFC")</f>
        <v xml:space="preserve">      PEÇAS</v>
      </c>
    </row>
    <row r="1157" spans="1:14" customFormat="1" ht="14.4" x14ac:dyDescent="0.3">
      <c r="A1157" s="24"/>
      <c r="B1157" s="21">
        <v>46027</v>
      </c>
      <c r="C1157" s="21" t="s">
        <v>44</v>
      </c>
      <c r="D1157" s="21" t="s">
        <v>127</v>
      </c>
      <c r="E1157" s="20"/>
      <c r="F1157" s="22" t="s">
        <v>153</v>
      </c>
      <c r="G1157" s="287">
        <v>152</v>
      </c>
      <c r="H1157" s="1"/>
      <c r="I1157" s="1">
        <f>COUNTIF(Tabela1[NF],Tabela1[[#This Row],[NF]])</f>
        <v>0</v>
      </c>
      <c r="K1157" s="26">
        <f t="shared" si="3"/>
        <v>46027</v>
      </c>
      <c r="N1157" s="14" t="str" cm="1">
        <f t="array" ref="N1157">_xlfn.XLOOKUP(TRIM(D1157),TRIM(DFC!A:A),DFC!A:A,"NÃO ESTÁ NA DFC")</f>
        <v xml:space="preserve">          SERVIÇOS DE SEGURANÇA</v>
      </c>
    </row>
    <row r="1158" spans="1:14" customFormat="1" ht="14.4" x14ac:dyDescent="0.3">
      <c r="A1158" s="24"/>
      <c r="B1158" s="21">
        <v>46027</v>
      </c>
      <c r="C1158" s="21" t="s">
        <v>15</v>
      </c>
      <c r="D1158" s="21" t="s">
        <v>29</v>
      </c>
      <c r="E1158" s="20"/>
      <c r="F1158" s="22" t="s">
        <v>505</v>
      </c>
      <c r="G1158" s="287">
        <v>230.4</v>
      </c>
      <c r="H1158" s="1"/>
      <c r="I1158" s="1">
        <f>COUNTIF(Tabela1[NF],Tabela1[[#This Row],[NF]])</f>
        <v>0</v>
      </c>
      <c r="K1158" s="26">
        <f t="shared" si="3"/>
        <v>46027</v>
      </c>
      <c r="N1158" s="14" t="str" cm="1">
        <f t="array" ref="N1158">_xlfn.XLOOKUP(TRIM(D1158),TRIM(DFC!A:A),DFC!A:A,"NÃO ESTÁ NA DFC")</f>
        <v xml:space="preserve">      FRETE DE SAÍDA</v>
      </c>
    </row>
    <row r="1159" spans="1:14" customFormat="1" ht="14.4" x14ac:dyDescent="0.3">
      <c r="A1159" s="24"/>
      <c r="B1159" s="21">
        <v>46027</v>
      </c>
      <c r="C1159" s="21" t="s">
        <v>15</v>
      </c>
      <c r="D1159" s="21" t="s">
        <v>19</v>
      </c>
      <c r="E1159" s="20"/>
      <c r="F1159" s="22" t="s">
        <v>301</v>
      </c>
      <c r="G1159" s="287">
        <v>2002.27</v>
      </c>
      <c r="H1159" s="1"/>
      <c r="I1159" s="1">
        <f>COUNTIF(Tabela1[NF],Tabela1[[#This Row],[NF]])</f>
        <v>0</v>
      </c>
      <c r="K1159" s="26">
        <f t="shared" si="3"/>
        <v>46027</v>
      </c>
      <c r="N1159" s="14" t="str" cm="1">
        <f t="array" ref="N1159">_xlfn.XLOOKUP(TRIM(D1159),TRIM(DFC!A:A),DFC!A:A,"NÃO ESTÁ NA DFC")</f>
        <v xml:space="preserve">      PEÇAS</v>
      </c>
    </row>
    <row r="1160" spans="1:14" customFormat="1" ht="14.4" x14ac:dyDescent="0.3">
      <c r="A1160" s="24"/>
      <c r="B1160" s="21">
        <v>46027</v>
      </c>
      <c r="C1160" s="21" t="s">
        <v>44</v>
      </c>
      <c r="D1160" s="21" t="s">
        <v>65</v>
      </c>
      <c r="E1160" s="20"/>
      <c r="F1160" s="22" t="s">
        <v>103</v>
      </c>
      <c r="G1160" s="287">
        <v>10000</v>
      </c>
      <c r="H1160" s="1"/>
      <c r="I1160" s="1">
        <f>COUNTIF(Tabela1[NF],Tabela1[[#This Row],[NF]])</f>
        <v>0</v>
      </c>
      <c r="K1160" s="26">
        <f t="shared" si="3"/>
        <v>46027</v>
      </c>
      <c r="N1160" s="14" t="str" cm="1">
        <f t="array" ref="N1160">_xlfn.XLOOKUP(TRIM(D1160),TRIM(DFC!A:A),DFC!A:A,"NÃO ESTÁ NA DFC")</f>
        <v xml:space="preserve">          AMORTIZAÇÃO FELIPE </v>
      </c>
    </row>
    <row r="1161" spans="1:14" customFormat="1" ht="14.4" x14ac:dyDescent="0.3">
      <c r="A1161" s="19">
        <v>443343</v>
      </c>
      <c r="B1161" s="21">
        <v>46027</v>
      </c>
      <c r="C1161" s="21" t="s">
        <v>15</v>
      </c>
      <c r="D1161" s="21" t="s">
        <v>19</v>
      </c>
      <c r="E1161" s="20"/>
      <c r="F1161" s="22" t="s">
        <v>310</v>
      </c>
      <c r="G1161" s="252">
        <v>4824</v>
      </c>
      <c r="H1161" s="1"/>
      <c r="I1161" s="1">
        <f>COUNTIF(Tabela1[NF],Tabela1[[#This Row],[NF]])</f>
        <v>4</v>
      </c>
      <c r="K1161" s="26">
        <f t="shared" si="3"/>
        <v>46027</v>
      </c>
      <c r="N1161" s="14" t="str" cm="1">
        <f t="array" ref="N1161">_xlfn.XLOOKUP(TRIM(D1161),TRIM(DFC!A:A),DFC!A:A,"NÃO ESTÁ NA DFC")</f>
        <v xml:space="preserve">      PEÇAS</v>
      </c>
    </row>
    <row r="1162" spans="1:14" customFormat="1" ht="14.4" x14ac:dyDescent="0.3">
      <c r="A1162" s="19">
        <v>619680</v>
      </c>
      <c r="B1162" s="21">
        <v>46027</v>
      </c>
      <c r="C1162" s="21" t="s">
        <v>15</v>
      </c>
      <c r="D1162" s="21" t="s">
        <v>19</v>
      </c>
      <c r="E1162" s="20"/>
      <c r="F1162" s="22" t="s">
        <v>24</v>
      </c>
      <c r="G1162" s="252">
        <v>1968</v>
      </c>
      <c r="H1162" s="1"/>
      <c r="I1162" s="1">
        <f>COUNTIF(Tabela1[NF],Tabela1[[#This Row],[NF]])</f>
        <v>3</v>
      </c>
      <c r="K1162" s="26">
        <f t="shared" si="3"/>
        <v>46027</v>
      </c>
      <c r="N1162" s="14" t="str" cm="1">
        <f t="array" ref="N1162">_xlfn.XLOOKUP(TRIM(D1162),TRIM(DFC!A:A),DFC!A:A,"NÃO ESTÁ NA DFC")</f>
        <v xml:space="preserve">      PEÇAS</v>
      </c>
    </row>
    <row r="1163" spans="1:14" customFormat="1" ht="14.4" x14ac:dyDescent="0.3">
      <c r="A1163" s="19">
        <v>443185</v>
      </c>
      <c r="B1163" s="21">
        <v>46027</v>
      </c>
      <c r="C1163" s="21" t="s">
        <v>15</v>
      </c>
      <c r="D1163" s="21" t="s">
        <v>19</v>
      </c>
      <c r="E1163" s="20"/>
      <c r="F1163" s="22" t="s">
        <v>310</v>
      </c>
      <c r="G1163" s="252">
        <v>4824</v>
      </c>
      <c r="H1163" s="1"/>
      <c r="I1163" s="1">
        <f>COUNTIF(Tabela1[NF],Tabela1[[#This Row],[NF]])</f>
        <v>4</v>
      </c>
      <c r="K1163" s="26">
        <f t="shared" si="3"/>
        <v>46027</v>
      </c>
      <c r="N1163" s="14" t="str" cm="1">
        <f t="array" ref="N1163">_xlfn.XLOOKUP(TRIM(D1163),TRIM(DFC!A:A),DFC!A:A,"NÃO ESTÁ NA DFC")</f>
        <v xml:space="preserve">      PEÇAS</v>
      </c>
    </row>
    <row r="1164" spans="1:14" customFormat="1" ht="14.4" x14ac:dyDescent="0.3">
      <c r="A1164" s="24"/>
      <c r="B1164" s="21">
        <v>46028</v>
      </c>
      <c r="C1164" s="21" t="s">
        <v>15</v>
      </c>
      <c r="D1164" s="21" t="s">
        <v>111</v>
      </c>
      <c r="E1164" s="20"/>
      <c r="F1164" s="22" t="s">
        <v>114</v>
      </c>
      <c r="G1164" s="287">
        <v>10</v>
      </c>
      <c r="H1164" s="1"/>
      <c r="I1164" s="1">
        <f>COUNTIF(Tabela1[NF],Tabela1[[#This Row],[NF]])</f>
        <v>0</v>
      </c>
      <c r="K1164" s="26">
        <f t="shared" si="3"/>
        <v>46028</v>
      </c>
      <c r="N1164" s="14" t="str" cm="1">
        <f t="array" ref="N1164">_xlfn.XLOOKUP(TRIM(D1164),TRIM(DFC!A:A),DFC!A:A,"NÃO ESTÁ NA DFC")</f>
        <v xml:space="preserve">          TX. BANCÁRIA</v>
      </c>
    </row>
    <row r="1165" spans="1:14" customFormat="1" ht="14.4" x14ac:dyDescent="0.3">
      <c r="A1165" s="24"/>
      <c r="B1165" s="21">
        <v>46028</v>
      </c>
      <c r="C1165" s="21" t="s">
        <v>15</v>
      </c>
      <c r="D1165" s="21" t="s">
        <v>40</v>
      </c>
      <c r="E1165" s="20"/>
      <c r="F1165" s="22" t="s">
        <v>560</v>
      </c>
      <c r="G1165" s="287">
        <v>297</v>
      </c>
      <c r="H1165" s="1"/>
      <c r="I1165" s="1">
        <f>COUNTIF(Tabela1[NF],Tabela1[[#This Row],[NF]])</f>
        <v>0</v>
      </c>
      <c r="K1165" s="26">
        <f t="shared" si="3"/>
        <v>46028</v>
      </c>
      <c r="N1165" s="14" t="str" cm="1">
        <f t="array" ref="N1165">_xlfn.XLOOKUP(TRIM(D1165),TRIM(DFC!A:A),DFC!A:A,"NÃO ESTÁ NA DFC")</f>
        <v xml:space="preserve">         SERVIÇO TERCEIRIZADO</v>
      </c>
    </row>
    <row r="1166" spans="1:14" customFormat="1" ht="14.4" x14ac:dyDescent="0.3">
      <c r="A1166" s="24"/>
      <c r="B1166" s="21">
        <v>46028</v>
      </c>
      <c r="C1166" s="21" t="s">
        <v>15</v>
      </c>
      <c r="D1166" s="21" t="s">
        <v>19</v>
      </c>
      <c r="E1166" s="20"/>
      <c r="F1166" s="22" t="s">
        <v>537</v>
      </c>
      <c r="G1166" s="287">
        <v>78</v>
      </c>
      <c r="H1166" s="1"/>
      <c r="I1166" s="1">
        <f>COUNTIF(Tabela1[NF],Tabela1[[#This Row],[NF]])</f>
        <v>0</v>
      </c>
      <c r="K1166" s="26">
        <f t="shared" si="3"/>
        <v>46028</v>
      </c>
      <c r="N1166" s="14" t="str" cm="1">
        <f t="array" ref="N1166">_xlfn.XLOOKUP(TRIM(D1166),TRIM(DFC!A:A),DFC!A:A,"NÃO ESTÁ NA DFC")</f>
        <v xml:space="preserve">      PEÇAS</v>
      </c>
    </row>
    <row r="1167" spans="1:14" customFormat="1" ht="14.4" x14ac:dyDescent="0.3">
      <c r="A1167" s="24"/>
      <c r="B1167" s="21">
        <v>46028</v>
      </c>
      <c r="C1167" s="21" t="s">
        <v>15</v>
      </c>
      <c r="D1167" s="21" t="s">
        <v>156</v>
      </c>
      <c r="E1167" s="20" t="s">
        <v>157</v>
      </c>
      <c r="F1167" s="22" t="s">
        <v>314</v>
      </c>
      <c r="G1167" s="287">
        <v>5515</v>
      </c>
      <c r="H1167" s="1"/>
      <c r="I1167" s="1">
        <f>COUNTIF(Tabela1[NF],Tabela1[[#This Row],[NF]])</f>
        <v>0</v>
      </c>
      <c r="K1167" s="26">
        <f t="shared" si="3"/>
        <v>46028</v>
      </c>
      <c r="N1167" s="14" t="str" cm="1">
        <f t="array" ref="N1167">_xlfn.XLOOKUP(TRIM(D1167),TRIM(DFC!A:A),DFC!A:A,"NÃO ESTÁ NA DFC")</f>
        <v xml:space="preserve">      MONTAGEM DE RODAS</v>
      </c>
    </row>
    <row r="1168" spans="1:14" customFormat="1" ht="14.4" x14ac:dyDescent="0.3">
      <c r="A1168" s="24"/>
      <c r="B1168" s="21">
        <v>46029</v>
      </c>
      <c r="C1168" s="21" t="s">
        <v>15</v>
      </c>
      <c r="D1168" s="21" t="s">
        <v>19</v>
      </c>
      <c r="E1168" s="20"/>
      <c r="F1168" s="22" t="s">
        <v>315</v>
      </c>
      <c r="G1168" s="287">
        <v>3912.09</v>
      </c>
      <c r="H1168" s="1"/>
      <c r="I1168" s="1">
        <f>COUNTIF(Tabela1[NF],Tabela1[[#This Row],[NF]])</f>
        <v>0</v>
      </c>
      <c r="K1168" s="26">
        <f t="shared" si="3"/>
        <v>46029</v>
      </c>
      <c r="N1168" s="14" t="str" cm="1">
        <f t="array" ref="N1168">_xlfn.XLOOKUP(TRIM(D1168),TRIM(DFC!A:A),DFC!A:A,"NÃO ESTÁ NA DFC")</f>
        <v xml:space="preserve">      PEÇAS</v>
      </c>
    </row>
    <row r="1169" spans="1:14" customFormat="1" ht="14.4" x14ac:dyDescent="0.3">
      <c r="A1169" s="24"/>
      <c r="B1169" s="21">
        <v>46029</v>
      </c>
      <c r="C1169" s="21" t="s">
        <v>15</v>
      </c>
      <c r="D1169" s="21" t="s">
        <v>19</v>
      </c>
      <c r="E1169" s="20"/>
      <c r="F1169" s="22" t="s">
        <v>132</v>
      </c>
      <c r="G1169" s="287">
        <v>5907.76</v>
      </c>
      <c r="H1169" s="1"/>
      <c r="I1169" s="1">
        <f>COUNTIF(Tabela1[NF],Tabela1[[#This Row],[NF]])</f>
        <v>0</v>
      </c>
      <c r="K1169" s="26">
        <f t="shared" si="3"/>
        <v>46029</v>
      </c>
      <c r="N1169" s="14" t="str" cm="1">
        <f t="array" ref="N1169">_xlfn.XLOOKUP(TRIM(D1169),TRIM(DFC!A:A),DFC!A:A,"NÃO ESTÁ NA DFC")</f>
        <v xml:space="preserve">      PEÇAS</v>
      </c>
    </row>
    <row r="1170" spans="1:14" customFormat="1" ht="14.4" x14ac:dyDescent="0.3">
      <c r="A1170" s="24"/>
      <c r="B1170" s="21">
        <v>46029</v>
      </c>
      <c r="C1170" s="21" t="s">
        <v>15</v>
      </c>
      <c r="D1170" s="21" t="s">
        <v>154</v>
      </c>
      <c r="E1170" s="20"/>
      <c r="F1170" s="22" t="s">
        <v>299</v>
      </c>
      <c r="G1170" s="287">
        <v>1471.56</v>
      </c>
      <c r="H1170" s="1"/>
      <c r="I1170" s="1">
        <f>COUNTIF(Tabela1[NF],Tabela1[[#This Row],[NF]])</f>
        <v>0</v>
      </c>
      <c r="K1170" s="26">
        <f t="shared" si="3"/>
        <v>46029</v>
      </c>
      <c r="N1170" s="14" t="str" cm="1">
        <f t="array" ref="N1170">_xlfn.XLOOKUP(TRIM(D1170),TRIM(DFC!A:A),DFC!A:A,"NÃO ESTÁ NA DFC")</f>
        <v xml:space="preserve">      EMBALAGENS</v>
      </c>
    </row>
    <row r="1171" spans="1:14" customFormat="1" ht="14.4" x14ac:dyDescent="0.3">
      <c r="A1171" s="24"/>
      <c r="B1171" s="21">
        <v>46029</v>
      </c>
      <c r="C1171" s="21" t="s">
        <v>15</v>
      </c>
      <c r="D1171" s="21" t="s">
        <v>19</v>
      </c>
      <c r="E1171" s="20"/>
      <c r="F1171" s="22" t="s">
        <v>315</v>
      </c>
      <c r="G1171" s="287">
        <v>11736.27</v>
      </c>
      <c r="H1171" s="1"/>
      <c r="I1171" s="1">
        <f>COUNTIF(Tabela1[NF],Tabela1[[#This Row],[NF]])</f>
        <v>0</v>
      </c>
      <c r="K1171" s="26">
        <f t="shared" si="3"/>
        <v>46029</v>
      </c>
      <c r="N1171" s="14" t="str" cm="1">
        <f t="array" ref="N1171">_xlfn.XLOOKUP(TRIM(D1171),TRIM(DFC!A:A),DFC!A:A,"NÃO ESTÁ NA DFC")</f>
        <v xml:space="preserve">      PEÇAS</v>
      </c>
    </row>
    <row r="1172" spans="1:14" customFormat="1" ht="14.4" x14ac:dyDescent="0.3">
      <c r="A1172" s="24"/>
      <c r="B1172" s="21">
        <v>46029</v>
      </c>
      <c r="C1172" s="21" t="s">
        <v>15</v>
      </c>
      <c r="D1172" s="21" t="s">
        <v>154</v>
      </c>
      <c r="E1172" s="20"/>
      <c r="F1172" s="22" t="s">
        <v>302</v>
      </c>
      <c r="G1172" s="287">
        <v>3644.14</v>
      </c>
      <c r="H1172" s="1"/>
      <c r="I1172" s="1">
        <f>COUNTIF(Tabela1[NF],Tabela1[[#This Row],[NF]])</f>
        <v>0</v>
      </c>
      <c r="K1172" s="26">
        <f t="shared" si="3"/>
        <v>46029</v>
      </c>
      <c r="N1172" s="14" t="str" cm="1">
        <f t="array" ref="N1172">_xlfn.XLOOKUP(TRIM(D1172),TRIM(DFC!A:A),DFC!A:A,"NÃO ESTÁ NA DFC")</f>
        <v xml:space="preserve">      EMBALAGENS</v>
      </c>
    </row>
    <row r="1173" spans="1:14" customFormat="1" ht="14.4" x14ac:dyDescent="0.3">
      <c r="A1173" s="24"/>
      <c r="B1173" s="21">
        <v>46029</v>
      </c>
      <c r="C1173" s="21" t="s">
        <v>15</v>
      </c>
      <c r="D1173" s="21" t="s">
        <v>19</v>
      </c>
      <c r="E1173" s="20"/>
      <c r="F1173" s="22" t="s">
        <v>300</v>
      </c>
      <c r="G1173" s="287">
        <v>4203.41</v>
      </c>
      <c r="H1173" s="1"/>
      <c r="I1173" s="1">
        <f>COUNTIF(Tabela1[NF],Tabela1[[#This Row],[NF]])</f>
        <v>0</v>
      </c>
      <c r="K1173" s="26">
        <f t="shared" si="3"/>
        <v>46029</v>
      </c>
      <c r="N1173" s="14" t="str" cm="1">
        <f t="array" ref="N1173">_xlfn.XLOOKUP(TRIM(D1173),TRIM(DFC!A:A),DFC!A:A,"NÃO ESTÁ NA DFC")</f>
        <v xml:space="preserve">      PEÇAS</v>
      </c>
    </row>
    <row r="1174" spans="1:14" customFormat="1" ht="14.4" x14ac:dyDescent="0.3">
      <c r="A1174" s="24"/>
      <c r="B1174" s="21">
        <v>46029</v>
      </c>
      <c r="C1174" s="21" t="s">
        <v>15</v>
      </c>
      <c r="D1174" s="21" t="s">
        <v>29</v>
      </c>
      <c r="E1174" s="20"/>
      <c r="F1174" s="22" t="s">
        <v>515</v>
      </c>
      <c r="G1174" s="287">
        <v>130.22</v>
      </c>
      <c r="H1174" s="1"/>
      <c r="I1174" s="1">
        <f>COUNTIF(Tabela1[NF],Tabela1[[#This Row],[NF]])</f>
        <v>0</v>
      </c>
      <c r="K1174" s="26">
        <f t="shared" si="3"/>
        <v>46029</v>
      </c>
      <c r="N1174" s="14" t="str" cm="1">
        <f t="array" ref="N1174">_xlfn.XLOOKUP(TRIM(D1174),TRIM(DFC!A:A),DFC!A:A,"NÃO ESTÁ NA DFC")</f>
        <v xml:space="preserve">      FRETE DE SAÍDA</v>
      </c>
    </row>
    <row r="1175" spans="1:14" customFormat="1" ht="14.4" x14ac:dyDescent="0.3">
      <c r="A1175" s="24"/>
      <c r="B1175" s="21">
        <v>46029</v>
      </c>
      <c r="C1175" s="21" t="s">
        <v>15</v>
      </c>
      <c r="D1175" s="21" t="s">
        <v>117</v>
      </c>
      <c r="E1175" s="20"/>
      <c r="F1175" s="22" t="s">
        <v>321</v>
      </c>
      <c r="G1175" s="287">
        <v>3156.52</v>
      </c>
      <c r="H1175" s="1"/>
      <c r="I1175" s="1">
        <f>COUNTIF(Tabela1[NF],Tabela1[[#This Row],[NF]])</f>
        <v>0</v>
      </c>
      <c r="K1175" s="26">
        <f t="shared" si="3"/>
        <v>46029</v>
      </c>
      <c r="N1175" s="14" t="str" cm="1">
        <f t="array" ref="N1175">_xlfn.XLOOKUP(TRIM(D1175),TRIM(DFC!A:A),DFC!A:A,"NÃO ESTÁ NA DFC")</f>
        <v xml:space="preserve">          SALÁRIOS</v>
      </c>
    </row>
    <row r="1176" spans="1:14" customFormat="1" ht="14.4" x14ac:dyDescent="0.3">
      <c r="A1176" s="24"/>
      <c r="B1176" s="21">
        <v>46029</v>
      </c>
      <c r="C1176" s="21" t="s">
        <v>15</v>
      </c>
      <c r="D1176" s="21" t="s">
        <v>117</v>
      </c>
      <c r="E1176" s="20"/>
      <c r="F1176" s="22" t="s">
        <v>326</v>
      </c>
      <c r="G1176" s="287">
        <v>2490.42</v>
      </c>
      <c r="H1176" s="1"/>
      <c r="I1176" s="1">
        <f>COUNTIF(Tabela1[NF],Tabela1[[#This Row],[NF]])</f>
        <v>0</v>
      </c>
      <c r="K1176" s="26">
        <f t="shared" si="3"/>
        <v>46029</v>
      </c>
      <c r="N1176" s="14" t="str" cm="1">
        <f t="array" ref="N1176">_xlfn.XLOOKUP(TRIM(D1176),TRIM(DFC!A:A),DFC!A:A,"NÃO ESTÁ NA DFC")</f>
        <v xml:space="preserve">          SALÁRIOS</v>
      </c>
    </row>
    <row r="1177" spans="1:14" customFormat="1" ht="14.4" x14ac:dyDescent="0.3">
      <c r="A1177" s="24"/>
      <c r="B1177" s="21">
        <v>46029</v>
      </c>
      <c r="C1177" s="21" t="s">
        <v>15</v>
      </c>
      <c r="D1177" s="21" t="s">
        <v>117</v>
      </c>
      <c r="E1177" s="20"/>
      <c r="F1177" s="22" t="s">
        <v>327</v>
      </c>
      <c r="G1177" s="287">
        <v>1554.98</v>
      </c>
      <c r="H1177" s="1"/>
      <c r="I1177" s="1">
        <f>COUNTIF(Tabela1[NF],Tabela1[[#This Row],[NF]])</f>
        <v>0</v>
      </c>
      <c r="K1177" s="26">
        <f t="shared" ref="K1177:K1208" si="4">B1177</f>
        <v>46029</v>
      </c>
      <c r="N1177" s="14" t="str" cm="1">
        <f t="array" ref="N1177">_xlfn.XLOOKUP(TRIM(D1177),TRIM(DFC!A:A),DFC!A:A,"NÃO ESTÁ NA DFC")</f>
        <v xml:space="preserve">          SALÁRIOS</v>
      </c>
    </row>
    <row r="1178" spans="1:14" customFormat="1" ht="14.4" x14ac:dyDescent="0.3">
      <c r="A1178" s="24"/>
      <c r="B1178" s="21">
        <v>46029</v>
      </c>
      <c r="C1178" s="21" t="s">
        <v>15</v>
      </c>
      <c r="D1178" s="21" t="s">
        <v>117</v>
      </c>
      <c r="E1178" s="20"/>
      <c r="F1178" s="22" t="s">
        <v>324</v>
      </c>
      <c r="G1178" s="287">
        <v>2440.25</v>
      </c>
      <c r="H1178" s="1"/>
      <c r="I1178" s="1">
        <f>COUNTIF(Tabela1[NF],Tabela1[[#This Row],[NF]])</f>
        <v>0</v>
      </c>
      <c r="K1178" s="26">
        <f t="shared" si="4"/>
        <v>46029</v>
      </c>
      <c r="N1178" s="14" t="str" cm="1">
        <f t="array" ref="N1178">_xlfn.XLOOKUP(TRIM(D1178),TRIM(DFC!A:A),DFC!A:A,"NÃO ESTÁ NA DFC")</f>
        <v xml:space="preserve">          SALÁRIOS</v>
      </c>
    </row>
    <row r="1179" spans="1:14" customFormat="1" ht="14.4" x14ac:dyDescent="0.3">
      <c r="A1179" s="24"/>
      <c r="B1179" s="21">
        <v>46029</v>
      </c>
      <c r="C1179" s="21" t="s">
        <v>15</v>
      </c>
      <c r="D1179" s="21" t="s">
        <v>19</v>
      </c>
      <c r="E1179" s="20"/>
      <c r="F1179" s="22" t="s">
        <v>300</v>
      </c>
      <c r="G1179" s="287">
        <v>10498.03</v>
      </c>
      <c r="H1179" s="1"/>
      <c r="I1179" s="1">
        <f>COUNTIF(Tabela1[NF],Tabela1[[#This Row],[NF]])</f>
        <v>0</v>
      </c>
      <c r="K1179" s="26">
        <f t="shared" si="4"/>
        <v>46029</v>
      </c>
      <c r="N1179" s="14" t="str" cm="1">
        <f t="array" ref="N1179">_xlfn.XLOOKUP(TRIM(D1179),TRIM(DFC!A:A),DFC!A:A,"NÃO ESTÁ NA DFC")</f>
        <v xml:space="preserve">      PEÇAS</v>
      </c>
    </row>
    <row r="1180" spans="1:14" customFormat="1" ht="14.4" x14ac:dyDescent="0.3">
      <c r="A1180" s="24"/>
      <c r="B1180" s="21">
        <v>46029</v>
      </c>
      <c r="C1180" s="21" t="s">
        <v>15</v>
      </c>
      <c r="D1180" s="21" t="s">
        <v>19</v>
      </c>
      <c r="E1180" s="20"/>
      <c r="F1180" s="22" t="s">
        <v>301</v>
      </c>
      <c r="G1180" s="287">
        <v>5560.16</v>
      </c>
      <c r="H1180" s="1"/>
      <c r="I1180" s="1">
        <f>COUNTIF(Tabela1[NF],Tabela1[[#This Row],[NF]])</f>
        <v>0</v>
      </c>
      <c r="K1180" s="26">
        <f t="shared" si="4"/>
        <v>46029</v>
      </c>
      <c r="N1180" s="14" t="str" cm="1">
        <f t="array" ref="N1180">_xlfn.XLOOKUP(TRIM(D1180),TRIM(DFC!A:A),DFC!A:A,"NÃO ESTÁ NA DFC")</f>
        <v xml:space="preserve">      PEÇAS</v>
      </c>
    </row>
    <row r="1181" spans="1:14" customFormat="1" ht="14.4" x14ac:dyDescent="0.3">
      <c r="A1181" s="24"/>
      <c r="B1181" s="21">
        <v>46029</v>
      </c>
      <c r="C1181" s="21" t="s">
        <v>15</v>
      </c>
      <c r="D1181" s="21" t="s">
        <v>19</v>
      </c>
      <c r="E1181" s="20"/>
      <c r="F1181" s="22" t="s">
        <v>300</v>
      </c>
      <c r="G1181" s="287">
        <v>12362.99</v>
      </c>
      <c r="H1181" s="1"/>
      <c r="I1181" s="1">
        <f>COUNTIF(Tabela1[NF],Tabela1[[#This Row],[NF]])</f>
        <v>0</v>
      </c>
      <c r="K1181" s="26">
        <f t="shared" si="4"/>
        <v>46029</v>
      </c>
      <c r="N1181" s="14" t="str" cm="1">
        <f t="array" ref="N1181">_xlfn.XLOOKUP(TRIM(D1181),TRIM(DFC!A:A),DFC!A:A,"NÃO ESTÁ NA DFC")</f>
        <v xml:space="preserve">      PEÇAS</v>
      </c>
    </row>
    <row r="1182" spans="1:14" customFormat="1" ht="14.4" x14ac:dyDescent="0.3">
      <c r="A1182" s="24"/>
      <c r="B1182" s="21">
        <v>46029</v>
      </c>
      <c r="C1182" s="21" t="s">
        <v>15</v>
      </c>
      <c r="D1182" s="21" t="s">
        <v>117</v>
      </c>
      <c r="E1182" s="20"/>
      <c r="F1182" s="22" t="s">
        <v>319</v>
      </c>
      <c r="G1182" s="287">
        <v>1407.97</v>
      </c>
      <c r="H1182" s="1"/>
      <c r="I1182" s="1">
        <f>COUNTIF(Tabela1[NF],Tabela1[[#This Row],[NF]])</f>
        <v>0</v>
      </c>
      <c r="K1182" s="26">
        <f t="shared" si="4"/>
        <v>46029</v>
      </c>
      <c r="N1182" s="14" t="str" cm="1">
        <f t="array" ref="N1182">_xlfn.XLOOKUP(TRIM(D1182),TRIM(DFC!A:A),DFC!A:A,"NÃO ESTÁ NA DFC")</f>
        <v xml:space="preserve">          SALÁRIOS</v>
      </c>
    </row>
    <row r="1183" spans="1:14" customFormat="1" ht="14.4" x14ac:dyDescent="0.3">
      <c r="A1183" s="24"/>
      <c r="B1183" s="21">
        <v>46029</v>
      </c>
      <c r="C1183" s="21" t="s">
        <v>15</v>
      </c>
      <c r="D1183" s="21" t="s">
        <v>117</v>
      </c>
      <c r="E1183" s="20"/>
      <c r="F1183" s="22" t="s">
        <v>320</v>
      </c>
      <c r="G1183" s="287">
        <v>1554.62</v>
      </c>
      <c r="H1183" s="1"/>
      <c r="I1183" s="1">
        <f>COUNTIF(Tabela1[NF],Tabela1[[#This Row],[NF]])</f>
        <v>0</v>
      </c>
      <c r="K1183" s="26">
        <f t="shared" si="4"/>
        <v>46029</v>
      </c>
      <c r="N1183" s="14" t="str" cm="1">
        <f t="array" ref="N1183">_xlfn.XLOOKUP(TRIM(D1183),TRIM(DFC!A:A),DFC!A:A,"NÃO ESTÁ NA DFC")</f>
        <v xml:space="preserve">          SALÁRIOS</v>
      </c>
    </row>
    <row r="1184" spans="1:14" customFormat="1" ht="14.4" x14ac:dyDescent="0.3">
      <c r="A1184" s="24"/>
      <c r="B1184" s="21">
        <v>46029</v>
      </c>
      <c r="C1184" s="21" t="s">
        <v>15</v>
      </c>
      <c r="D1184" s="21" t="s">
        <v>92</v>
      </c>
      <c r="E1184" s="20" t="s">
        <v>561</v>
      </c>
      <c r="F1184" s="22" t="s">
        <v>398</v>
      </c>
      <c r="G1184" s="287">
        <v>1165.3699999999999</v>
      </c>
      <c r="H1184" s="1"/>
      <c r="I1184" s="1">
        <f>COUNTIF(Tabela1[NF],Tabela1[[#This Row],[NF]])</f>
        <v>0</v>
      </c>
      <c r="K1184" s="26">
        <f t="shared" si="4"/>
        <v>46029</v>
      </c>
      <c r="N1184" s="14" t="str" cm="1">
        <f t="array" ref="N1184">_xlfn.XLOOKUP(TRIM(D1184),TRIM(DFC!A:A),DFC!A:A,"NÃO ESTÁ NA DFC")</f>
        <v xml:space="preserve">          INSS</v>
      </c>
    </row>
    <row r="1185" spans="1:14" customFormat="1" ht="14.4" x14ac:dyDescent="0.3">
      <c r="A1185" s="24"/>
      <c r="B1185" s="21">
        <v>46029</v>
      </c>
      <c r="C1185" s="21" t="s">
        <v>15</v>
      </c>
      <c r="D1185" s="21" t="s">
        <v>86</v>
      </c>
      <c r="E1185" s="20" t="s">
        <v>562</v>
      </c>
      <c r="F1185" s="22" t="s">
        <v>399</v>
      </c>
      <c r="G1185" s="287">
        <v>2913.37</v>
      </c>
      <c r="H1185" s="1"/>
      <c r="I1185" s="1">
        <f>COUNTIF(Tabela1[NF],Tabela1[[#This Row],[NF]])</f>
        <v>0</v>
      </c>
      <c r="K1185" s="26">
        <f t="shared" si="4"/>
        <v>46029</v>
      </c>
      <c r="N1185" s="14" t="str" cm="1">
        <f t="array" ref="N1185">_xlfn.XLOOKUP(TRIM(D1185),TRIM(DFC!A:A),DFC!A:A,"NÃO ESTÁ NA DFC")</f>
        <v xml:space="preserve">          FGTS</v>
      </c>
    </row>
    <row r="1186" spans="1:14" customFormat="1" ht="14.4" x14ac:dyDescent="0.3">
      <c r="A1186" s="24"/>
      <c r="B1186" s="21">
        <v>46029</v>
      </c>
      <c r="C1186" s="21" t="s">
        <v>15</v>
      </c>
      <c r="D1186" s="21" t="s">
        <v>92</v>
      </c>
      <c r="E1186" s="20" t="s">
        <v>563</v>
      </c>
      <c r="F1186" s="22" t="s">
        <v>398</v>
      </c>
      <c r="G1186" s="287">
        <v>3066.88</v>
      </c>
      <c r="H1186" s="1"/>
      <c r="I1186" s="1">
        <f>COUNTIF(Tabela1[NF],Tabela1[[#This Row],[NF]])</f>
        <v>0</v>
      </c>
      <c r="K1186" s="26">
        <f t="shared" si="4"/>
        <v>46029</v>
      </c>
      <c r="N1186" s="14" t="str" cm="1">
        <f t="array" ref="N1186">_xlfn.XLOOKUP(TRIM(D1186),TRIM(DFC!A:A),DFC!A:A,"NÃO ESTÁ NA DFC")</f>
        <v xml:space="preserve">          INSS</v>
      </c>
    </row>
    <row r="1187" spans="1:14" customFormat="1" ht="14.4" x14ac:dyDescent="0.3">
      <c r="A1187" s="24"/>
      <c r="B1187" s="21">
        <v>46029</v>
      </c>
      <c r="C1187" s="21" t="s">
        <v>15</v>
      </c>
      <c r="D1187" s="21" t="s">
        <v>117</v>
      </c>
      <c r="E1187" s="20"/>
      <c r="F1187" s="22" t="s">
        <v>322</v>
      </c>
      <c r="G1187" s="287">
        <v>1488.88</v>
      </c>
      <c r="H1187" s="1"/>
      <c r="I1187" s="1">
        <f>COUNTIF(Tabela1[NF],Tabela1[[#This Row],[NF]])</f>
        <v>0</v>
      </c>
      <c r="K1187" s="26">
        <f t="shared" si="4"/>
        <v>46029</v>
      </c>
      <c r="N1187" s="14" t="str" cm="1">
        <f t="array" ref="N1187">_xlfn.XLOOKUP(TRIM(D1187),TRIM(DFC!A:A),DFC!A:A,"NÃO ESTÁ NA DFC")</f>
        <v xml:space="preserve">          SALÁRIOS</v>
      </c>
    </row>
    <row r="1188" spans="1:14" customFormat="1" ht="14.4" x14ac:dyDescent="0.3">
      <c r="A1188" s="24"/>
      <c r="B1188" s="21">
        <v>46029</v>
      </c>
      <c r="C1188" s="21" t="s">
        <v>15</v>
      </c>
      <c r="D1188" s="21" t="s">
        <v>86</v>
      </c>
      <c r="E1188" s="20" t="s">
        <v>564</v>
      </c>
      <c r="F1188" s="22" t="s">
        <v>399</v>
      </c>
      <c r="G1188" s="287">
        <v>573.38</v>
      </c>
      <c r="H1188" s="1"/>
      <c r="I1188" s="1">
        <f>COUNTIF(Tabela1[NF],Tabela1[[#This Row],[NF]])</f>
        <v>0</v>
      </c>
      <c r="K1188" s="26">
        <f t="shared" si="4"/>
        <v>46029</v>
      </c>
      <c r="N1188" s="14" t="str" cm="1">
        <f t="array" ref="N1188">_xlfn.XLOOKUP(TRIM(D1188),TRIM(DFC!A:A),DFC!A:A,"NÃO ESTÁ NA DFC")</f>
        <v xml:space="preserve">          FGTS</v>
      </c>
    </row>
    <row r="1189" spans="1:14" customFormat="1" ht="14.4" x14ac:dyDescent="0.3">
      <c r="A1189" s="19">
        <v>436412</v>
      </c>
      <c r="B1189" s="21">
        <v>46029</v>
      </c>
      <c r="C1189" s="21" t="s">
        <v>15</v>
      </c>
      <c r="D1189" s="21" t="s">
        <v>19</v>
      </c>
      <c r="E1189" s="20"/>
      <c r="F1189" s="22" t="s">
        <v>24</v>
      </c>
      <c r="G1189" s="252">
        <v>5198.24</v>
      </c>
      <c r="H1189" s="1"/>
      <c r="I1189" s="1">
        <f>COUNTIF(Tabela1[NF],Tabela1[[#This Row],[NF]])</f>
        <v>5</v>
      </c>
      <c r="K1189" s="26">
        <f t="shared" si="4"/>
        <v>46029</v>
      </c>
      <c r="N1189" s="14" t="str" cm="1">
        <f t="array" ref="N1189">_xlfn.XLOOKUP(TRIM(D1189),TRIM(DFC!A:A),DFC!A:A,"NÃO ESTÁ NA DFC")</f>
        <v xml:space="preserve">      PEÇAS</v>
      </c>
    </row>
    <row r="1190" spans="1:14" customFormat="1" ht="14.4" x14ac:dyDescent="0.3">
      <c r="A1190" s="19">
        <v>436358</v>
      </c>
      <c r="B1190" s="21">
        <v>46029</v>
      </c>
      <c r="C1190" s="21" t="s">
        <v>15</v>
      </c>
      <c r="D1190" s="21" t="s">
        <v>19</v>
      </c>
      <c r="E1190" s="20"/>
      <c r="F1190" s="22" t="s">
        <v>24</v>
      </c>
      <c r="G1190" s="252">
        <v>6163.92</v>
      </c>
      <c r="H1190" s="1"/>
      <c r="I1190" s="1">
        <f>COUNTIF(Tabela1[NF],Tabela1[[#This Row],[NF]])</f>
        <v>5</v>
      </c>
      <c r="K1190" s="26">
        <f t="shared" si="4"/>
        <v>46029</v>
      </c>
      <c r="N1190" s="14" t="str" cm="1">
        <f t="array" ref="N1190">_xlfn.XLOOKUP(TRIM(D1190),TRIM(DFC!A:A),DFC!A:A,"NÃO ESTÁ NA DFC")</f>
        <v xml:space="preserve">      PEÇAS</v>
      </c>
    </row>
    <row r="1191" spans="1:14" customFormat="1" ht="14.4" x14ac:dyDescent="0.3">
      <c r="A1191" s="19">
        <v>436655</v>
      </c>
      <c r="B1191" s="21">
        <v>46029</v>
      </c>
      <c r="C1191" s="21" t="s">
        <v>15</v>
      </c>
      <c r="D1191" s="21" t="s">
        <v>19</v>
      </c>
      <c r="E1191" s="20"/>
      <c r="F1191" s="22" t="s">
        <v>30</v>
      </c>
      <c r="G1191" s="252">
        <v>29585.46</v>
      </c>
      <c r="H1191" s="1"/>
      <c r="I1191" s="1">
        <f>COUNTIF(Tabela1[NF],Tabela1[[#This Row],[NF]])</f>
        <v>5</v>
      </c>
      <c r="K1191" s="26">
        <f t="shared" si="4"/>
        <v>46029</v>
      </c>
      <c r="N1191" s="14" t="str" cm="1">
        <f t="array" ref="N1191">_xlfn.XLOOKUP(TRIM(D1191),TRIM(DFC!A:A),DFC!A:A,"NÃO ESTÁ NA DFC")</f>
        <v xml:space="preserve">      PEÇAS</v>
      </c>
    </row>
    <row r="1192" spans="1:14" customFormat="1" ht="14.4" x14ac:dyDescent="0.3">
      <c r="A1192" s="19">
        <v>449811</v>
      </c>
      <c r="B1192" s="21">
        <v>46029</v>
      </c>
      <c r="C1192" s="21" t="s">
        <v>15</v>
      </c>
      <c r="D1192" s="21" t="s">
        <v>19</v>
      </c>
      <c r="E1192" s="20"/>
      <c r="F1192" s="22" t="s">
        <v>310</v>
      </c>
      <c r="G1192" s="252">
        <v>7913.52</v>
      </c>
      <c r="H1192" s="1"/>
      <c r="I1192" s="1">
        <f>COUNTIF(Tabela1[NF],Tabela1[[#This Row],[NF]])</f>
        <v>3</v>
      </c>
      <c r="K1192" s="26">
        <f t="shared" si="4"/>
        <v>46029</v>
      </c>
      <c r="N1192" s="14" t="str" cm="1">
        <f t="array" ref="N1192">_xlfn.XLOOKUP(TRIM(D1192),TRIM(DFC!A:A),DFC!A:A,"NÃO ESTÁ NA DFC")</f>
        <v xml:space="preserve">      PEÇAS</v>
      </c>
    </row>
    <row r="1193" spans="1:14" customFormat="1" ht="14.4" x14ac:dyDescent="0.3">
      <c r="A1193" s="24"/>
      <c r="B1193" s="21">
        <v>46030</v>
      </c>
      <c r="C1193" s="21" t="s">
        <v>15</v>
      </c>
      <c r="D1193" s="21" t="s">
        <v>19</v>
      </c>
      <c r="E1193" s="20"/>
      <c r="F1193" s="22" t="s">
        <v>228</v>
      </c>
      <c r="G1193" s="252">
        <v>1354.35</v>
      </c>
      <c r="H1193" s="1"/>
      <c r="I1193" s="1">
        <f>COUNTIF(Tabela1[NF],Tabela1[[#This Row],[NF]])</f>
        <v>0</v>
      </c>
      <c r="K1193" s="26">
        <f t="shared" si="4"/>
        <v>46030</v>
      </c>
      <c r="N1193" s="14" t="str" cm="1">
        <f t="array" ref="N1193">_xlfn.XLOOKUP(TRIM(D1193),TRIM(DFC!A:A),DFC!A:A,"NÃO ESTÁ NA DFC")</f>
        <v xml:space="preserve">      PEÇAS</v>
      </c>
    </row>
    <row r="1194" spans="1:14" customFormat="1" ht="14.4" x14ac:dyDescent="0.3">
      <c r="A1194" s="24"/>
      <c r="B1194" s="21">
        <v>46030</v>
      </c>
      <c r="C1194" s="21" t="s">
        <v>15</v>
      </c>
      <c r="D1194" s="21" t="s">
        <v>19</v>
      </c>
      <c r="E1194" s="20"/>
      <c r="F1194" s="22" t="s">
        <v>300</v>
      </c>
      <c r="G1194" s="252">
        <v>1211.26</v>
      </c>
      <c r="H1194" s="1"/>
      <c r="I1194" s="1">
        <f>COUNTIF(Tabela1[NF],Tabela1[[#This Row],[NF]])</f>
        <v>0</v>
      </c>
      <c r="K1194" s="26">
        <f t="shared" si="4"/>
        <v>46030</v>
      </c>
      <c r="N1194" s="14" t="str" cm="1">
        <f t="array" ref="N1194">_xlfn.XLOOKUP(TRIM(D1194),TRIM(DFC!A:A),DFC!A:A,"NÃO ESTÁ NA DFC")</f>
        <v xml:space="preserve">      PEÇAS</v>
      </c>
    </row>
    <row r="1195" spans="1:14" customFormat="1" ht="14.4" x14ac:dyDescent="0.3">
      <c r="A1195" s="24"/>
      <c r="B1195" s="21">
        <v>46030</v>
      </c>
      <c r="C1195" s="21" t="s">
        <v>15</v>
      </c>
      <c r="D1195" s="21" t="s">
        <v>19</v>
      </c>
      <c r="E1195" s="20"/>
      <c r="F1195" s="22" t="s">
        <v>483</v>
      </c>
      <c r="G1195" s="252">
        <v>1899.21</v>
      </c>
      <c r="H1195" s="1"/>
      <c r="I1195" s="1">
        <f>COUNTIF(Tabela1[NF],Tabela1[[#This Row],[NF]])</f>
        <v>0</v>
      </c>
      <c r="K1195" s="26">
        <f t="shared" si="4"/>
        <v>46030</v>
      </c>
      <c r="N1195" s="14" t="str" cm="1">
        <f t="array" ref="N1195">_xlfn.XLOOKUP(TRIM(D1195),TRIM(DFC!A:A),DFC!A:A,"NÃO ESTÁ NA DFC")</f>
        <v xml:space="preserve">      PEÇAS</v>
      </c>
    </row>
    <row r="1196" spans="1:14" customFormat="1" ht="14.4" x14ac:dyDescent="0.3">
      <c r="A1196" s="24"/>
      <c r="B1196" s="21">
        <v>46030</v>
      </c>
      <c r="C1196" s="21" t="s">
        <v>15</v>
      </c>
      <c r="D1196" s="21" t="s">
        <v>117</v>
      </c>
      <c r="E1196" s="20"/>
      <c r="F1196" s="22" t="s">
        <v>565</v>
      </c>
      <c r="G1196" s="252">
        <v>2284.5300000000002</v>
      </c>
      <c r="H1196" s="1"/>
      <c r="I1196" s="1">
        <f>COUNTIF(Tabela1[NF],Tabela1[[#This Row],[NF]])</f>
        <v>0</v>
      </c>
      <c r="K1196" s="26">
        <f t="shared" si="4"/>
        <v>46030</v>
      </c>
      <c r="N1196" s="14" t="str" cm="1">
        <f t="array" ref="N1196">_xlfn.XLOOKUP(TRIM(D1196),TRIM(DFC!A:A),DFC!A:A,"NÃO ESTÁ NA DFC")</f>
        <v xml:space="preserve">          SALÁRIOS</v>
      </c>
    </row>
    <row r="1197" spans="1:14" customFormat="1" ht="14.4" x14ac:dyDescent="0.3">
      <c r="A1197" s="24"/>
      <c r="B1197" s="21">
        <v>46030</v>
      </c>
      <c r="C1197" s="21" t="s">
        <v>15</v>
      </c>
      <c r="D1197" s="21" t="s">
        <v>117</v>
      </c>
      <c r="E1197" s="20"/>
      <c r="F1197" s="22" t="s">
        <v>327</v>
      </c>
      <c r="G1197" s="252">
        <v>1333.74</v>
      </c>
      <c r="H1197" s="1"/>
      <c r="I1197" s="1">
        <f>COUNTIF(Tabela1[NF],Tabela1[[#This Row],[NF]])</f>
        <v>0</v>
      </c>
      <c r="K1197" s="26">
        <f t="shared" si="4"/>
        <v>46030</v>
      </c>
      <c r="N1197" s="14" t="str" cm="1">
        <f t="array" ref="N1197">_xlfn.XLOOKUP(TRIM(D1197),TRIM(DFC!A:A),DFC!A:A,"NÃO ESTÁ NA DFC")</f>
        <v xml:space="preserve">          SALÁRIOS</v>
      </c>
    </row>
    <row r="1198" spans="1:14" customFormat="1" ht="14.4" x14ac:dyDescent="0.3">
      <c r="A1198" s="24"/>
      <c r="B1198" s="21">
        <v>46030</v>
      </c>
      <c r="C1198" s="21" t="s">
        <v>15</v>
      </c>
      <c r="D1198" s="21" t="s">
        <v>137</v>
      </c>
      <c r="E1198" s="20"/>
      <c r="F1198" s="22" t="s">
        <v>323</v>
      </c>
      <c r="G1198" s="252">
        <v>1680</v>
      </c>
      <c r="H1198" s="1"/>
      <c r="I1198" s="1">
        <f>COUNTIF(Tabela1[NF],Tabela1[[#This Row],[NF]])</f>
        <v>0</v>
      </c>
      <c r="K1198" s="26">
        <f t="shared" si="4"/>
        <v>46030</v>
      </c>
      <c r="N1198" s="14" t="str" cm="1">
        <f t="array" ref="N1198">_xlfn.XLOOKUP(TRIM(D1198),TRIM(DFC!A:A),DFC!A:A,"NÃO ESTÁ NA DFC")</f>
        <v xml:space="preserve">          TICKET ALIMENTAÇÃO</v>
      </c>
    </row>
    <row r="1199" spans="1:14" customFormat="1" ht="14.4" x14ac:dyDescent="0.3">
      <c r="A1199" s="24"/>
      <c r="B1199" s="84">
        <v>46030</v>
      </c>
      <c r="C1199" s="21" t="s">
        <v>15</v>
      </c>
      <c r="D1199" s="84" t="s">
        <v>18</v>
      </c>
      <c r="E1199" s="81"/>
      <c r="F1199" s="85" t="s">
        <v>460</v>
      </c>
      <c r="G1199" s="255">
        <v>6875</v>
      </c>
      <c r="H1199" s="1"/>
      <c r="I1199" s="1">
        <f>COUNTIF(Tabela1[NF],Tabela1[[#This Row],[NF]])</f>
        <v>0</v>
      </c>
      <c r="K1199" s="26">
        <f t="shared" si="4"/>
        <v>46030</v>
      </c>
      <c r="N1199" s="14" t="str" cm="1">
        <f t="array" ref="N1199">_xlfn.XLOOKUP(TRIM(D1199),TRIM(DFC!A:A),DFC!A:A,"NÃO ESTÁ NA DFC")</f>
        <v xml:space="preserve">     COMISSÕES E TAXAS DOS MARKETPLACES</v>
      </c>
    </row>
    <row r="1200" spans="1:14" customFormat="1" ht="14.4" x14ac:dyDescent="0.3">
      <c r="A1200" s="24"/>
      <c r="B1200" s="21">
        <v>46030</v>
      </c>
      <c r="C1200" s="21" t="s">
        <v>15</v>
      </c>
      <c r="D1200" s="21" t="s">
        <v>19</v>
      </c>
      <c r="E1200" s="20"/>
      <c r="F1200" s="22" t="s">
        <v>300</v>
      </c>
      <c r="G1200" s="252">
        <v>5970.22</v>
      </c>
      <c r="H1200" s="1"/>
      <c r="I1200" s="1">
        <f>COUNTIF(Tabela1[NF],Tabela1[[#This Row],[NF]])</f>
        <v>0</v>
      </c>
      <c r="K1200" s="26">
        <f t="shared" si="4"/>
        <v>46030</v>
      </c>
      <c r="N1200" s="14" t="str" cm="1">
        <f t="array" ref="N1200">_xlfn.XLOOKUP(TRIM(D1200),TRIM(DFC!A:A),DFC!A:A,"NÃO ESTÁ NA DFC")</f>
        <v xml:space="preserve">      PEÇAS</v>
      </c>
    </row>
    <row r="1201" spans="1:14" customFormat="1" ht="14.4" x14ac:dyDescent="0.3">
      <c r="A1201" s="24"/>
      <c r="B1201" s="21">
        <v>46030</v>
      </c>
      <c r="C1201" s="21" t="s">
        <v>15</v>
      </c>
      <c r="D1201" s="21" t="s">
        <v>19</v>
      </c>
      <c r="E1201" s="20"/>
      <c r="F1201" s="22" t="s">
        <v>405</v>
      </c>
      <c r="G1201" s="252">
        <v>983.33</v>
      </c>
      <c r="H1201" s="1"/>
      <c r="I1201" s="1">
        <f>COUNTIF(Tabela1[NF],Tabela1[[#This Row],[NF]])</f>
        <v>0</v>
      </c>
      <c r="K1201" s="26">
        <f t="shared" si="4"/>
        <v>46030</v>
      </c>
      <c r="N1201" s="14" t="str" cm="1">
        <f t="array" ref="N1201">_xlfn.XLOOKUP(TRIM(D1201),TRIM(DFC!A:A),DFC!A:A,"NÃO ESTÁ NA DFC")</f>
        <v xml:space="preserve">      PEÇAS</v>
      </c>
    </row>
    <row r="1202" spans="1:14" customFormat="1" ht="14.4" x14ac:dyDescent="0.3">
      <c r="A1202" s="24"/>
      <c r="B1202" s="21">
        <v>46030</v>
      </c>
      <c r="C1202" s="21" t="s">
        <v>15</v>
      </c>
      <c r="D1202" s="21" t="s">
        <v>19</v>
      </c>
      <c r="E1202" s="20"/>
      <c r="F1202" s="22" t="s">
        <v>405</v>
      </c>
      <c r="G1202" s="252">
        <v>2950</v>
      </c>
      <c r="H1202" s="1"/>
      <c r="I1202" s="1">
        <f>COUNTIF(Tabela1[NF],Tabela1[[#This Row],[NF]])</f>
        <v>0</v>
      </c>
      <c r="K1202" s="26">
        <f t="shared" si="4"/>
        <v>46030</v>
      </c>
      <c r="N1202" s="14" t="str" cm="1">
        <f t="array" ref="N1202">_xlfn.XLOOKUP(TRIM(D1202),TRIM(DFC!A:A),DFC!A:A,"NÃO ESTÁ NA DFC")</f>
        <v xml:space="preserve">      PEÇAS</v>
      </c>
    </row>
    <row r="1203" spans="1:14" customFormat="1" ht="14.4" x14ac:dyDescent="0.3">
      <c r="A1203" s="24"/>
      <c r="B1203" s="21">
        <v>46030</v>
      </c>
      <c r="C1203" s="21" t="s">
        <v>15</v>
      </c>
      <c r="D1203" s="21" t="s">
        <v>19</v>
      </c>
      <c r="E1203" s="20"/>
      <c r="F1203" s="22" t="s">
        <v>228</v>
      </c>
      <c r="G1203" s="252">
        <v>3464.23</v>
      </c>
      <c r="H1203" s="1"/>
      <c r="I1203" s="1">
        <f>COUNTIF(Tabela1[NF],Tabela1[[#This Row],[NF]])</f>
        <v>0</v>
      </c>
      <c r="K1203" s="26">
        <f t="shared" si="4"/>
        <v>46030</v>
      </c>
      <c r="N1203" s="14" t="str" cm="1">
        <f t="array" ref="N1203">_xlfn.XLOOKUP(TRIM(D1203),TRIM(DFC!A:A),DFC!A:A,"NÃO ESTÁ NA DFC")</f>
        <v xml:space="preserve">      PEÇAS</v>
      </c>
    </row>
    <row r="1204" spans="1:14" customFormat="1" ht="14.4" x14ac:dyDescent="0.3">
      <c r="A1204" s="24"/>
      <c r="B1204" s="21">
        <v>46030</v>
      </c>
      <c r="C1204" s="21" t="s">
        <v>15</v>
      </c>
      <c r="D1204" s="21" t="s">
        <v>19</v>
      </c>
      <c r="E1204" s="20"/>
      <c r="F1204" s="22" t="s">
        <v>315</v>
      </c>
      <c r="G1204" s="252">
        <v>1671.66</v>
      </c>
      <c r="H1204" s="1"/>
      <c r="I1204" s="1">
        <f>COUNTIF(Tabela1[NF],Tabela1[[#This Row],[NF]])</f>
        <v>0</v>
      </c>
      <c r="K1204" s="26">
        <f t="shared" si="4"/>
        <v>46030</v>
      </c>
      <c r="N1204" s="14" t="str" cm="1">
        <f t="array" ref="N1204">_xlfn.XLOOKUP(TRIM(D1204),TRIM(DFC!A:A),DFC!A:A,"NÃO ESTÁ NA DFC")</f>
        <v xml:space="preserve">      PEÇAS</v>
      </c>
    </row>
    <row r="1205" spans="1:14" customFormat="1" ht="14.4" x14ac:dyDescent="0.3">
      <c r="A1205" s="24"/>
      <c r="B1205" s="21">
        <v>46030</v>
      </c>
      <c r="C1205" s="21" t="s">
        <v>15</v>
      </c>
      <c r="D1205" s="21" t="s">
        <v>19</v>
      </c>
      <c r="E1205" s="20"/>
      <c r="F1205" s="22" t="s">
        <v>315</v>
      </c>
      <c r="G1205" s="252">
        <v>5014.99</v>
      </c>
      <c r="H1205" s="1"/>
      <c r="I1205" s="1">
        <f>COUNTIF(Tabela1[NF],Tabela1[[#This Row],[NF]])</f>
        <v>0</v>
      </c>
      <c r="K1205" s="26">
        <f t="shared" si="4"/>
        <v>46030</v>
      </c>
      <c r="N1205" s="14" t="str" cm="1">
        <f t="array" ref="N1205">_xlfn.XLOOKUP(TRIM(D1205),TRIM(DFC!A:A),DFC!A:A,"NÃO ESTÁ NA DFC")</f>
        <v xml:space="preserve">      PEÇAS</v>
      </c>
    </row>
    <row r="1206" spans="1:14" customFormat="1" ht="14.4" x14ac:dyDescent="0.3">
      <c r="A1206" s="24"/>
      <c r="B1206" s="21">
        <v>46030</v>
      </c>
      <c r="C1206" s="21" t="s">
        <v>15</v>
      </c>
      <c r="D1206" s="21" t="s">
        <v>98</v>
      </c>
      <c r="E1206" s="20"/>
      <c r="F1206" s="22" t="s">
        <v>566</v>
      </c>
      <c r="G1206" s="252">
        <v>40</v>
      </c>
      <c r="H1206" s="1"/>
      <c r="I1206" s="1">
        <f>COUNTIF(Tabela1[NF],Tabela1[[#This Row],[NF]])</f>
        <v>0</v>
      </c>
      <c r="K1206" s="26">
        <f t="shared" si="4"/>
        <v>46030</v>
      </c>
      <c r="N1206" s="14" t="str" cm="1">
        <f t="array" ref="N1206">_xlfn.XLOOKUP(TRIM(D1206),TRIM(DFC!A:A),DFC!A:A,"NÃO ESTÁ NA DFC")</f>
        <v xml:space="preserve">     REEMBOLSO SAC</v>
      </c>
    </row>
    <row r="1207" spans="1:14" customFormat="1" ht="14.4" x14ac:dyDescent="0.3">
      <c r="A1207" s="24"/>
      <c r="B1207" s="21">
        <v>46030</v>
      </c>
      <c r="C1207" s="21" t="s">
        <v>15</v>
      </c>
      <c r="D1207" s="21" t="s">
        <v>98</v>
      </c>
      <c r="E1207" s="20"/>
      <c r="F1207" s="22" t="s">
        <v>567</v>
      </c>
      <c r="G1207" s="252">
        <v>30</v>
      </c>
      <c r="H1207" s="1"/>
      <c r="I1207" s="1">
        <f>COUNTIF(Tabela1[NF],Tabela1[[#This Row],[NF]])</f>
        <v>0</v>
      </c>
      <c r="K1207" s="26">
        <f t="shared" si="4"/>
        <v>46030</v>
      </c>
      <c r="N1207" s="14" t="str" cm="1">
        <f t="array" ref="N1207">_xlfn.XLOOKUP(TRIM(D1207),TRIM(DFC!A:A),DFC!A:A,"NÃO ESTÁ NA DFC")</f>
        <v xml:space="preserve">     REEMBOLSO SAC</v>
      </c>
    </row>
    <row r="1208" spans="1:14" customFormat="1" ht="14.4" x14ac:dyDescent="0.3">
      <c r="A1208" s="24"/>
      <c r="B1208" s="21">
        <v>46030</v>
      </c>
      <c r="C1208" s="21" t="s">
        <v>15</v>
      </c>
      <c r="D1208" s="21" t="s">
        <v>98</v>
      </c>
      <c r="E1208" s="20"/>
      <c r="F1208" s="22" t="s">
        <v>568</v>
      </c>
      <c r="G1208" s="252">
        <v>35</v>
      </c>
      <c r="H1208" s="1"/>
      <c r="I1208" s="1">
        <f>COUNTIF(Tabela1[NF],Tabela1[[#This Row],[NF]])</f>
        <v>0</v>
      </c>
      <c r="K1208" s="26">
        <f t="shared" si="4"/>
        <v>46030</v>
      </c>
      <c r="N1208" s="14" t="str" cm="1">
        <f t="array" ref="N1208">_xlfn.XLOOKUP(TRIM(D1208),TRIM(DFC!A:A),DFC!A:A,"NÃO ESTÁ NA DFC")</f>
        <v xml:space="preserve">     REEMBOLSO SAC</v>
      </c>
    </row>
    <row r="1209" spans="1:14" customFormat="1" ht="14.4" x14ac:dyDescent="0.3">
      <c r="A1209" s="24"/>
      <c r="B1209" s="21">
        <v>46030</v>
      </c>
      <c r="C1209" s="21" t="s">
        <v>15</v>
      </c>
      <c r="D1209" s="21" t="s">
        <v>98</v>
      </c>
      <c r="E1209" s="20"/>
      <c r="F1209" s="22" t="s">
        <v>569</v>
      </c>
      <c r="G1209" s="252">
        <v>48</v>
      </c>
      <c r="H1209" s="1"/>
      <c r="I1209" s="1">
        <f>COUNTIF(Tabela1[NF],Tabela1[[#This Row],[NF]])</f>
        <v>0</v>
      </c>
      <c r="K1209" s="26">
        <f t="shared" ref="K1209:K1240" si="5">B1209</f>
        <v>46030</v>
      </c>
      <c r="N1209" s="14" t="str" cm="1">
        <f t="array" ref="N1209">_xlfn.XLOOKUP(TRIM(D1209),TRIM(DFC!A:A),DFC!A:A,"NÃO ESTÁ NA DFC")</f>
        <v xml:space="preserve">     REEMBOLSO SAC</v>
      </c>
    </row>
    <row r="1210" spans="1:14" customFormat="1" ht="14.4" x14ac:dyDescent="0.3">
      <c r="A1210" s="24"/>
      <c r="B1210" s="21">
        <v>46030</v>
      </c>
      <c r="C1210" s="21" t="s">
        <v>15</v>
      </c>
      <c r="D1210" s="21" t="s">
        <v>98</v>
      </c>
      <c r="E1210" s="20"/>
      <c r="F1210" s="22" t="s">
        <v>570</v>
      </c>
      <c r="G1210" s="252">
        <v>9.9</v>
      </c>
      <c r="H1210" s="1"/>
      <c r="I1210" s="1">
        <f>COUNTIF(Tabela1[NF],Tabela1[[#This Row],[NF]])</f>
        <v>0</v>
      </c>
      <c r="K1210" s="26">
        <f t="shared" si="5"/>
        <v>46030</v>
      </c>
      <c r="N1210" s="14" t="str" cm="1">
        <f t="array" ref="N1210">_xlfn.XLOOKUP(TRIM(D1210),TRIM(DFC!A:A),DFC!A:A,"NÃO ESTÁ NA DFC")</f>
        <v xml:space="preserve">     REEMBOLSO SAC</v>
      </c>
    </row>
    <row r="1211" spans="1:14" customFormat="1" ht="14.4" x14ac:dyDescent="0.3">
      <c r="A1211" s="24"/>
      <c r="B1211" s="21">
        <v>46030</v>
      </c>
      <c r="C1211" s="21" t="s">
        <v>15</v>
      </c>
      <c r="D1211" s="21" t="s">
        <v>29</v>
      </c>
      <c r="E1211" s="20"/>
      <c r="F1211" s="22" t="s">
        <v>168</v>
      </c>
      <c r="G1211" s="252">
        <v>770</v>
      </c>
      <c r="H1211" s="1"/>
      <c r="I1211" s="1">
        <f>COUNTIF(Tabela1[NF],Tabela1[[#This Row],[NF]])</f>
        <v>0</v>
      </c>
      <c r="K1211" s="26">
        <f t="shared" si="5"/>
        <v>46030</v>
      </c>
      <c r="N1211" s="14" t="str" cm="1">
        <f t="array" ref="N1211">_xlfn.XLOOKUP(TRIM(D1211),TRIM(DFC!A:A),DFC!A:A,"NÃO ESTÁ NA DFC")</f>
        <v xml:space="preserve">      FRETE DE SAÍDA</v>
      </c>
    </row>
    <row r="1212" spans="1:14" customFormat="1" ht="14.4" x14ac:dyDescent="0.3">
      <c r="A1212" s="24"/>
      <c r="B1212" s="21">
        <v>46030</v>
      </c>
      <c r="C1212" s="21" t="s">
        <v>15</v>
      </c>
      <c r="D1212" s="21" t="s">
        <v>40</v>
      </c>
      <c r="E1212" s="20" t="s">
        <v>459</v>
      </c>
      <c r="F1212" s="22" t="s">
        <v>198</v>
      </c>
      <c r="G1212" s="252">
        <v>420</v>
      </c>
      <c r="H1212" s="1"/>
      <c r="I1212" s="1">
        <f>COUNTIF(Tabela1[NF],Tabela1[[#This Row],[NF]])</f>
        <v>0</v>
      </c>
      <c r="K1212" s="26">
        <f t="shared" si="5"/>
        <v>46030</v>
      </c>
      <c r="N1212" s="14" t="str" cm="1">
        <f t="array" ref="N1212">_xlfn.XLOOKUP(TRIM(D1212),TRIM(DFC!A:A),DFC!A:A,"NÃO ESTÁ NA DFC")</f>
        <v xml:space="preserve">         SERVIÇO TERCEIRIZADO</v>
      </c>
    </row>
    <row r="1213" spans="1:14" customFormat="1" ht="14.4" x14ac:dyDescent="0.3">
      <c r="A1213" s="24"/>
      <c r="B1213" s="21">
        <v>46030</v>
      </c>
      <c r="C1213" s="21" t="s">
        <v>15</v>
      </c>
      <c r="D1213" s="21" t="s">
        <v>40</v>
      </c>
      <c r="E1213" s="20" t="s">
        <v>459</v>
      </c>
      <c r="F1213" s="22" t="s">
        <v>198</v>
      </c>
      <c r="G1213" s="252">
        <v>630</v>
      </c>
      <c r="H1213" s="1"/>
      <c r="I1213" s="1">
        <f>COUNTIF(Tabela1[NF],Tabela1[[#This Row],[NF]])</f>
        <v>0</v>
      </c>
      <c r="K1213" s="26">
        <f t="shared" si="5"/>
        <v>46030</v>
      </c>
      <c r="N1213" s="14" t="str" cm="1">
        <f t="array" ref="N1213">_xlfn.XLOOKUP(TRIM(D1213),TRIM(DFC!A:A),DFC!A:A,"NÃO ESTÁ NA DFC")</f>
        <v xml:space="preserve">         SERVIÇO TERCEIRIZADO</v>
      </c>
    </row>
    <row r="1214" spans="1:14" customFormat="1" ht="14.4" x14ac:dyDescent="0.3">
      <c r="A1214" s="24"/>
      <c r="B1214" s="21">
        <v>46030</v>
      </c>
      <c r="C1214" s="21" t="s">
        <v>15</v>
      </c>
      <c r="D1214" s="21" t="s">
        <v>78</v>
      </c>
      <c r="E1214" s="20"/>
      <c r="F1214" s="22" t="s">
        <v>516</v>
      </c>
      <c r="G1214" s="252">
        <v>679.22</v>
      </c>
      <c r="H1214" s="1"/>
      <c r="I1214" s="1">
        <f>COUNTIF(Tabela1[NF],Tabela1[[#This Row],[NF]])</f>
        <v>0</v>
      </c>
      <c r="K1214" s="26">
        <f t="shared" si="5"/>
        <v>46030</v>
      </c>
      <c r="N1214" s="14" t="str" cm="1">
        <f t="array" ref="N1214">_xlfn.XLOOKUP(TRIM(D1214),TRIM(DFC!A:A),DFC!A:A,"NÃO ESTÁ NA DFC")</f>
        <v xml:space="preserve">          COPEL</v>
      </c>
    </row>
    <row r="1215" spans="1:14" customFormat="1" ht="14.4" x14ac:dyDescent="0.3">
      <c r="A1215" s="24"/>
      <c r="B1215" s="21">
        <v>46030</v>
      </c>
      <c r="C1215" s="21" t="s">
        <v>15</v>
      </c>
      <c r="D1215" s="21" t="s">
        <v>29</v>
      </c>
      <c r="E1215" s="20"/>
      <c r="F1215" s="22" t="s">
        <v>168</v>
      </c>
      <c r="G1215" s="252">
        <v>142.03</v>
      </c>
      <c r="H1215" s="1"/>
      <c r="I1215" s="1">
        <f>COUNTIF(Tabela1[NF],Tabela1[[#This Row],[NF]])</f>
        <v>0</v>
      </c>
      <c r="K1215" s="26">
        <f t="shared" si="5"/>
        <v>46030</v>
      </c>
      <c r="N1215" s="14" t="str" cm="1">
        <f t="array" ref="N1215">_xlfn.XLOOKUP(TRIM(D1215),TRIM(DFC!A:A),DFC!A:A,"NÃO ESTÁ NA DFC")</f>
        <v xml:space="preserve">      FRETE DE SAÍDA</v>
      </c>
    </row>
    <row r="1216" spans="1:14" customFormat="1" ht="14.4" x14ac:dyDescent="0.3">
      <c r="A1216" s="24"/>
      <c r="B1216" s="21">
        <v>46030</v>
      </c>
      <c r="C1216" s="21" t="s">
        <v>15</v>
      </c>
      <c r="D1216" s="21" t="s">
        <v>29</v>
      </c>
      <c r="E1216" s="20"/>
      <c r="F1216" s="22" t="s">
        <v>450</v>
      </c>
      <c r="G1216" s="252">
        <v>650</v>
      </c>
      <c r="H1216" s="1"/>
      <c r="I1216" s="1">
        <f>COUNTIF(Tabela1[NF],Tabela1[[#This Row],[NF]])</f>
        <v>0</v>
      </c>
      <c r="K1216" s="26">
        <f t="shared" si="5"/>
        <v>46030</v>
      </c>
      <c r="N1216" s="14" t="str" cm="1">
        <f t="array" ref="N1216">_xlfn.XLOOKUP(TRIM(D1216),TRIM(DFC!A:A),DFC!A:A,"NÃO ESTÁ NA DFC")</f>
        <v xml:space="preserve">      FRETE DE SAÍDA</v>
      </c>
    </row>
    <row r="1217" spans="1:14" customFormat="1" ht="14.4" x14ac:dyDescent="0.3">
      <c r="A1217" s="24"/>
      <c r="B1217" s="21">
        <v>46030</v>
      </c>
      <c r="C1217" s="21" t="s">
        <v>15</v>
      </c>
      <c r="D1217" s="21" t="s">
        <v>29</v>
      </c>
      <c r="E1217" s="20"/>
      <c r="F1217" s="22" t="s">
        <v>450</v>
      </c>
      <c r="G1217" s="252">
        <v>330</v>
      </c>
      <c r="H1217" s="1"/>
      <c r="I1217" s="1">
        <f>COUNTIF(Tabela1[NF],Tabela1[[#This Row],[NF]])</f>
        <v>0</v>
      </c>
      <c r="K1217" s="26">
        <f t="shared" si="5"/>
        <v>46030</v>
      </c>
      <c r="N1217" s="14" t="str" cm="1">
        <f t="array" ref="N1217">_xlfn.XLOOKUP(TRIM(D1217),TRIM(DFC!A:A),DFC!A:A,"NÃO ESTÁ NA DFC")</f>
        <v xml:space="preserve">      FRETE DE SAÍDA</v>
      </c>
    </row>
    <row r="1218" spans="1:14" customFormat="1" ht="14.4" x14ac:dyDescent="0.3">
      <c r="A1218" s="24"/>
      <c r="B1218" s="21">
        <v>46030</v>
      </c>
      <c r="C1218" s="21" t="s">
        <v>15</v>
      </c>
      <c r="D1218" s="21" t="s">
        <v>78</v>
      </c>
      <c r="E1218" s="20"/>
      <c r="F1218" s="22" t="s">
        <v>516</v>
      </c>
      <c r="G1218" s="252">
        <v>90.66</v>
      </c>
      <c r="H1218" s="1"/>
      <c r="I1218" s="1">
        <f>COUNTIF(Tabela1[NF],Tabela1[[#This Row],[NF]])</f>
        <v>0</v>
      </c>
      <c r="K1218" s="26">
        <f t="shared" si="5"/>
        <v>46030</v>
      </c>
      <c r="N1218" s="14" t="str" cm="1">
        <f t="array" ref="N1218">_xlfn.XLOOKUP(TRIM(D1218),TRIM(DFC!A:A),DFC!A:A,"NÃO ESTÁ NA DFC")</f>
        <v xml:space="preserve">          COPEL</v>
      </c>
    </row>
    <row r="1219" spans="1:14" customFormat="1" ht="14.4" x14ac:dyDescent="0.3">
      <c r="A1219" s="24"/>
      <c r="B1219" s="21">
        <v>46030</v>
      </c>
      <c r="C1219" s="21" t="s">
        <v>15</v>
      </c>
      <c r="D1219" s="21" t="s">
        <v>29</v>
      </c>
      <c r="E1219" s="20" t="s">
        <v>571</v>
      </c>
      <c r="F1219" s="22" t="s">
        <v>484</v>
      </c>
      <c r="G1219" s="252">
        <v>300</v>
      </c>
      <c r="H1219" s="1"/>
      <c r="I1219" s="1">
        <f>COUNTIF(Tabela1[NF],Tabela1[[#This Row],[NF]])</f>
        <v>0</v>
      </c>
      <c r="K1219" s="26">
        <f t="shared" si="5"/>
        <v>46030</v>
      </c>
      <c r="N1219" s="14" t="str" cm="1">
        <f t="array" ref="N1219">_xlfn.XLOOKUP(TRIM(D1219),TRIM(DFC!A:A),DFC!A:A,"NÃO ESTÁ NA DFC")</f>
        <v xml:space="preserve">      FRETE DE SAÍDA</v>
      </c>
    </row>
    <row r="1220" spans="1:14" customFormat="1" ht="14.4" x14ac:dyDescent="0.3">
      <c r="A1220" s="24"/>
      <c r="B1220" s="21">
        <v>46030</v>
      </c>
      <c r="C1220" s="21" t="s">
        <v>15</v>
      </c>
      <c r="D1220" s="21" t="s">
        <v>29</v>
      </c>
      <c r="E1220" s="20"/>
      <c r="F1220" s="22" t="s">
        <v>168</v>
      </c>
      <c r="G1220" s="252">
        <v>65</v>
      </c>
      <c r="H1220" s="1"/>
      <c r="I1220" s="1">
        <f>COUNTIF(Tabela1[NF],Tabela1[[#This Row],[NF]])</f>
        <v>0</v>
      </c>
      <c r="K1220" s="26">
        <f t="shared" si="5"/>
        <v>46030</v>
      </c>
      <c r="N1220" s="14" t="str" cm="1">
        <f t="array" ref="N1220">_xlfn.XLOOKUP(TRIM(D1220),TRIM(DFC!A:A),DFC!A:A,"NÃO ESTÁ NA DFC")</f>
        <v xml:space="preserve">      FRETE DE SAÍDA</v>
      </c>
    </row>
    <row r="1221" spans="1:14" customFormat="1" ht="14.4" x14ac:dyDescent="0.3">
      <c r="A1221" s="24"/>
      <c r="B1221" s="21">
        <v>46030</v>
      </c>
      <c r="C1221" s="21" t="s">
        <v>15</v>
      </c>
      <c r="D1221" s="21" t="s">
        <v>82</v>
      </c>
      <c r="E1221" s="20" t="s">
        <v>572</v>
      </c>
      <c r="F1221" s="22" t="s">
        <v>411</v>
      </c>
      <c r="G1221" s="252">
        <v>160</v>
      </c>
      <c r="H1221" s="1"/>
      <c r="I1221" s="1">
        <f>COUNTIF(Tabela1[NF],Tabela1[[#This Row],[NF]])</f>
        <v>0</v>
      </c>
      <c r="K1221" s="26">
        <f t="shared" si="5"/>
        <v>46030</v>
      </c>
      <c r="N1221" s="14" t="str" cm="1">
        <f t="array" ref="N1221">_xlfn.XLOOKUP(TRIM(D1221),TRIM(DFC!A:A),DFC!A:A,"NÃO ESTÁ NA DFC")</f>
        <v xml:space="preserve">          DIÁRIAS</v>
      </c>
    </row>
    <row r="1222" spans="1:14" customFormat="1" ht="14.4" x14ac:dyDescent="0.3">
      <c r="A1222" s="24"/>
      <c r="B1222" s="21">
        <v>46030</v>
      </c>
      <c r="C1222" s="21" t="s">
        <v>15</v>
      </c>
      <c r="D1222" s="21" t="s">
        <v>19</v>
      </c>
      <c r="E1222" s="20" t="s">
        <v>573</v>
      </c>
      <c r="F1222" s="22" t="s">
        <v>574</v>
      </c>
      <c r="G1222" s="252">
        <v>7000</v>
      </c>
      <c r="H1222" s="1"/>
      <c r="I1222" s="1">
        <f>COUNTIF(Tabela1[NF],Tabela1[[#This Row],[NF]])</f>
        <v>0</v>
      </c>
      <c r="K1222" s="26">
        <f t="shared" si="5"/>
        <v>46030</v>
      </c>
      <c r="N1222" s="14" t="str" cm="1">
        <f t="array" ref="N1222">_xlfn.XLOOKUP(TRIM(D1222),TRIM(DFC!A:A),DFC!A:A,"NÃO ESTÁ NA DFC")</f>
        <v xml:space="preserve">      PEÇAS</v>
      </c>
    </row>
    <row r="1223" spans="1:14" customFormat="1" ht="14.4" x14ac:dyDescent="0.3">
      <c r="A1223" s="24"/>
      <c r="B1223" s="21">
        <v>46030</v>
      </c>
      <c r="C1223" s="21" t="s">
        <v>15</v>
      </c>
      <c r="D1223" s="84" t="s">
        <v>43</v>
      </c>
      <c r="E1223" s="20" t="s">
        <v>473</v>
      </c>
      <c r="F1223" s="199" t="s">
        <v>474</v>
      </c>
      <c r="G1223" s="252">
        <v>2000</v>
      </c>
      <c r="H1223" s="1"/>
      <c r="I1223" s="1">
        <f>COUNTIF(Tabela1[NF],Tabela1[[#This Row],[NF]])</f>
        <v>0</v>
      </c>
      <c r="K1223" s="26">
        <f t="shared" si="5"/>
        <v>46030</v>
      </c>
      <c r="N1223" s="14" t="str" cm="1">
        <f t="array" ref="N1223">_xlfn.XLOOKUP(TRIM(D1223),TRIM(DFC!A:A),DFC!A:A,"NÃO ESTÁ NA DFC")</f>
        <v xml:space="preserve">          TRABALHISTA</v>
      </c>
    </row>
    <row r="1224" spans="1:14" customFormat="1" ht="14.4" x14ac:dyDescent="0.3">
      <c r="A1224" s="19">
        <v>450711</v>
      </c>
      <c r="B1224" s="21">
        <v>46030</v>
      </c>
      <c r="C1224" s="21" t="s">
        <v>15</v>
      </c>
      <c r="D1224" s="21" t="s">
        <v>19</v>
      </c>
      <c r="E1224" s="20"/>
      <c r="F1224" s="22" t="s">
        <v>310</v>
      </c>
      <c r="G1224" s="252">
        <v>29913.71</v>
      </c>
      <c r="H1224" s="1"/>
      <c r="I1224" s="1">
        <f>COUNTIF(Tabela1[NF],Tabela1[[#This Row],[NF]])</f>
        <v>3</v>
      </c>
      <c r="K1224" s="26">
        <f t="shared" si="5"/>
        <v>46030</v>
      </c>
      <c r="N1224" s="14" t="str" cm="1">
        <f t="array" ref="N1224">_xlfn.XLOOKUP(TRIM(D1224),TRIM(DFC!A:A),DFC!A:A,"NÃO ESTÁ NA DFC")</f>
        <v xml:space="preserve">      PEÇAS</v>
      </c>
    </row>
    <row r="1225" spans="1:14" customFormat="1" ht="14.4" x14ac:dyDescent="0.3">
      <c r="A1225" s="19">
        <v>450697</v>
      </c>
      <c r="B1225" s="21">
        <v>46030</v>
      </c>
      <c r="C1225" s="21" t="s">
        <v>15</v>
      </c>
      <c r="D1225" s="21" t="s">
        <v>19</v>
      </c>
      <c r="E1225" s="20"/>
      <c r="F1225" s="22" t="s">
        <v>310</v>
      </c>
      <c r="G1225" s="252">
        <v>4378.74</v>
      </c>
      <c r="H1225" s="1"/>
      <c r="I1225" s="1">
        <f>COUNTIF(Tabela1[NF],Tabela1[[#This Row],[NF]])</f>
        <v>3</v>
      </c>
      <c r="K1225" s="26">
        <f t="shared" si="5"/>
        <v>46030</v>
      </c>
      <c r="N1225" s="14" t="str" cm="1">
        <f t="array" ref="N1225">_xlfn.XLOOKUP(TRIM(D1225),TRIM(DFC!A:A),DFC!A:A,"NÃO ESTÁ NA DFC")</f>
        <v xml:space="preserve">      PEÇAS</v>
      </c>
    </row>
    <row r="1226" spans="1:14" customFormat="1" ht="14.4" x14ac:dyDescent="0.3">
      <c r="A1226" s="24"/>
      <c r="B1226" s="21">
        <v>46031</v>
      </c>
      <c r="C1226" s="21" t="s">
        <v>15</v>
      </c>
      <c r="D1226" s="84" t="s">
        <v>134</v>
      </c>
      <c r="E1226" s="20" t="s">
        <v>575</v>
      </c>
      <c r="F1226" s="22" t="s">
        <v>510</v>
      </c>
      <c r="G1226" s="287">
        <v>20</v>
      </c>
      <c r="H1226" s="1"/>
      <c r="I1226" s="1">
        <f>COUNTIF(Tabela1[NF],Tabela1[[#This Row],[NF]])</f>
        <v>0</v>
      </c>
      <c r="K1226" s="26">
        <f t="shared" si="5"/>
        <v>46031</v>
      </c>
      <c r="N1226" s="14" t="str" cm="1">
        <f t="array" ref="N1226">_xlfn.XLOOKUP(TRIM(D1226),TRIM(DFC!A:A),DFC!A:A,"NÃO ESTÁ NA DFC")</f>
        <v xml:space="preserve">          TELEFONIA</v>
      </c>
    </row>
    <row r="1227" spans="1:14" customFormat="1" ht="14.4" x14ac:dyDescent="0.3">
      <c r="A1227" s="24"/>
      <c r="B1227" s="21">
        <v>46031</v>
      </c>
      <c r="C1227" s="21" t="s">
        <v>15</v>
      </c>
      <c r="D1227" s="84" t="s">
        <v>134</v>
      </c>
      <c r="E1227" s="20"/>
      <c r="F1227" s="22" t="s">
        <v>273</v>
      </c>
      <c r="G1227" s="287">
        <v>225.03</v>
      </c>
      <c r="H1227" s="1"/>
      <c r="I1227" s="1">
        <f>COUNTIF(Tabela1[NF],Tabela1[[#This Row],[NF]])</f>
        <v>0</v>
      </c>
      <c r="K1227" s="26">
        <f t="shared" si="5"/>
        <v>46031</v>
      </c>
      <c r="N1227" s="14" t="str" cm="1">
        <f t="array" ref="N1227">_xlfn.XLOOKUP(TRIM(D1227),TRIM(DFC!A:A),DFC!A:A,"NÃO ESTÁ NA DFC")</f>
        <v xml:space="preserve">          TELEFONIA</v>
      </c>
    </row>
    <row r="1228" spans="1:14" customFormat="1" ht="14.4" x14ac:dyDescent="0.3">
      <c r="A1228" s="24"/>
      <c r="B1228" s="21">
        <v>46031</v>
      </c>
      <c r="C1228" s="21" t="s">
        <v>15</v>
      </c>
      <c r="D1228" s="21" t="s">
        <v>134</v>
      </c>
      <c r="E1228" s="20"/>
      <c r="F1228" s="22" t="s">
        <v>273</v>
      </c>
      <c r="G1228" s="287">
        <v>229.9</v>
      </c>
      <c r="H1228" s="1"/>
      <c r="I1228" s="1">
        <f>COUNTIF(Tabela1[NF],Tabela1[[#This Row],[NF]])</f>
        <v>0</v>
      </c>
      <c r="K1228" s="26">
        <f t="shared" si="5"/>
        <v>46031</v>
      </c>
      <c r="N1228" s="14" t="str" cm="1">
        <f t="array" ref="N1228">_xlfn.XLOOKUP(TRIM(D1228),TRIM(DFC!A:A),DFC!A:A,"NÃO ESTÁ NA DFC")</f>
        <v xml:space="preserve">          TELEFONIA</v>
      </c>
    </row>
    <row r="1229" spans="1:14" customFormat="1" ht="14.4" x14ac:dyDescent="0.3">
      <c r="A1229" s="24"/>
      <c r="B1229" s="21">
        <v>46031</v>
      </c>
      <c r="C1229" s="21" t="s">
        <v>15</v>
      </c>
      <c r="D1229" s="21" t="s">
        <v>19</v>
      </c>
      <c r="E1229" s="20"/>
      <c r="F1229" s="22" t="s">
        <v>382</v>
      </c>
      <c r="G1229" s="287">
        <v>2970</v>
      </c>
      <c r="H1229" s="1"/>
      <c r="I1229" s="1">
        <f>COUNTIF(Tabela1[NF],Tabela1[[#This Row],[NF]])</f>
        <v>0</v>
      </c>
      <c r="K1229" s="26">
        <f t="shared" si="5"/>
        <v>46031</v>
      </c>
      <c r="N1229" s="14" t="str" cm="1">
        <f t="array" ref="N1229">_xlfn.XLOOKUP(TRIM(D1229),TRIM(DFC!A:A),DFC!A:A,"NÃO ESTÁ NA DFC")</f>
        <v xml:space="preserve">      PEÇAS</v>
      </c>
    </row>
    <row r="1230" spans="1:14" customFormat="1" ht="14.4" x14ac:dyDescent="0.3">
      <c r="A1230" s="24"/>
      <c r="B1230" s="21">
        <v>46031</v>
      </c>
      <c r="C1230" s="21" t="s">
        <v>15</v>
      </c>
      <c r="D1230" s="84" t="s">
        <v>305</v>
      </c>
      <c r="E1230" s="20"/>
      <c r="F1230" s="22" t="s">
        <v>467</v>
      </c>
      <c r="G1230" s="287">
        <v>64.81</v>
      </c>
      <c r="H1230" s="1"/>
      <c r="I1230" s="1">
        <f>COUNTIF(Tabela1[NF],Tabela1[[#This Row],[NF]])</f>
        <v>0</v>
      </c>
      <c r="K1230" s="26">
        <f t="shared" si="5"/>
        <v>46031</v>
      </c>
      <c r="N1230" s="14" t="str" cm="1">
        <f t="array" ref="N1230">_xlfn.XLOOKUP(TRIM(D1230),TRIM(DFC!A:A),DFC!A:A,"NÃO ESTÁ NA DFC")</f>
        <v xml:space="preserve">      FRETE ENTRADA</v>
      </c>
    </row>
    <row r="1231" spans="1:14" customFormat="1" ht="14.4" x14ac:dyDescent="0.3">
      <c r="A1231" s="24"/>
      <c r="B1231" s="21">
        <v>46031</v>
      </c>
      <c r="C1231" s="21" t="s">
        <v>15</v>
      </c>
      <c r="D1231" s="21" t="s">
        <v>19</v>
      </c>
      <c r="E1231" s="20"/>
      <c r="F1231" s="22" t="s">
        <v>343</v>
      </c>
      <c r="G1231" s="287">
        <v>888.36</v>
      </c>
      <c r="H1231" s="1"/>
      <c r="I1231" s="1">
        <f>COUNTIF(Tabela1[NF],Tabela1[[#This Row],[NF]])</f>
        <v>0</v>
      </c>
      <c r="K1231" s="26">
        <f t="shared" si="5"/>
        <v>46031</v>
      </c>
      <c r="N1231" s="14" t="str" cm="1">
        <f t="array" ref="N1231">_xlfn.XLOOKUP(TRIM(D1231),TRIM(DFC!A:A),DFC!A:A,"NÃO ESTÁ NA DFC")</f>
        <v xml:space="preserve">      PEÇAS</v>
      </c>
    </row>
    <row r="1232" spans="1:14" customFormat="1" ht="14.4" x14ac:dyDescent="0.3">
      <c r="A1232" s="24"/>
      <c r="B1232" s="21">
        <v>46031</v>
      </c>
      <c r="C1232" s="21" t="s">
        <v>15</v>
      </c>
      <c r="D1232" s="21" t="s">
        <v>97</v>
      </c>
      <c r="E1232" s="20"/>
      <c r="F1232" s="22" t="s">
        <v>576</v>
      </c>
      <c r="G1232" s="287">
        <v>1300</v>
      </c>
      <c r="H1232" s="1"/>
      <c r="I1232" s="1">
        <f>COUNTIF(Tabela1[NF],Tabela1[[#This Row],[NF]])</f>
        <v>0</v>
      </c>
      <c r="K1232" s="26">
        <f t="shared" si="5"/>
        <v>46031</v>
      </c>
      <c r="N1232" s="14" t="str" cm="1">
        <f t="array" ref="N1232">_xlfn.XLOOKUP(TRIM(D1232),TRIM(DFC!A:A),DFC!A:A,"NÃO ESTÁ NA DFC")</f>
        <v xml:space="preserve">          MANUTENÇÃO PREDIAL</v>
      </c>
    </row>
    <row r="1233" spans="1:14" customFormat="1" ht="14.4" x14ac:dyDescent="0.3">
      <c r="A1233" s="24"/>
      <c r="B1233" s="21">
        <v>46031</v>
      </c>
      <c r="C1233" s="21" t="s">
        <v>15</v>
      </c>
      <c r="D1233" s="21" t="s">
        <v>72</v>
      </c>
      <c r="E1233" s="20"/>
      <c r="F1233" s="22" t="s">
        <v>380</v>
      </c>
      <c r="G1233" s="287">
        <v>619.08000000000004</v>
      </c>
      <c r="H1233" s="1"/>
      <c r="I1233" s="1">
        <f>COUNTIF(Tabela1[NF],Tabela1[[#This Row],[NF]])</f>
        <v>0</v>
      </c>
      <c r="K1233" s="26">
        <f t="shared" si="5"/>
        <v>46031</v>
      </c>
      <c r="N1233" s="14" t="str" cm="1">
        <f t="array" ref="N1233">_xlfn.XLOOKUP(TRIM(D1233),TRIM(DFC!A:A),DFC!A:A,"NÃO ESTÁ NA DFC")</f>
        <v xml:space="preserve">          COMBUSTÍVEL</v>
      </c>
    </row>
    <row r="1234" spans="1:14" customFormat="1" ht="14.4" x14ac:dyDescent="0.3">
      <c r="A1234" s="24"/>
      <c r="B1234" s="21">
        <v>46031</v>
      </c>
      <c r="C1234" s="21" t="s">
        <v>15</v>
      </c>
      <c r="D1234" s="21" t="s">
        <v>18</v>
      </c>
      <c r="E1234" s="20" t="s">
        <v>577</v>
      </c>
      <c r="F1234" s="22" t="s">
        <v>578</v>
      </c>
      <c r="G1234" s="252">
        <v>48.96</v>
      </c>
      <c r="H1234" s="1"/>
      <c r="I1234" s="1">
        <f>COUNTIF(Tabela1[NF],Tabela1[[#This Row],[NF]])</f>
        <v>0</v>
      </c>
      <c r="K1234" s="26">
        <f t="shared" si="5"/>
        <v>46031</v>
      </c>
      <c r="N1234" s="14" t="str" cm="1">
        <f t="array" ref="N1234">_xlfn.XLOOKUP(TRIM(D1234),TRIM(DFC!A:A),DFC!A:A,"NÃO ESTÁ NA DFC")</f>
        <v xml:space="preserve">     COMISSÕES E TAXAS DOS MARKETPLACES</v>
      </c>
    </row>
    <row r="1235" spans="1:14" customFormat="1" ht="14.4" x14ac:dyDescent="0.3">
      <c r="A1235" s="24"/>
      <c r="B1235" s="21">
        <v>46031</v>
      </c>
      <c r="C1235" s="21" t="s">
        <v>15</v>
      </c>
      <c r="D1235" s="21" t="s">
        <v>98</v>
      </c>
      <c r="E1235" s="20"/>
      <c r="F1235" s="22" t="s">
        <v>579</v>
      </c>
      <c r="G1235" s="252">
        <v>62.5</v>
      </c>
      <c r="H1235" s="1"/>
      <c r="I1235" s="1">
        <f>COUNTIF(Tabela1[NF],Tabela1[[#This Row],[NF]])</f>
        <v>0</v>
      </c>
      <c r="K1235" s="26">
        <f t="shared" si="5"/>
        <v>46031</v>
      </c>
      <c r="N1235" s="14" t="str" cm="1">
        <f t="array" ref="N1235">_xlfn.XLOOKUP(TRIM(D1235),TRIM(DFC!A:A),DFC!A:A,"NÃO ESTÁ NA DFC")</f>
        <v xml:space="preserve">     REEMBOLSO SAC</v>
      </c>
    </row>
    <row r="1236" spans="1:14" customFormat="1" ht="14.4" x14ac:dyDescent="0.3">
      <c r="A1236" s="24"/>
      <c r="B1236" s="21">
        <v>46031</v>
      </c>
      <c r="C1236" s="21" t="s">
        <v>15</v>
      </c>
      <c r="D1236" s="21" t="s">
        <v>82</v>
      </c>
      <c r="E1236" s="20"/>
      <c r="F1236" s="22" t="s">
        <v>552</v>
      </c>
      <c r="G1236" s="288">
        <v>300</v>
      </c>
      <c r="H1236" s="1"/>
      <c r="I1236" s="1">
        <f>COUNTIF(Tabela1[NF],Tabela1[[#This Row],[NF]])</f>
        <v>0</v>
      </c>
      <c r="K1236" s="26">
        <f t="shared" si="5"/>
        <v>46031</v>
      </c>
      <c r="N1236" s="14" t="str" cm="1">
        <f t="array" ref="N1236">_xlfn.XLOOKUP(TRIM(D1236),TRIM(DFC!A:A),DFC!A:A,"NÃO ESTÁ NA DFC")</f>
        <v xml:space="preserve">          DIÁRIAS</v>
      </c>
    </row>
    <row r="1237" spans="1:14" customFormat="1" ht="14.4" x14ac:dyDescent="0.3">
      <c r="A1237" s="24"/>
      <c r="B1237" s="21">
        <v>46031</v>
      </c>
      <c r="C1237" s="21" t="s">
        <v>15</v>
      </c>
      <c r="D1237" s="21" t="s">
        <v>82</v>
      </c>
      <c r="E1237" s="20"/>
      <c r="F1237" s="22" t="s">
        <v>580</v>
      </c>
      <c r="G1237" s="288">
        <v>200</v>
      </c>
      <c r="H1237" s="1"/>
      <c r="I1237" s="1">
        <f>COUNTIF(Tabela1[NF],Tabela1[[#This Row],[NF]])</f>
        <v>0</v>
      </c>
      <c r="K1237" s="26">
        <f t="shared" si="5"/>
        <v>46031</v>
      </c>
      <c r="N1237" s="14" t="str" cm="1">
        <f t="array" ref="N1237">_xlfn.XLOOKUP(TRIM(D1237),TRIM(DFC!A:A),DFC!A:A,"NÃO ESTÁ NA DFC")</f>
        <v xml:space="preserve">          DIÁRIAS</v>
      </c>
    </row>
    <row r="1238" spans="1:14" customFormat="1" ht="14.4" x14ac:dyDescent="0.3">
      <c r="A1238" s="24"/>
      <c r="B1238" s="21">
        <v>46031</v>
      </c>
      <c r="C1238" s="21" t="s">
        <v>15</v>
      </c>
      <c r="D1238" s="21" t="s">
        <v>82</v>
      </c>
      <c r="E1238" s="20"/>
      <c r="F1238" s="22" t="s">
        <v>351</v>
      </c>
      <c r="G1238" s="288">
        <v>525</v>
      </c>
      <c r="H1238" s="1"/>
      <c r="I1238" s="1">
        <f>COUNTIF(Tabela1[NF],Tabela1[[#This Row],[NF]])</f>
        <v>0</v>
      </c>
      <c r="K1238" s="26">
        <f t="shared" si="5"/>
        <v>46031</v>
      </c>
      <c r="N1238" s="14" t="str" cm="1">
        <f t="array" ref="N1238">_xlfn.XLOOKUP(TRIM(D1238),TRIM(DFC!A:A),DFC!A:A,"NÃO ESTÁ NA DFC")</f>
        <v xml:space="preserve">          DIÁRIAS</v>
      </c>
    </row>
    <row r="1239" spans="1:14" customFormat="1" ht="14.4" x14ac:dyDescent="0.3">
      <c r="A1239" s="24"/>
      <c r="B1239" s="21">
        <v>46031</v>
      </c>
      <c r="C1239" s="21" t="s">
        <v>15</v>
      </c>
      <c r="D1239" s="21" t="s">
        <v>82</v>
      </c>
      <c r="E1239" s="20"/>
      <c r="F1239" s="22" t="s">
        <v>581</v>
      </c>
      <c r="G1239" s="288">
        <v>518.75</v>
      </c>
      <c r="H1239" s="1"/>
      <c r="I1239" s="1">
        <f>COUNTIF(Tabela1[NF],Tabela1[[#This Row],[NF]])</f>
        <v>0</v>
      </c>
      <c r="K1239" s="26">
        <f t="shared" si="5"/>
        <v>46031</v>
      </c>
      <c r="N1239" s="14" t="str" cm="1">
        <f t="array" ref="N1239">_xlfn.XLOOKUP(TRIM(D1239),TRIM(DFC!A:A),DFC!A:A,"NÃO ESTÁ NA DFC")</f>
        <v xml:space="preserve">          DIÁRIAS</v>
      </c>
    </row>
    <row r="1240" spans="1:14" customFormat="1" ht="14.4" x14ac:dyDescent="0.3">
      <c r="A1240" s="24"/>
      <c r="B1240" s="21">
        <v>46031</v>
      </c>
      <c r="C1240" s="21" t="s">
        <v>15</v>
      </c>
      <c r="D1240" s="21" t="s">
        <v>82</v>
      </c>
      <c r="E1240" s="20"/>
      <c r="F1240" s="22" t="s">
        <v>533</v>
      </c>
      <c r="G1240" s="288">
        <v>438.75</v>
      </c>
      <c r="H1240" s="1"/>
      <c r="I1240" s="1">
        <f>COUNTIF(Tabela1[NF],Tabela1[[#This Row],[NF]])</f>
        <v>0</v>
      </c>
      <c r="K1240" s="26">
        <f t="shared" si="5"/>
        <v>46031</v>
      </c>
      <c r="N1240" s="14" t="str" cm="1">
        <f t="array" ref="N1240">_xlfn.XLOOKUP(TRIM(D1240),TRIM(DFC!A:A),DFC!A:A,"NÃO ESTÁ NA DFC")</f>
        <v xml:space="preserve">          DIÁRIAS</v>
      </c>
    </row>
    <row r="1241" spans="1:14" customFormat="1" ht="14.4" x14ac:dyDescent="0.3">
      <c r="A1241" s="19">
        <v>436345</v>
      </c>
      <c r="B1241" s="21">
        <v>46031</v>
      </c>
      <c r="C1241" s="21" t="s">
        <v>15</v>
      </c>
      <c r="D1241" s="21" t="s">
        <v>19</v>
      </c>
      <c r="E1241" s="20"/>
      <c r="F1241" s="22" t="s">
        <v>24</v>
      </c>
      <c r="G1241" s="252">
        <v>52585.52</v>
      </c>
      <c r="H1241" s="1"/>
      <c r="I1241" s="1">
        <f>COUNTIF(Tabela1[NF],Tabela1[[#This Row],[NF]])</f>
        <v>6</v>
      </c>
      <c r="K1241" s="26">
        <f t="shared" ref="K1241:K1270" si="6">B1241</f>
        <v>46031</v>
      </c>
      <c r="N1241" s="14" t="str" cm="1">
        <f t="array" ref="N1241">_xlfn.XLOOKUP(TRIM(D1241),TRIM(DFC!A:A),DFC!A:A,"NÃO ESTÁ NA DFC")</f>
        <v xml:space="preserve">      PEÇAS</v>
      </c>
    </row>
    <row r="1242" spans="1:14" customFormat="1" ht="14.4" x14ac:dyDescent="0.3">
      <c r="A1242" s="24"/>
      <c r="B1242" s="21">
        <v>46034</v>
      </c>
      <c r="C1242" s="21" t="s">
        <v>15</v>
      </c>
      <c r="D1242" s="21" t="s">
        <v>123</v>
      </c>
      <c r="E1242" s="20"/>
      <c r="F1242" s="22" t="s">
        <v>338</v>
      </c>
      <c r="G1242" s="287">
        <v>165.2</v>
      </c>
      <c r="H1242" s="1"/>
      <c r="I1242" s="1">
        <f>COUNTIF(Tabela1[NF],Tabela1[[#This Row],[NF]])</f>
        <v>0</v>
      </c>
      <c r="K1242" s="26">
        <f t="shared" si="6"/>
        <v>46034</v>
      </c>
      <c r="N1242" s="14" t="str" cm="1">
        <f t="array" ref="N1242">_xlfn.XLOOKUP(TRIM(D1242),TRIM(DFC!A:A),DFC!A:A,"NÃO ESTÁ NA DFC")</f>
        <v xml:space="preserve">          SEGURO DE VIDA</v>
      </c>
    </row>
    <row r="1243" spans="1:14" customFormat="1" ht="14.4" x14ac:dyDescent="0.3">
      <c r="A1243" s="24"/>
      <c r="B1243" s="21">
        <v>46034</v>
      </c>
      <c r="C1243" s="21" t="s">
        <v>15</v>
      </c>
      <c r="D1243" s="21" t="s">
        <v>111</v>
      </c>
      <c r="E1243" s="20"/>
      <c r="F1243" s="22" t="s">
        <v>339</v>
      </c>
      <c r="G1243" s="287">
        <v>53.76</v>
      </c>
      <c r="H1243" s="1"/>
      <c r="I1243" s="1">
        <f>COUNTIF(Tabela1[NF],Tabela1[[#This Row],[NF]])</f>
        <v>0</v>
      </c>
      <c r="K1243" s="26">
        <f t="shared" si="6"/>
        <v>46034</v>
      </c>
      <c r="N1243" s="14" t="str" cm="1">
        <f t="array" ref="N1243">_xlfn.XLOOKUP(TRIM(D1243),TRIM(DFC!A:A),DFC!A:A,"NÃO ESTÁ NA DFC")</f>
        <v xml:space="preserve">          TX. BANCÁRIA</v>
      </c>
    </row>
    <row r="1244" spans="1:14" customFormat="1" ht="14.4" x14ac:dyDescent="0.3">
      <c r="A1244" s="24"/>
      <c r="B1244" s="21">
        <v>46034</v>
      </c>
      <c r="C1244" s="21" t="s">
        <v>15</v>
      </c>
      <c r="D1244" s="21" t="s">
        <v>60</v>
      </c>
      <c r="E1244" s="20"/>
      <c r="F1244" s="22" t="s">
        <v>582</v>
      </c>
      <c r="G1244" s="287">
        <v>13054.96</v>
      </c>
      <c r="H1244" s="1"/>
      <c r="I1244" s="1">
        <f>COUNTIF(Tabela1[NF],Tabela1[[#This Row],[NF]])</f>
        <v>0</v>
      </c>
      <c r="K1244" s="26">
        <f t="shared" si="6"/>
        <v>46034</v>
      </c>
      <c r="N1244" s="14" t="str" cm="1">
        <f t="array" ref="N1244">_xlfn.XLOOKUP(TRIM(D1244),TRIM(DFC!A:A),DFC!A:A,"NÃO ESTÁ NA DFC")</f>
        <v xml:space="preserve">          ALUGUEL</v>
      </c>
    </row>
    <row r="1245" spans="1:14" customFormat="1" ht="14.4" x14ac:dyDescent="0.3">
      <c r="A1245" s="24"/>
      <c r="B1245" s="21">
        <v>46034</v>
      </c>
      <c r="C1245" s="21" t="s">
        <v>15</v>
      </c>
      <c r="D1245" s="21" t="s">
        <v>19</v>
      </c>
      <c r="E1245" s="20" t="s">
        <v>583</v>
      </c>
      <c r="F1245" s="22" t="s">
        <v>584</v>
      </c>
      <c r="G1245" s="287">
        <v>17252.7</v>
      </c>
      <c r="H1245" s="1"/>
      <c r="I1245" s="1">
        <f>COUNTIF(Tabela1[NF],Tabela1[[#This Row],[NF]])</f>
        <v>0</v>
      </c>
      <c r="K1245" s="26">
        <f t="shared" si="6"/>
        <v>46034</v>
      </c>
      <c r="N1245" s="14" t="str" cm="1">
        <f t="array" ref="N1245">_xlfn.XLOOKUP(TRIM(D1245),TRIM(DFC!A:A),DFC!A:A,"NÃO ESTÁ NA DFC")</f>
        <v xml:space="preserve">      PEÇAS</v>
      </c>
    </row>
    <row r="1246" spans="1:14" customFormat="1" ht="14.4" x14ac:dyDescent="0.3">
      <c r="A1246" s="24"/>
      <c r="B1246" s="21">
        <v>46034</v>
      </c>
      <c r="C1246" s="21" t="s">
        <v>15</v>
      </c>
      <c r="D1246" s="21" t="s">
        <v>19</v>
      </c>
      <c r="E1246" s="20" t="s">
        <v>583</v>
      </c>
      <c r="F1246" s="22" t="s">
        <v>585</v>
      </c>
      <c r="G1246" s="287">
        <v>8626.31</v>
      </c>
      <c r="H1246" s="1"/>
      <c r="I1246" s="1">
        <f>COUNTIF(Tabela1[NF],Tabela1[[#This Row],[NF]])</f>
        <v>0</v>
      </c>
      <c r="K1246" s="26">
        <f t="shared" si="6"/>
        <v>46034</v>
      </c>
      <c r="N1246" s="14" t="str" cm="1">
        <f t="array" ref="N1246">_xlfn.XLOOKUP(TRIM(D1246),TRIM(DFC!A:A),DFC!A:A,"NÃO ESTÁ NA DFC")</f>
        <v xml:space="preserve">      PEÇAS</v>
      </c>
    </row>
    <row r="1247" spans="1:14" customFormat="1" ht="14.4" x14ac:dyDescent="0.3">
      <c r="A1247" s="24"/>
      <c r="B1247" s="21">
        <v>46034</v>
      </c>
      <c r="C1247" s="21" t="s">
        <v>15</v>
      </c>
      <c r="D1247" s="21" t="s">
        <v>28</v>
      </c>
      <c r="E1247" s="20"/>
      <c r="F1247" s="22" t="s">
        <v>187</v>
      </c>
      <c r="G1247" s="287">
        <v>250</v>
      </c>
      <c r="H1247" s="1"/>
      <c r="I1247" s="1">
        <f>COUNTIF(Tabela1[NF],Tabela1[[#This Row],[NF]])</f>
        <v>0</v>
      </c>
      <c r="K1247" s="26">
        <f t="shared" si="6"/>
        <v>46034</v>
      </c>
      <c r="N1247" s="14" t="str" cm="1">
        <f t="array" ref="N1247">_xlfn.XLOOKUP(TRIM(D1247),TRIM(DFC!A:A),DFC!A:A,"NÃO ESTÁ NA DFC")</f>
        <v xml:space="preserve">          FERRAMENTAS PARA MANUTENÇÃO</v>
      </c>
    </row>
    <row r="1248" spans="1:14" customFormat="1" ht="14.4" x14ac:dyDescent="0.3">
      <c r="A1248" s="24"/>
      <c r="B1248" s="21">
        <v>46034</v>
      </c>
      <c r="C1248" s="21" t="s">
        <v>15</v>
      </c>
      <c r="D1248" s="21" t="s">
        <v>27</v>
      </c>
      <c r="E1248" s="20" t="s">
        <v>586</v>
      </c>
      <c r="F1248" s="22" t="s">
        <v>227</v>
      </c>
      <c r="G1248" s="287">
        <v>2093.3200000000002</v>
      </c>
      <c r="H1248" s="1"/>
      <c r="I1248" s="1">
        <f>COUNTIF(Tabela1[NF],Tabela1[[#This Row],[NF]])</f>
        <v>0</v>
      </c>
      <c r="K1248" s="26">
        <f t="shared" si="6"/>
        <v>46034</v>
      </c>
      <c r="N1248" s="14" t="str" cm="1">
        <f t="array" ref="N1248">_xlfn.XLOOKUP(TRIM(D1248),TRIM(DFC!A:A),DFC!A:A,"NÃO ESTÁ NA DFC")</f>
        <v xml:space="preserve">         ERP</v>
      </c>
    </row>
    <row r="1249" spans="1:14" customFormat="1" ht="14.4" x14ac:dyDescent="0.3">
      <c r="A1249" s="24"/>
      <c r="B1249" s="21">
        <v>46034</v>
      </c>
      <c r="C1249" s="21" t="s">
        <v>15</v>
      </c>
      <c r="D1249" s="21" t="s">
        <v>37</v>
      </c>
      <c r="E1249" s="20"/>
      <c r="F1249" s="22" t="s">
        <v>329</v>
      </c>
      <c r="G1249" s="287">
        <v>308</v>
      </c>
      <c r="H1249" s="1"/>
      <c r="I1249" s="1">
        <f>COUNTIF(Tabela1[NF],Tabela1[[#This Row],[NF]])</f>
        <v>0</v>
      </c>
      <c r="K1249" s="26">
        <f t="shared" si="6"/>
        <v>46034</v>
      </c>
      <c r="N1249" s="14" t="str" cm="1">
        <f t="array" ref="N1249">_xlfn.XLOOKUP(TRIM(D1249),TRIM(DFC!A:A),DFC!A:A,"NÃO ESTÁ NA DFC")</f>
        <v xml:space="preserve">          MATERIAL DE ESCRITÓRIO</v>
      </c>
    </row>
    <row r="1250" spans="1:14" customFormat="1" ht="14.4" x14ac:dyDescent="0.3">
      <c r="A1250" s="24"/>
      <c r="B1250" s="21">
        <v>46034</v>
      </c>
      <c r="C1250" s="21" t="s">
        <v>15</v>
      </c>
      <c r="D1250" s="21" t="s">
        <v>19</v>
      </c>
      <c r="E1250" s="20"/>
      <c r="F1250" s="22" t="s">
        <v>186</v>
      </c>
      <c r="G1250" s="287">
        <v>325</v>
      </c>
      <c r="H1250" s="1"/>
      <c r="I1250" s="1">
        <f>COUNTIF(Tabela1[NF],Tabela1[[#This Row],[NF]])</f>
        <v>0</v>
      </c>
      <c r="K1250" s="26">
        <f t="shared" si="6"/>
        <v>46034</v>
      </c>
      <c r="N1250" s="14" t="str" cm="1">
        <f t="array" ref="N1250">_xlfn.XLOOKUP(TRIM(D1250),TRIM(DFC!A:A),DFC!A:A,"NÃO ESTÁ NA DFC")</f>
        <v xml:space="preserve">      PEÇAS</v>
      </c>
    </row>
    <row r="1251" spans="1:14" customFormat="1" ht="14.4" x14ac:dyDescent="0.3">
      <c r="A1251" s="24"/>
      <c r="B1251" s="21">
        <v>46034</v>
      </c>
      <c r="C1251" s="21" t="s">
        <v>15</v>
      </c>
      <c r="D1251" s="21" t="s">
        <v>19</v>
      </c>
      <c r="E1251" s="20"/>
      <c r="F1251" s="22" t="s">
        <v>315</v>
      </c>
      <c r="G1251" s="287">
        <v>350</v>
      </c>
      <c r="H1251" s="1"/>
      <c r="I1251" s="1">
        <f>COUNTIF(Tabela1[NF],Tabela1[[#This Row],[NF]])</f>
        <v>0</v>
      </c>
      <c r="K1251" s="26">
        <f t="shared" si="6"/>
        <v>46034</v>
      </c>
      <c r="N1251" s="14" t="str" cm="1">
        <f t="array" ref="N1251">_xlfn.XLOOKUP(TRIM(D1251),TRIM(DFC!A:A),DFC!A:A,"NÃO ESTÁ NA DFC")</f>
        <v xml:space="preserve">      PEÇAS</v>
      </c>
    </row>
    <row r="1252" spans="1:14" customFormat="1" ht="14.4" x14ac:dyDescent="0.3">
      <c r="A1252" s="24"/>
      <c r="B1252" s="21">
        <v>46034</v>
      </c>
      <c r="C1252" s="21" t="s">
        <v>15</v>
      </c>
      <c r="D1252" s="21" t="s">
        <v>40</v>
      </c>
      <c r="E1252" s="20" t="s">
        <v>181</v>
      </c>
      <c r="F1252" s="22" t="s">
        <v>342</v>
      </c>
      <c r="G1252" s="287">
        <v>120</v>
      </c>
      <c r="H1252" s="1"/>
      <c r="I1252" s="1">
        <f>COUNTIF(Tabela1[NF],Tabela1[[#This Row],[NF]])</f>
        <v>0</v>
      </c>
      <c r="K1252" s="26">
        <f t="shared" si="6"/>
        <v>46034</v>
      </c>
      <c r="N1252" s="14" t="str" cm="1">
        <f t="array" ref="N1252">_xlfn.XLOOKUP(TRIM(D1252),TRIM(DFC!A:A),DFC!A:A,"NÃO ESTÁ NA DFC")</f>
        <v xml:space="preserve">         SERVIÇO TERCEIRIZADO</v>
      </c>
    </row>
    <row r="1253" spans="1:14" customFormat="1" ht="14.4" x14ac:dyDescent="0.3">
      <c r="A1253" s="24"/>
      <c r="B1253" s="21">
        <v>46034</v>
      </c>
      <c r="C1253" s="21" t="s">
        <v>15</v>
      </c>
      <c r="D1253" s="84" t="s">
        <v>37</v>
      </c>
      <c r="E1253" s="20"/>
      <c r="F1253" s="22" t="s">
        <v>341</v>
      </c>
      <c r="G1253" s="287">
        <v>180.75</v>
      </c>
      <c r="H1253" s="1"/>
      <c r="I1253" s="1">
        <f>COUNTIF(Tabela1[NF],Tabela1[[#This Row],[NF]])</f>
        <v>0</v>
      </c>
      <c r="K1253" s="26">
        <f t="shared" si="6"/>
        <v>46034</v>
      </c>
      <c r="N1253" s="14" t="str" cm="1">
        <f t="array" ref="N1253">_xlfn.XLOOKUP(TRIM(D1253),TRIM(DFC!A:A),DFC!A:A,"NÃO ESTÁ NA DFC")</f>
        <v xml:space="preserve">          MATERIAL DE ESCRITÓRIO</v>
      </c>
    </row>
    <row r="1254" spans="1:14" customFormat="1" ht="14.4" x14ac:dyDescent="0.3">
      <c r="A1254" s="24"/>
      <c r="B1254" s="21">
        <v>46034</v>
      </c>
      <c r="C1254" s="21" t="s">
        <v>15</v>
      </c>
      <c r="D1254" s="21" t="s">
        <v>19</v>
      </c>
      <c r="E1254" s="20"/>
      <c r="F1254" s="22" t="s">
        <v>315</v>
      </c>
      <c r="G1254" s="287">
        <v>1050</v>
      </c>
      <c r="H1254" s="1"/>
      <c r="I1254" s="1">
        <f>COUNTIF(Tabela1[NF],Tabela1[[#This Row],[NF]])</f>
        <v>0</v>
      </c>
      <c r="K1254" s="26">
        <f t="shared" si="6"/>
        <v>46034</v>
      </c>
      <c r="N1254" s="14" t="str" cm="1">
        <f t="array" ref="N1254">_xlfn.XLOOKUP(TRIM(D1254),TRIM(DFC!A:A),DFC!A:A,"NÃO ESTÁ NA DFC")</f>
        <v xml:space="preserve">      PEÇAS</v>
      </c>
    </row>
    <row r="1255" spans="1:14" customFormat="1" ht="14.4" x14ac:dyDescent="0.3">
      <c r="A1255" s="24"/>
      <c r="B1255" s="21">
        <v>46034</v>
      </c>
      <c r="C1255" s="21" t="s">
        <v>15</v>
      </c>
      <c r="D1255" s="21" t="s">
        <v>19</v>
      </c>
      <c r="E1255" s="20"/>
      <c r="F1255" s="22" t="s">
        <v>315</v>
      </c>
      <c r="G1255" s="287">
        <v>2183.34</v>
      </c>
      <c r="H1255" s="1"/>
      <c r="I1255" s="1">
        <f>COUNTIF(Tabela1[NF],Tabela1[[#This Row],[NF]])</f>
        <v>0</v>
      </c>
      <c r="K1255" s="26">
        <f t="shared" si="6"/>
        <v>46034</v>
      </c>
      <c r="N1255" s="14" t="str" cm="1">
        <f t="array" ref="N1255">_xlfn.XLOOKUP(TRIM(D1255),TRIM(DFC!A:A),DFC!A:A,"NÃO ESTÁ NA DFC")</f>
        <v xml:space="preserve">      PEÇAS</v>
      </c>
    </row>
    <row r="1256" spans="1:14" customFormat="1" ht="14.4" x14ac:dyDescent="0.3">
      <c r="A1256" s="24"/>
      <c r="B1256" s="21">
        <v>46034</v>
      </c>
      <c r="C1256" s="21" t="s">
        <v>15</v>
      </c>
      <c r="D1256" s="21" t="s">
        <v>19</v>
      </c>
      <c r="E1256" s="20"/>
      <c r="F1256" s="22" t="s">
        <v>195</v>
      </c>
      <c r="G1256" s="287">
        <v>859.55</v>
      </c>
      <c r="H1256" s="1"/>
      <c r="I1256" s="1">
        <f>COUNTIF(Tabela1[NF],Tabela1[[#This Row],[NF]])</f>
        <v>0</v>
      </c>
      <c r="K1256" s="26">
        <f t="shared" si="6"/>
        <v>46034</v>
      </c>
      <c r="N1256" s="14" t="str" cm="1">
        <f t="array" ref="N1256">_xlfn.XLOOKUP(TRIM(D1256),TRIM(DFC!A:A),DFC!A:A,"NÃO ESTÁ NA DFC")</f>
        <v xml:space="preserve">      PEÇAS</v>
      </c>
    </row>
    <row r="1257" spans="1:14" customFormat="1" ht="14.4" x14ac:dyDescent="0.3">
      <c r="A1257" s="24"/>
      <c r="B1257" s="21">
        <v>46034</v>
      </c>
      <c r="C1257" s="21" t="s">
        <v>15</v>
      </c>
      <c r="D1257" s="84" t="s">
        <v>60</v>
      </c>
      <c r="E1257" s="81" t="s">
        <v>60</v>
      </c>
      <c r="F1257" s="22" t="s">
        <v>587</v>
      </c>
      <c r="G1257" s="287">
        <v>6105.67</v>
      </c>
      <c r="H1257" s="1"/>
      <c r="I1257" s="1">
        <f>COUNTIF(Tabela1[NF],Tabela1[[#This Row],[NF]])</f>
        <v>0</v>
      </c>
      <c r="K1257" s="26">
        <f t="shared" si="6"/>
        <v>46034</v>
      </c>
      <c r="N1257" s="14" t="str" cm="1">
        <f t="array" ref="N1257">_xlfn.XLOOKUP(TRIM(D1257),TRIM(DFC!A:A),DFC!A:A,"NÃO ESTÁ NA DFC")</f>
        <v xml:space="preserve">          ALUGUEL</v>
      </c>
    </row>
    <row r="1258" spans="1:14" customFormat="1" ht="14.4" x14ac:dyDescent="0.3">
      <c r="A1258" s="19">
        <v>444777</v>
      </c>
      <c r="B1258" s="21">
        <v>46034</v>
      </c>
      <c r="C1258" s="21" t="s">
        <v>15</v>
      </c>
      <c r="D1258" s="21" t="s">
        <v>19</v>
      </c>
      <c r="E1258" s="20"/>
      <c r="F1258" s="22" t="s">
        <v>24</v>
      </c>
      <c r="G1258" s="252">
        <v>2945</v>
      </c>
      <c r="H1258" s="1"/>
      <c r="I1258" s="1">
        <f>COUNTIF(Tabela1[NF],Tabela1[[#This Row],[NF]])</f>
        <v>4</v>
      </c>
      <c r="K1258" s="26">
        <f t="shared" si="6"/>
        <v>46034</v>
      </c>
      <c r="N1258" s="14" t="str" cm="1">
        <f t="array" ref="N1258">_xlfn.XLOOKUP(TRIM(D1258),TRIM(DFC!A:A),DFC!A:A,"NÃO ESTÁ NA DFC")</f>
        <v xml:space="preserve">      PEÇAS</v>
      </c>
    </row>
    <row r="1259" spans="1:14" customFormat="1" ht="14.4" x14ac:dyDescent="0.3">
      <c r="A1259" s="24"/>
      <c r="B1259" s="21">
        <v>46035</v>
      </c>
      <c r="C1259" s="21" t="s">
        <v>15</v>
      </c>
      <c r="D1259" s="21" t="s">
        <v>154</v>
      </c>
      <c r="E1259" s="20"/>
      <c r="F1259" s="22" t="s">
        <v>299</v>
      </c>
      <c r="G1259" s="287">
        <v>1660.69</v>
      </c>
      <c r="H1259" s="1"/>
      <c r="I1259" s="1">
        <f>COUNTIF(Tabela1[NF],Tabela1[[#This Row],[NF]])</f>
        <v>0</v>
      </c>
      <c r="K1259" s="26">
        <f t="shared" si="6"/>
        <v>46035</v>
      </c>
      <c r="N1259" s="14" t="str" cm="1">
        <f t="array" ref="N1259">_xlfn.XLOOKUP(TRIM(D1259),TRIM(DFC!A:A),DFC!A:A,"NÃO ESTÁ NA DFC")</f>
        <v xml:space="preserve">      EMBALAGENS</v>
      </c>
    </row>
    <row r="1260" spans="1:14" customFormat="1" ht="14.4" x14ac:dyDescent="0.3">
      <c r="A1260" s="24"/>
      <c r="B1260" s="21">
        <v>46035</v>
      </c>
      <c r="C1260" s="21" t="s">
        <v>15</v>
      </c>
      <c r="D1260" s="21" t="s">
        <v>19</v>
      </c>
      <c r="E1260" s="20"/>
      <c r="F1260" s="22" t="s">
        <v>228</v>
      </c>
      <c r="G1260" s="287">
        <v>6686.98</v>
      </c>
      <c r="H1260" s="1"/>
      <c r="I1260" s="1">
        <f>COUNTIF(Tabela1[NF],Tabela1[[#This Row],[NF]])</f>
        <v>0</v>
      </c>
      <c r="K1260" s="26">
        <f t="shared" si="6"/>
        <v>46035</v>
      </c>
      <c r="N1260" s="14" t="str" cm="1">
        <f t="array" ref="N1260">_xlfn.XLOOKUP(TRIM(D1260),TRIM(DFC!A:A),DFC!A:A,"NÃO ESTÁ NA DFC")</f>
        <v xml:space="preserve">      PEÇAS</v>
      </c>
    </row>
    <row r="1261" spans="1:14" customFormat="1" ht="14.4" x14ac:dyDescent="0.3">
      <c r="A1261" s="24"/>
      <c r="B1261" s="21">
        <v>46035</v>
      </c>
      <c r="C1261" s="21" t="s">
        <v>15</v>
      </c>
      <c r="D1261" s="21" t="s">
        <v>19</v>
      </c>
      <c r="E1261" s="20"/>
      <c r="F1261" s="22" t="s">
        <v>315</v>
      </c>
      <c r="G1261" s="287">
        <v>6560.93</v>
      </c>
      <c r="H1261" s="1"/>
      <c r="I1261" s="1">
        <f>COUNTIF(Tabela1[NF],Tabela1[[#This Row],[NF]])</f>
        <v>0</v>
      </c>
      <c r="K1261" s="26">
        <f t="shared" si="6"/>
        <v>46035</v>
      </c>
      <c r="N1261" s="14" t="str" cm="1">
        <f t="array" ref="N1261">_xlfn.XLOOKUP(TRIM(D1261),TRIM(DFC!A:A),DFC!A:A,"NÃO ESTÁ NA DFC")</f>
        <v xml:space="preserve">      PEÇAS</v>
      </c>
    </row>
    <row r="1262" spans="1:14" customFormat="1" ht="14.4" x14ac:dyDescent="0.3">
      <c r="A1262" s="24"/>
      <c r="B1262" s="21">
        <v>46035</v>
      </c>
      <c r="C1262" s="21" t="s">
        <v>15</v>
      </c>
      <c r="D1262" s="21" t="s">
        <v>154</v>
      </c>
      <c r="E1262" s="20"/>
      <c r="F1262" s="22" t="s">
        <v>299</v>
      </c>
      <c r="G1262" s="287">
        <v>1471.56</v>
      </c>
      <c r="H1262" s="1"/>
      <c r="I1262" s="1">
        <f>COUNTIF(Tabela1[NF],Tabela1[[#This Row],[NF]])</f>
        <v>0</v>
      </c>
      <c r="K1262" s="26">
        <f t="shared" si="6"/>
        <v>46035</v>
      </c>
      <c r="N1262" s="14" t="str" cm="1">
        <f t="array" ref="N1262">_xlfn.XLOOKUP(TRIM(D1262),TRIM(DFC!A:A),DFC!A:A,"NÃO ESTÁ NA DFC")</f>
        <v xml:space="preserve">      EMBALAGENS</v>
      </c>
    </row>
    <row r="1263" spans="1:14" customFormat="1" ht="14.4" x14ac:dyDescent="0.3">
      <c r="A1263" s="24"/>
      <c r="B1263" s="21">
        <v>46035</v>
      </c>
      <c r="C1263" s="21" t="s">
        <v>15</v>
      </c>
      <c r="D1263" s="21" t="s">
        <v>22</v>
      </c>
      <c r="E1263" s="20"/>
      <c r="F1263" s="22" t="s">
        <v>496</v>
      </c>
      <c r="G1263" s="287">
        <v>990</v>
      </c>
      <c r="H1263" s="1"/>
      <c r="I1263" s="1">
        <f>COUNTIF(Tabela1[NF],Tabela1[[#This Row],[NF]])</f>
        <v>0</v>
      </c>
      <c r="K1263" s="26">
        <f t="shared" si="6"/>
        <v>46035</v>
      </c>
      <c r="N1263" s="14" t="str" cm="1">
        <f t="array" ref="N1263">_xlfn.XLOOKUP(TRIM(D1263),TRIM(DFC!A:A),DFC!A:A,"NÃO ESTÁ NA DFC")</f>
        <v xml:space="preserve">         CONSULTORIAS</v>
      </c>
    </row>
    <row r="1264" spans="1:14" customFormat="1" ht="14.4" x14ac:dyDescent="0.3">
      <c r="A1264" s="24"/>
      <c r="B1264" s="21">
        <v>46035</v>
      </c>
      <c r="C1264" s="21" t="s">
        <v>15</v>
      </c>
      <c r="D1264" s="21" t="s">
        <v>41</v>
      </c>
      <c r="E1264" s="20"/>
      <c r="F1264" s="22" t="s">
        <v>345</v>
      </c>
      <c r="G1264" s="287">
        <v>76.5</v>
      </c>
      <c r="H1264" s="1"/>
      <c r="I1264" s="1">
        <f>COUNTIF(Tabela1[NF],Tabela1[[#This Row],[NF]])</f>
        <v>0</v>
      </c>
      <c r="K1264" s="26">
        <f t="shared" si="6"/>
        <v>46035</v>
      </c>
      <c r="N1264" s="14" t="str" cm="1">
        <f t="array" ref="N1264">_xlfn.XLOOKUP(TRIM(D1264),TRIM(DFC!A:A),DFC!A:A,"NÃO ESTÁ NA DFC")</f>
        <v xml:space="preserve">         T.I</v>
      </c>
    </row>
    <row r="1265" spans="1:14" customFormat="1" ht="14.4" x14ac:dyDescent="0.3">
      <c r="A1265" s="24"/>
      <c r="B1265" s="21">
        <v>46035</v>
      </c>
      <c r="C1265" s="21" t="s">
        <v>15</v>
      </c>
      <c r="D1265" s="21" t="s">
        <v>104</v>
      </c>
      <c r="E1265" s="20" t="s">
        <v>202</v>
      </c>
      <c r="F1265" s="22" t="s">
        <v>201</v>
      </c>
      <c r="G1265" s="287">
        <v>0</v>
      </c>
      <c r="H1265" s="1"/>
      <c r="I1265" s="1">
        <f>COUNTIF(Tabela1[NF],Tabela1[[#This Row],[NF]])</f>
        <v>0</v>
      </c>
      <c r="K1265" s="26">
        <f t="shared" si="6"/>
        <v>46035</v>
      </c>
      <c r="N1265" s="14" t="str" cm="1">
        <f t="array" ref="N1265">_xlfn.XLOOKUP(TRIM(D1265),TRIM(DFC!A:A),DFC!A:A,"NÃO ESTÁ NA DFC")</f>
        <v xml:space="preserve">          OUTRAS DESPESAS ADMINISTRATIVAS</v>
      </c>
    </row>
    <row r="1266" spans="1:14" customFormat="1" ht="14.4" x14ac:dyDescent="0.3">
      <c r="A1266" s="24"/>
      <c r="B1266" s="21">
        <v>46035</v>
      </c>
      <c r="C1266" s="21" t="s">
        <v>15</v>
      </c>
      <c r="D1266" s="84" t="s">
        <v>98</v>
      </c>
      <c r="E1266" s="20"/>
      <c r="F1266" s="22" t="s">
        <v>588</v>
      </c>
      <c r="G1266" s="287">
        <v>10</v>
      </c>
      <c r="H1266" s="1"/>
      <c r="I1266" s="1">
        <f>COUNTIF(Tabela1[NF],Tabela1[[#This Row],[NF]])</f>
        <v>0</v>
      </c>
      <c r="K1266" s="26">
        <f t="shared" si="6"/>
        <v>46035</v>
      </c>
      <c r="N1266" s="14" t="str" cm="1">
        <f t="array" ref="N1266">_xlfn.XLOOKUP(TRIM(D1266),TRIM(DFC!A:A),DFC!A:A,"NÃO ESTÁ NA DFC")</f>
        <v xml:space="preserve">     REEMBOLSO SAC</v>
      </c>
    </row>
    <row r="1267" spans="1:14" customFormat="1" ht="14.4" x14ac:dyDescent="0.3">
      <c r="A1267" s="24"/>
      <c r="B1267" s="21">
        <v>46035</v>
      </c>
      <c r="C1267" s="21" t="s">
        <v>15</v>
      </c>
      <c r="D1267" s="21" t="s">
        <v>19</v>
      </c>
      <c r="E1267" s="20"/>
      <c r="F1267" s="22" t="s">
        <v>589</v>
      </c>
      <c r="G1267" s="287">
        <v>538.4</v>
      </c>
      <c r="H1267" s="1"/>
      <c r="I1267" s="1">
        <f>COUNTIF(Tabela1[NF],Tabela1[[#This Row],[NF]])</f>
        <v>0</v>
      </c>
      <c r="K1267" s="26">
        <f t="shared" si="6"/>
        <v>46035</v>
      </c>
      <c r="N1267" s="14" t="str" cm="1">
        <f t="array" ref="N1267">_xlfn.XLOOKUP(TRIM(D1267),TRIM(DFC!A:A),DFC!A:A,"NÃO ESTÁ NA DFC")</f>
        <v xml:space="preserve">      PEÇAS</v>
      </c>
    </row>
    <row r="1268" spans="1:14" customFormat="1" ht="14.4" x14ac:dyDescent="0.3">
      <c r="A1268" s="24"/>
      <c r="B1268" s="21">
        <v>46035</v>
      </c>
      <c r="C1268" s="21" t="s">
        <v>15</v>
      </c>
      <c r="D1268" s="21" t="s">
        <v>82</v>
      </c>
      <c r="E1268" s="20"/>
      <c r="F1268" s="22" t="s">
        <v>353</v>
      </c>
      <c r="G1268" s="287">
        <v>501.67</v>
      </c>
      <c r="H1268" s="1"/>
      <c r="I1268" s="1">
        <f>COUNTIF(Tabela1[NF],Tabela1[[#This Row],[NF]])</f>
        <v>0</v>
      </c>
      <c r="K1268" s="26">
        <f t="shared" si="6"/>
        <v>46035</v>
      </c>
      <c r="N1268" s="14" t="str" cm="1">
        <f t="array" ref="N1268">_xlfn.XLOOKUP(TRIM(D1268),TRIM(DFC!A:A),DFC!A:A,"NÃO ESTÁ NA DFC")</f>
        <v xml:space="preserve">          DIÁRIAS</v>
      </c>
    </row>
    <row r="1269" spans="1:14" customFormat="1" ht="14.4" x14ac:dyDescent="0.3">
      <c r="A1269" s="24"/>
      <c r="B1269" s="21">
        <v>46035</v>
      </c>
      <c r="C1269" s="21" t="s">
        <v>15</v>
      </c>
      <c r="D1269" s="21" t="s">
        <v>19</v>
      </c>
      <c r="E1269" s="20"/>
      <c r="F1269" s="199" t="s">
        <v>103</v>
      </c>
      <c r="G1269" s="289">
        <v>10000</v>
      </c>
      <c r="H1269" s="1"/>
      <c r="I1269" s="1">
        <f>COUNTIF(Tabela1[NF],Tabela1[[#This Row],[NF]])</f>
        <v>0</v>
      </c>
      <c r="K1269" s="26">
        <f t="shared" si="6"/>
        <v>46035</v>
      </c>
      <c r="N1269" s="14" t="str" cm="1">
        <f t="array" ref="N1269">_xlfn.XLOOKUP(TRIM(D1269),TRIM(DFC!A:A),DFC!A:A,"NÃO ESTÁ NA DFC")</f>
        <v xml:space="preserve">      PEÇAS</v>
      </c>
    </row>
    <row r="1270" spans="1:14" customFormat="1" ht="14.4" x14ac:dyDescent="0.3">
      <c r="A1270" s="19">
        <v>445170</v>
      </c>
      <c r="B1270" s="21">
        <v>46035</v>
      </c>
      <c r="C1270" s="21" t="s">
        <v>15</v>
      </c>
      <c r="D1270" s="21" t="s">
        <v>19</v>
      </c>
      <c r="E1270" s="20"/>
      <c r="F1270" s="22" t="s">
        <v>24</v>
      </c>
      <c r="G1270" s="252">
        <v>651</v>
      </c>
      <c r="H1270" s="1"/>
      <c r="I1270" s="1">
        <f>COUNTIF(Tabela1[NF],Tabela1[[#This Row],[NF]])</f>
        <v>4</v>
      </c>
      <c r="K1270" s="26">
        <f t="shared" si="6"/>
        <v>46035</v>
      </c>
      <c r="N1270" s="14" t="str" cm="1">
        <f t="array" ref="N1270">_xlfn.XLOOKUP(TRIM(D1270),TRIM(DFC!A:A),DFC!A:A,"NÃO ESTÁ NA DFC")</f>
        <v xml:space="preserve">      PEÇAS</v>
      </c>
    </row>
    <row r="1271" spans="1:14" customFormat="1" ht="28.8" x14ac:dyDescent="0.3">
      <c r="A1271" s="19"/>
      <c r="B1271" s="21">
        <v>46035</v>
      </c>
      <c r="C1271" s="280" t="s">
        <v>202</v>
      </c>
      <c r="D1271" s="21" t="s">
        <v>503</v>
      </c>
      <c r="E1271" s="20"/>
      <c r="F1271" s="22" t="s">
        <v>204</v>
      </c>
      <c r="G1271" s="252">
        <v>4300</v>
      </c>
      <c r="H1271" s="1"/>
      <c r="I1271" s="1">
        <f>COUNTIF(Tabela1[NF],Tabela1[[#This Row],[NF]])</f>
        <v>0</v>
      </c>
      <c r="K1271" s="26">
        <v>46035</v>
      </c>
      <c r="N1271" s="14" t="str" cm="1">
        <f t="array" ref="N1271">_xlfn.XLOOKUP(TRIM(D1271),TRIM(DFC!A:A),DFC!A:A,"NÃO ESTÁ NA DFC")</f>
        <v xml:space="preserve">     ADS SHOPEE</v>
      </c>
    </row>
    <row r="1272" spans="1:14" customFormat="1" ht="28.8" x14ac:dyDescent="0.3">
      <c r="A1272" s="19"/>
      <c r="B1272" s="21">
        <v>46035</v>
      </c>
      <c r="C1272" s="280" t="s">
        <v>202</v>
      </c>
      <c r="D1272" s="21" t="s">
        <v>57</v>
      </c>
      <c r="E1272" s="20"/>
      <c r="F1272" s="22" t="s">
        <v>204</v>
      </c>
      <c r="G1272" s="252">
        <v>1282</v>
      </c>
      <c r="H1272" s="1"/>
      <c r="I1272" s="1">
        <f>COUNTIF(Tabela1[NF],Tabela1[[#This Row],[NF]])</f>
        <v>0</v>
      </c>
      <c r="K1272" s="26">
        <v>46035</v>
      </c>
      <c r="N1272" s="14" t="str" cm="1">
        <f t="array" ref="N1272">_xlfn.XLOOKUP(TRIM(D1272),TRIM(DFC!A:A),DFC!A:A,"NÃO ESTÁ NA DFC")</f>
        <v xml:space="preserve">          ALIMENTAÇÃO</v>
      </c>
    </row>
    <row r="1273" spans="1:14" customFormat="1" ht="28.8" x14ac:dyDescent="0.3">
      <c r="A1273" s="19"/>
      <c r="B1273" s="21">
        <v>46035</v>
      </c>
      <c r="C1273" s="280" t="s">
        <v>202</v>
      </c>
      <c r="D1273" s="21" t="s">
        <v>203</v>
      </c>
      <c r="E1273" s="20"/>
      <c r="F1273" s="22" t="s">
        <v>204</v>
      </c>
      <c r="G1273" s="252">
        <v>2351.89</v>
      </c>
      <c r="H1273" s="1"/>
      <c r="I1273" s="1">
        <f>COUNTIF(Tabela1[NF],Tabela1[[#This Row],[NF]])</f>
        <v>0</v>
      </c>
      <c r="K1273" s="26">
        <v>46035</v>
      </c>
      <c r="N1273" s="14" t="str" cm="1">
        <f t="array" ref="N1273">_xlfn.XLOOKUP(TRIM(D1273),TRIM(DFC!A:A),DFC!A:A,"NÃO ESTÁ NA DFC")</f>
        <v xml:space="preserve">         ASSINATURAS</v>
      </c>
    </row>
    <row r="1274" spans="1:14" customFormat="1" ht="28.8" x14ac:dyDescent="0.3">
      <c r="A1274" s="19"/>
      <c r="B1274" s="21">
        <v>46035</v>
      </c>
      <c r="C1274" s="280" t="s">
        <v>202</v>
      </c>
      <c r="D1274" s="21" t="s">
        <v>18</v>
      </c>
      <c r="E1274" s="20"/>
      <c r="F1274" s="22" t="s">
        <v>204</v>
      </c>
      <c r="G1274" s="252">
        <v>55</v>
      </c>
      <c r="H1274" s="1"/>
      <c r="I1274" s="1">
        <f>COUNTIF(Tabela1[NF],Tabela1[[#This Row],[NF]])</f>
        <v>0</v>
      </c>
      <c r="K1274" s="26">
        <v>46035</v>
      </c>
      <c r="N1274" s="14" t="str" cm="1">
        <f t="array" ref="N1274">_xlfn.XLOOKUP(TRIM(D1274),TRIM(DFC!A:A),DFC!A:A,"NÃO ESTÁ NA DFC")</f>
        <v xml:space="preserve">     COMISSÕES E TAXAS DOS MARKETPLACES</v>
      </c>
    </row>
    <row r="1275" spans="1:14" customFormat="1" ht="28.8" x14ac:dyDescent="0.3">
      <c r="A1275" s="19"/>
      <c r="B1275" s="21">
        <v>46035</v>
      </c>
      <c r="C1275" s="280" t="s">
        <v>202</v>
      </c>
      <c r="D1275" s="21" t="s">
        <v>76</v>
      </c>
      <c r="E1275" s="20"/>
      <c r="F1275" s="22" t="s">
        <v>204</v>
      </c>
      <c r="G1275" s="252">
        <v>184.17</v>
      </c>
      <c r="H1275" s="1"/>
      <c r="I1275" s="1">
        <f>COUNTIF(Tabela1[NF],Tabela1[[#This Row],[NF]])</f>
        <v>0</v>
      </c>
      <c r="K1275" s="26">
        <v>46035</v>
      </c>
      <c r="N1275" s="14" t="str" cm="1">
        <f t="array" ref="N1275">_xlfn.XLOOKUP(TRIM(D1275),TRIM(DFC!A:A),DFC!A:A,"NÃO ESTÁ NA DFC")</f>
        <v xml:space="preserve">          COMPRA DE MÓVEIS E UTENSÍLIOS</v>
      </c>
    </row>
    <row r="1276" spans="1:14" customFormat="1" ht="28.8" x14ac:dyDescent="0.3">
      <c r="A1276" s="19"/>
      <c r="B1276" s="21">
        <v>46035</v>
      </c>
      <c r="C1276" s="280" t="s">
        <v>202</v>
      </c>
      <c r="D1276" s="21" t="s">
        <v>79</v>
      </c>
      <c r="E1276" s="20"/>
      <c r="F1276" s="22" t="s">
        <v>204</v>
      </c>
      <c r="G1276" s="252">
        <v>435</v>
      </c>
      <c r="H1276" s="1"/>
      <c r="I1276" s="1">
        <f>COUNTIF(Tabela1[NF],Tabela1[[#This Row],[NF]])</f>
        <v>0</v>
      </c>
      <c r="K1276" s="26">
        <v>46035</v>
      </c>
      <c r="N1276" s="14" t="str" cm="1">
        <f t="array" ref="N1276">_xlfn.XLOOKUP(TRIM(D1276),TRIM(DFC!A:A),DFC!A:A,"NÃO ESTÁ NA DFC")</f>
        <v xml:space="preserve">     DESP DE MARKETING E PROPAGANDA</v>
      </c>
    </row>
    <row r="1277" spans="1:14" customFormat="1" ht="28.8" x14ac:dyDescent="0.3">
      <c r="A1277" s="19"/>
      <c r="B1277" s="21">
        <v>46035</v>
      </c>
      <c r="C1277" s="280" t="s">
        <v>202</v>
      </c>
      <c r="D1277" s="21" t="s">
        <v>590</v>
      </c>
      <c r="E1277" s="20"/>
      <c r="F1277" s="22" t="s">
        <v>204</v>
      </c>
      <c r="G1277" s="252">
        <v>1705.54</v>
      </c>
      <c r="H1277" s="1"/>
      <c r="I1277" s="1">
        <f>COUNTIF(Tabela1[NF],Tabela1[[#This Row],[NF]])</f>
        <v>0</v>
      </c>
      <c r="K1277" s="26">
        <v>46035</v>
      </c>
      <c r="N1277" s="14" t="str" cm="1">
        <f t="array" ref="N1277">_xlfn.XLOOKUP(TRIM(D1277),TRIM(DFC!A:A),DFC!A:A,"NÃO ESTÁ NA DFC")</f>
        <v xml:space="preserve">          DESPESAS MANUTENCAO VEICULOS</v>
      </c>
    </row>
    <row r="1278" spans="1:14" customFormat="1" ht="28.8" x14ac:dyDescent="0.3">
      <c r="A1278" s="19"/>
      <c r="B1278" s="21">
        <v>46035</v>
      </c>
      <c r="C1278" s="280" t="s">
        <v>202</v>
      </c>
      <c r="D1278" s="21" t="s">
        <v>104</v>
      </c>
      <c r="E1278" s="20"/>
      <c r="F1278" s="22" t="s">
        <v>204</v>
      </c>
      <c r="G1278" s="252">
        <v>507.67999999999995</v>
      </c>
      <c r="H1278" s="1"/>
      <c r="I1278" s="1">
        <f>COUNTIF(Tabela1[NF],Tabela1[[#This Row],[NF]])</f>
        <v>0</v>
      </c>
      <c r="K1278" s="26">
        <v>46035</v>
      </c>
      <c r="N1278" s="14" t="str" cm="1">
        <f t="array" ref="N1278">_xlfn.XLOOKUP(TRIM(D1278),TRIM(DFC!A:A),DFC!A:A,"NÃO ESTÁ NA DFC")</f>
        <v xml:space="preserve">          OUTRAS DESPESAS ADMINISTRATIVAS</v>
      </c>
    </row>
    <row r="1279" spans="1:14" customFormat="1" ht="28.8" x14ac:dyDescent="0.3">
      <c r="A1279" s="19"/>
      <c r="B1279" s="21">
        <v>46035</v>
      </c>
      <c r="C1279" s="280" t="s">
        <v>202</v>
      </c>
      <c r="D1279" s="21" t="s">
        <v>19</v>
      </c>
      <c r="E1279" s="20"/>
      <c r="F1279" s="22" t="s">
        <v>204</v>
      </c>
      <c r="G1279" s="252">
        <v>14587.600000000002</v>
      </c>
      <c r="H1279" s="1"/>
      <c r="I1279" s="1">
        <f>COUNTIF(Tabela1[NF],Tabela1[[#This Row],[NF]])</f>
        <v>0</v>
      </c>
      <c r="K1279" s="26">
        <v>46035</v>
      </c>
      <c r="N1279" s="14" t="str" cm="1">
        <f t="array" ref="N1279">_xlfn.XLOOKUP(TRIM(D1279),TRIM(DFC!A:A),DFC!A:A,"NÃO ESTÁ NA DFC")</f>
        <v xml:space="preserve">      PEÇAS</v>
      </c>
    </row>
    <row r="1280" spans="1:14" customFormat="1" ht="28.8" x14ac:dyDescent="0.3">
      <c r="A1280" s="19"/>
      <c r="B1280" s="21">
        <v>46035</v>
      </c>
      <c r="C1280" s="280" t="s">
        <v>202</v>
      </c>
      <c r="D1280" s="21" t="s">
        <v>110</v>
      </c>
      <c r="E1280" s="20"/>
      <c r="F1280" s="22" t="s">
        <v>204</v>
      </c>
      <c r="G1280" s="252">
        <v>-22.99</v>
      </c>
      <c r="H1280" s="1"/>
      <c r="I1280" s="1">
        <f>COUNTIF(Tabela1[NF],Tabela1[[#This Row],[NF]])</f>
        <v>0</v>
      </c>
      <c r="K1280" s="26">
        <v>46035</v>
      </c>
      <c r="N1280" s="14" t="str" cm="1">
        <f t="array" ref="N1280">_xlfn.XLOOKUP(TRIM(D1280),TRIM(DFC!A:A),DFC!A:A,"NÃO ESTÁ NA DFC")</f>
        <v xml:space="preserve">          REEMBOLSO</v>
      </c>
    </row>
    <row r="1281" spans="1:14" customFormat="1" ht="28.8" x14ac:dyDescent="0.3">
      <c r="A1281" s="19"/>
      <c r="B1281" s="21">
        <v>46035</v>
      </c>
      <c r="C1281" s="280" t="s">
        <v>202</v>
      </c>
      <c r="D1281" s="21" t="s">
        <v>475</v>
      </c>
      <c r="E1281" s="20"/>
      <c r="F1281" s="22" t="s">
        <v>204</v>
      </c>
      <c r="G1281" s="252">
        <v>972.91</v>
      </c>
      <c r="H1281" s="1"/>
      <c r="I1281" s="1">
        <f>COUNTIF(Tabela1[NF],Tabela1[[#This Row],[NF]])</f>
        <v>0</v>
      </c>
      <c r="K1281" s="26">
        <v>46035</v>
      </c>
      <c r="N1281" s="14" t="str" cm="1">
        <f t="array" ref="N1281">_xlfn.XLOOKUP(TRIM(D1281),TRIM(DFC!A:A),DFC!A:A,"NÃO ESTÁ NA DFC")</f>
        <v xml:space="preserve">          SEGURO DE VEICULOS</v>
      </c>
    </row>
    <row r="1282" spans="1:14" customFormat="1" ht="14.4" x14ac:dyDescent="0.3">
      <c r="A1282" s="24"/>
      <c r="B1282" s="21">
        <v>46036</v>
      </c>
      <c r="C1282" s="21" t="s">
        <v>15</v>
      </c>
      <c r="D1282" s="21" t="s">
        <v>111</v>
      </c>
      <c r="E1282" s="20"/>
      <c r="F1282" s="22" t="s">
        <v>114</v>
      </c>
      <c r="G1282" s="287">
        <v>10</v>
      </c>
      <c r="H1282" s="1"/>
      <c r="I1282" s="1">
        <f>COUNTIF(Tabela1[NF],Tabela1[[#This Row],[NF]])</f>
        <v>0</v>
      </c>
      <c r="K1282" s="26">
        <f t="shared" ref="K1282:K1313" si="7">B1282</f>
        <v>46036</v>
      </c>
      <c r="N1282" s="14" t="str" cm="1">
        <f t="array" ref="N1282">_xlfn.XLOOKUP(TRIM(D1282),TRIM(DFC!A:A),DFC!A:A,"NÃO ESTÁ NA DFC")</f>
        <v xml:space="preserve">          TX. BANCÁRIA</v>
      </c>
    </row>
    <row r="1283" spans="1:14" customFormat="1" ht="14.4" x14ac:dyDescent="0.3">
      <c r="A1283" s="24"/>
      <c r="B1283" s="21">
        <v>46036</v>
      </c>
      <c r="C1283" s="21" t="s">
        <v>15</v>
      </c>
      <c r="D1283" s="21" t="s">
        <v>137</v>
      </c>
      <c r="E1283" s="20"/>
      <c r="F1283" s="22" t="s">
        <v>327</v>
      </c>
      <c r="G1283" s="287">
        <v>280</v>
      </c>
      <c r="H1283" s="1"/>
      <c r="I1283" s="1">
        <f>COUNTIF(Tabela1[NF],Tabela1[[#This Row],[NF]])</f>
        <v>0</v>
      </c>
      <c r="K1283" s="26">
        <f t="shared" si="7"/>
        <v>46036</v>
      </c>
      <c r="N1283" s="14" t="str" cm="1">
        <f t="array" ref="N1283">_xlfn.XLOOKUP(TRIM(D1283),TRIM(DFC!A:A),DFC!A:A,"NÃO ESTÁ NA DFC")</f>
        <v xml:space="preserve">          TICKET ALIMENTAÇÃO</v>
      </c>
    </row>
    <row r="1284" spans="1:14" customFormat="1" ht="14.4" x14ac:dyDescent="0.3">
      <c r="A1284" s="24"/>
      <c r="B1284" s="21">
        <v>46037</v>
      </c>
      <c r="C1284" s="21" t="s">
        <v>15</v>
      </c>
      <c r="D1284" s="21" t="s">
        <v>154</v>
      </c>
      <c r="E1284" s="20"/>
      <c r="F1284" s="22" t="s">
        <v>303</v>
      </c>
      <c r="G1284" s="287">
        <v>599.91999999999996</v>
      </c>
      <c r="H1284" s="1"/>
      <c r="I1284" s="1">
        <f>COUNTIF(Tabela1[NF],Tabela1[[#This Row],[NF]])</f>
        <v>0</v>
      </c>
      <c r="K1284" s="26">
        <f t="shared" si="7"/>
        <v>46037</v>
      </c>
      <c r="N1284" s="14" t="str" cm="1">
        <f t="array" ref="N1284">_xlfn.XLOOKUP(TRIM(D1284),TRIM(DFC!A:A),DFC!A:A,"NÃO ESTÁ NA DFC")</f>
        <v xml:space="preserve">      EMBALAGENS</v>
      </c>
    </row>
    <row r="1285" spans="1:14" customFormat="1" ht="14.4" x14ac:dyDescent="0.3">
      <c r="A1285" s="24"/>
      <c r="B1285" s="21">
        <v>46037</v>
      </c>
      <c r="C1285" s="21" t="s">
        <v>15</v>
      </c>
      <c r="D1285" s="21" t="s">
        <v>34</v>
      </c>
      <c r="E1285" s="20"/>
      <c r="F1285" s="22" t="s">
        <v>384</v>
      </c>
      <c r="G1285" s="287">
        <v>149.9</v>
      </c>
      <c r="H1285" s="1"/>
      <c r="I1285" s="1">
        <f>COUNTIF(Tabela1[NF],Tabela1[[#This Row],[NF]])</f>
        <v>0</v>
      </c>
      <c r="K1285" s="26">
        <f t="shared" si="7"/>
        <v>46037</v>
      </c>
      <c r="N1285" s="14" t="str" cm="1">
        <f t="array" ref="N1285">_xlfn.XLOOKUP(TRIM(D1285),TRIM(DFC!A:A),DFC!A:A,"NÃO ESTÁ NA DFC")</f>
        <v xml:space="preserve">          INTERNET</v>
      </c>
    </row>
    <row r="1286" spans="1:14" customFormat="1" ht="14.4" x14ac:dyDescent="0.3">
      <c r="A1286" s="24"/>
      <c r="B1286" s="21">
        <v>46037</v>
      </c>
      <c r="C1286" s="21" t="s">
        <v>15</v>
      </c>
      <c r="D1286" s="21" t="s">
        <v>29</v>
      </c>
      <c r="E1286" s="20"/>
      <c r="F1286" s="22" t="s">
        <v>420</v>
      </c>
      <c r="G1286" s="287">
        <v>4845.28</v>
      </c>
      <c r="H1286" s="1"/>
      <c r="I1286" s="1">
        <f>COUNTIF(Tabela1[NF],Tabela1[[#This Row],[NF]])</f>
        <v>0</v>
      </c>
      <c r="K1286" s="26">
        <f t="shared" si="7"/>
        <v>46037</v>
      </c>
      <c r="N1286" s="14" t="str" cm="1">
        <f t="array" ref="N1286">_xlfn.XLOOKUP(TRIM(D1286),TRIM(DFC!A:A),DFC!A:A,"NÃO ESTÁ NA DFC")</f>
        <v xml:space="preserve">      FRETE DE SAÍDA</v>
      </c>
    </row>
    <row r="1287" spans="1:14" customFormat="1" ht="14.4" x14ac:dyDescent="0.3">
      <c r="A1287" s="24"/>
      <c r="B1287" s="21">
        <v>46037</v>
      </c>
      <c r="C1287" s="21" t="s">
        <v>15</v>
      </c>
      <c r="D1287" s="21" t="s">
        <v>225</v>
      </c>
      <c r="E1287" s="20"/>
      <c r="F1287" s="22" t="s">
        <v>226</v>
      </c>
      <c r="G1287" s="287">
        <v>4422.55</v>
      </c>
      <c r="H1287" s="1"/>
      <c r="I1287" s="1">
        <f>COUNTIF(Tabela1[NF],Tabela1[[#This Row],[NF]])</f>
        <v>0</v>
      </c>
      <c r="K1287" s="26">
        <f t="shared" si="7"/>
        <v>46037</v>
      </c>
      <c r="N1287" s="14" t="str" cm="1">
        <f t="array" ref="N1287">_xlfn.XLOOKUP(TRIM(D1287),TRIM(DFC!A:A),DFC!A:A,"NÃO ESTÁ NA DFC")</f>
        <v xml:space="preserve">     ANYMARKET TAXAS</v>
      </c>
    </row>
    <row r="1288" spans="1:14" customFormat="1" ht="14.4" x14ac:dyDescent="0.3">
      <c r="A1288" s="24"/>
      <c r="B1288" s="21">
        <v>46037</v>
      </c>
      <c r="C1288" s="21" t="s">
        <v>15</v>
      </c>
      <c r="D1288" s="21" t="s">
        <v>19</v>
      </c>
      <c r="E1288" s="20"/>
      <c r="F1288" s="22" t="s">
        <v>315</v>
      </c>
      <c r="G1288" s="287">
        <v>5409.02</v>
      </c>
      <c r="H1288" s="1"/>
      <c r="I1288" s="1">
        <f>COUNTIF(Tabela1[NF],Tabela1[[#This Row],[NF]])</f>
        <v>0</v>
      </c>
      <c r="K1288" s="26">
        <f t="shared" si="7"/>
        <v>46037</v>
      </c>
      <c r="N1288" s="14" t="str" cm="1">
        <f t="array" ref="N1288">_xlfn.XLOOKUP(TRIM(D1288),TRIM(DFC!A:A),DFC!A:A,"NÃO ESTÁ NA DFC")</f>
        <v xml:space="preserve">      PEÇAS</v>
      </c>
    </row>
    <row r="1289" spans="1:14" customFormat="1" ht="14.4" x14ac:dyDescent="0.3">
      <c r="A1289" s="24"/>
      <c r="B1289" s="21">
        <v>46037</v>
      </c>
      <c r="C1289" s="21" t="s">
        <v>15</v>
      </c>
      <c r="D1289" s="21" t="s">
        <v>19</v>
      </c>
      <c r="E1289" s="20"/>
      <c r="F1289" s="22" t="s">
        <v>315</v>
      </c>
      <c r="G1289" s="287">
        <v>1803</v>
      </c>
      <c r="H1289" s="1"/>
      <c r="I1289" s="1">
        <f>COUNTIF(Tabela1[NF],Tabela1[[#This Row],[NF]])</f>
        <v>0</v>
      </c>
      <c r="K1289" s="26">
        <f t="shared" si="7"/>
        <v>46037</v>
      </c>
      <c r="N1289" s="14" t="str" cm="1">
        <f t="array" ref="N1289">_xlfn.XLOOKUP(TRIM(D1289),TRIM(DFC!A:A),DFC!A:A,"NÃO ESTÁ NA DFC")</f>
        <v xml:space="preserve">      PEÇAS</v>
      </c>
    </row>
    <row r="1290" spans="1:14" customFormat="1" ht="14.4" x14ac:dyDescent="0.3">
      <c r="A1290" s="24"/>
      <c r="B1290" s="21">
        <v>46037</v>
      </c>
      <c r="C1290" s="21" t="s">
        <v>15</v>
      </c>
      <c r="D1290" s="21" t="s">
        <v>19</v>
      </c>
      <c r="E1290" s="20"/>
      <c r="F1290" s="22" t="s">
        <v>300</v>
      </c>
      <c r="G1290" s="287">
        <v>5970.22</v>
      </c>
      <c r="H1290" s="1"/>
      <c r="I1290" s="1">
        <f>COUNTIF(Tabela1[NF],Tabela1[[#This Row],[NF]])</f>
        <v>0</v>
      </c>
      <c r="K1290" s="26">
        <f t="shared" si="7"/>
        <v>46037</v>
      </c>
      <c r="N1290" s="14" t="str" cm="1">
        <f t="array" ref="N1290">_xlfn.XLOOKUP(TRIM(D1290),TRIM(DFC!A:A),DFC!A:A,"NÃO ESTÁ NA DFC")</f>
        <v xml:space="preserve">      PEÇAS</v>
      </c>
    </row>
    <row r="1291" spans="1:14" customFormat="1" ht="14.4" x14ac:dyDescent="0.3">
      <c r="A1291" s="24"/>
      <c r="B1291" s="21">
        <v>46037</v>
      </c>
      <c r="C1291" s="21" t="s">
        <v>15</v>
      </c>
      <c r="D1291" s="21" t="s">
        <v>19</v>
      </c>
      <c r="E1291" s="20"/>
      <c r="F1291" s="22" t="s">
        <v>300</v>
      </c>
      <c r="G1291" s="287">
        <v>16957.759999999998</v>
      </c>
      <c r="H1291" s="1"/>
      <c r="I1291" s="1">
        <f>COUNTIF(Tabela1[NF],Tabela1[[#This Row],[NF]])</f>
        <v>0</v>
      </c>
      <c r="K1291" s="26">
        <f t="shared" si="7"/>
        <v>46037</v>
      </c>
      <c r="N1291" s="14" t="str" cm="1">
        <f t="array" ref="N1291">_xlfn.XLOOKUP(TRIM(D1291),TRIM(DFC!A:A),DFC!A:A,"NÃO ESTÁ NA DFC")</f>
        <v xml:space="preserve">      PEÇAS</v>
      </c>
    </row>
    <row r="1292" spans="1:14" customFormat="1" ht="14.4" x14ac:dyDescent="0.3">
      <c r="A1292" s="24"/>
      <c r="B1292" s="21">
        <v>46037</v>
      </c>
      <c r="C1292" s="21" t="s">
        <v>15</v>
      </c>
      <c r="D1292" s="21" t="s">
        <v>19</v>
      </c>
      <c r="E1292" s="20"/>
      <c r="F1292" s="22" t="s">
        <v>483</v>
      </c>
      <c r="G1292" s="287">
        <v>1662.54</v>
      </c>
      <c r="H1292" s="1"/>
      <c r="I1292" s="1">
        <f>COUNTIF(Tabela1[NF],Tabela1[[#This Row],[NF]])</f>
        <v>0</v>
      </c>
      <c r="K1292" s="26">
        <f t="shared" si="7"/>
        <v>46037</v>
      </c>
      <c r="N1292" s="14" t="str" cm="1">
        <f t="array" ref="N1292">_xlfn.XLOOKUP(TRIM(D1292),TRIM(DFC!A:A),DFC!A:A,"NÃO ESTÁ NA DFC")</f>
        <v xml:space="preserve">      PEÇAS</v>
      </c>
    </row>
    <row r="1293" spans="1:14" customFormat="1" ht="14.4" x14ac:dyDescent="0.3">
      <c r="A1293" s="24"/>
      <c r="B1293" s="21">
        <v>46037</v>
      </c>
      <c r="C1293" s="21" t="s">
        <v>15</v>
      </c>
      <c r="D1293" s="21" t="s">
        <v>19</v>
      </c>
      <c r="E1293" s="20"/>
      <c r="F1293" s="22" t="s">
        <v>228</v>
      </c>
      <c r="G1293" s="287">
        <v>1325.8</v>
      </c>
      <c r="H1293" s="1"/>
      <c r="I1293" s="1">
        <f>COUNTIF(Tabela1[NF],Tabela1[[#This Row],[NF]])</f>
        <v>0</v>
      </c>
      <c r="K1293" s="26">
        <f t="shared" si="7"/>
        <v>46037</v>
      </c>
      <c r="N1293" s="14" t="str" cm="1">
        <f t="array" ref="N1293">_xlfn.XLOOKUP(TRIM(D1293),TRIM(DFC!A:A),DFC!A:A,"NÃO ESTÁ NA DFC")</f>
        <v xml:space="preserve">      PEÇAS</v>
      </c>
    </row>
    <row r="1294" spans="1:14" customFormat="1" ht="14.4" x14ac:dyDescent="0.3">
      <c r="A1294" s="24"/>
      <c r="B1294" s="21">
        <v>46037</v>
      </c>
      <c r="C1294" s="21" t="s">
        <v>15</v>
      </c>
      <c r="D1294" s="21" t="s">
        <v>82</v>
      </c>
      <c r="E1294" s="20"/>
      <c r="F1294" s="22" t="s">
        <v>591</v>
      </c>
      <c r="G1294" s="287">
        <v>554.63</v>
      </c>
      <c r="H1294" s="1"/>
      <c r="I1294" s="1">
        <f>COUNTIF(Tabela1[NF],Tabela1[[#This Row],[NF]])</f>
        <v>0</v>
      </c>
      <c r="K1294" s="26">
        <f t="shared" si="7"/>
        <v>46037</v>
      </c>
      <c r="N1294" s="14" t="str" cm="1">
        <f t="array" ref="N1294">_xlfn.XLOOKUP(TRIM(D1294),TRIM(DFC!A:A),DFC!A:A,"NÃO ESTÁ NA DFC")</f>
        <v xml:space="preserve">          DIÁRIAS</v>
      </c>
    </row>
    <row r="1295" spans="1:14" customFormat="1" ht="14.4" x14ac:dyDescent="0.3">
      <c r="A1295" s="24"/>
      <c r="B1295" s="21">
        <v>46037</v>
      </c>
      <c r="C1295" s="21" t="s">
        <v>15</v>
      </c>
      <c r="D1295" s="84" t="s">
        <v>37</v>
      </c>
      <c r="E1295" s="20" t="s">
        <v>592</v>
      </c>
      <c r="F1295" s="22" t="s">
        <v>103</v>
      </c>
      <c r="G1295" s="252">
        <v>2070</v>
      </c>
      <c r="H1295" s="1"/>
      <c r="I1295" s="1">
        <f>COUNTIF(Tabela1[NF],Tabela1[[#This Row],[NF]])</f>
        <v>0</v>
      </c>
      <c r="K1295" s="26">
        <f t="shared" si="7"/>
        <v>46037</v>
      </c>
      <c r="N1295" s="14" t="str" cm="1">
        <f t="array" ref="N1295">_xlfn.XLOOKUP(TRIM(D1295),TRIM(DFC!A:A),DFC!A:A,"NÃO ESTÁ NA DFC")</f>
        <v xml:space="preserve">          MATERIAL DE ESCRITÓRIO</v>
      </c>
    </row>
    <row r="1296" spans="1:14" customFormat="1" ht="14.4" x14ac:dyDescent="0.3">
      <c r="A1296" s="19">
        <v>621001</v>
      </c>
      <c r="B1296" s="21">
        <v>46037</v>
      </c>
      <c r="C1296" s="21" t="s">
        <v>15</v>
      </c>
      <c r="D1296" s="21" t="s">
        <v>19</v>
      </c>
      <c r="E1296" s="20"/>
      <c r="F1296" s="22" t="s">
        <v>310</v>
      </c>
      <c r="G1296" s="252">
        <v>388.78</v>
      </c>
      <c r="H1296" s="1"/>
      <c r="I1296" s="1">
        <f>COUNTIF(Tabela1[NF],Tabela1[[#This Row],[NF]])</f>
        <v>3</v>
      </c>
      <c r="K1296" s="26">
        <f t="shared" si="7"/>
        <v>46037</v>
      </c>
      <c r="N1296" s="14" t="str" cm="1">
        <f t="array" ref="N1296">_xlfn.XLOOKUP(TRIM(D1296),TRIM(DFC!A:A),DFC!A:A,"NÃO ESTÁ NA DFC")</f>
        <v xml:space="preserve">      PEÇAS</v>
      </c>
    </row>
    <row r="1297" spans="1:14" customFormat="1" ht="14.4" x14ac:dyDescent="0.3">
      <c r="A1297" s="19">
        <v>452292</v>
      </c>
      <c r="B1297" s="21">
        <v>46037</v>
      </c>
      <c r="C1297" s="21" t="s">
        <v>15</v>
      </c>
      <c r="D1297" s="21" t="s">
        <v>19</v>
      </c>
      <c r="E1297" s="20"/>
      <c r="F1297" s="22" t="s">
        <v>30</v>
      </c>
      <c r="G1297" s="252">
        <v>6755.48</v>
      </c>
      <c r="H1297" s="1"/>
      <c r="I1297" s="1">
        <f>COUNTIF(Tabela1[NF],Tabela1[[#This Row],[NF]])</f>
        <v>3</v>
      </c>
      <c r="K1297" s="26">
        <f t="shared" si="7"/>
        <v>46037</v>
      </c>
      <c r="N1297" s="14" t="str" cm="1">
        <f t="array" ref="N1297">_xlfn.XLOOKUP(TRIM(D1297),TRIM(DFC!A:A),DFC!A:A,"NÃO ESTÁ NA DFC")</f>
        <v xml:space="preserve">      PEÇAS</v>
      </c>
    </row>
    <row r="1298" spans="1:14" customFormat="1" ht="14.4" x14ac:dyDescent="0.3">
      <c r="A1298" s="19">
        <v>464369</v>
      </c>
      <c r="B1298" s="21">
        <v>46037</v>
      </c>
      <c r="C1298" s="21" t="s">
        <v>15</v>
      </c>
      <c r="D1298" s="21" t="s">
        <v>19</v>
      </c>
      <c r="E1298" s="20"/>
      <c r="F1298" s="22" t="s">
        <v>30</v>
      </c>
      <c r="G1298" s="252">
        <v>37189.85</v>
      </c>
      <c r="H1298" s="1"/>
      <c r="I1298" s="1">
        <f>COUNTIF(Tabela1[NF],Tabela1[[#This Row],[NF]])</f>
        <v>1</v>
      </c>
      <c r="K1298" s="26">
        <f t="shared" si="7"/>
        <v>46037</v>
      </c>
      <c r="N1298" s="14" t="str" cm="1">
        <f t="array" ref="N1298">_xlfn.XLOOKUP(TRIM(D1298),TRIM(DFC!A:A),DFC!A:A,"NÃO ESTÁ NA DFC")</f>
        <v xml:space="preserve">      PEÇAS</v>
      </c>
    </row>
    <row r="1299" spans="1:14" customFormat="1" ht="14.4" x14ac:dyDescent="0.3">
      <c r="A1299" s="24"/>
      <c r="B1299" s="21">
        <v>46038</v>
      </c>
      <c r="C1299" s="21" t="s">
        <v>15</v>
      </c>
      <c r="D1299" s="21" t="s">
        <v>19</v>
      </c>
      <c r="E1299" s="20"/>
      <c r="F1299" s="22" t="s">
        <v>228</v>
      </c>
      <c r="G1299" s="287">
        <v>2911.29</v>
      </c>
      <c r="H1299" s="1"/>
      <c r="I1299" s="1">
        <f>COUNTIF(Tabela1[NF],Tabela1[[#This Row],[NF]])</f>
        <v>0</v>
      </c>
      <c r="K1299" s="26">
        <f t="shared" si="7"/>
        <v>46038</v>
      </c>
      <c r="N1299" s="14" t="str" cm="1">
        <f t="array" ref="N1299">_xlfn.XLOOKUP(TRIM(D1299),TRIM(DFC!A:A),DFC!A:A,"NÃO ESTÁ NA DFC")</f>
        <v xml:space="preserve">      PEÇAS</v>
      </c>
    </row>
    <row r="1300" spans="1:14" customFormat="1" ht="14.4" x14ac:dyDescent="0.3">
      <c r="A1300" s="24"/>
      <c r="B1300" s="21">
        <v>46038</v>
      </c>
      <c r="C1300" s="21" t="s">
        <v>15</v>
      </c>
      <c r="D1300" s="21" t="s">
        <v>19</v>
      </c>
      <c r="E1300" s="20"/>
      <c r="F1300" s="22" t="s">
        <v>340</v>
      </c>
      <c r="G1300" s="287">
        <v>18819.759999999998</v>
      </c>
      <c r="H1300" s="1"/>
      <c r="I1300" s="1">
        <f>COUNTIF(Tabela1[NF],Tabela1[[#This Row],[NF]])</f>
        <v>0</v>
      </c>
      <c r="K1300" s="26">
        <f t="shared" si="7"/>
        <v>46038</v>
      </c>
      <c r="N1300" s="14" t="str" cm="1">
        <f t="array" ref="N1300">_xlfn.XLOOKUP(TRIM(D1300),TRIM(DFC!A:A),DFC!A:A,"NÃO ESTÁ NA DFC")</f>
        <v xml:space="preserve">      PEÇAS</v>
      </c>
    </row>
    <row r="1301" spans="1:14" customFormat="1" ht="14.4" x14ac:dyDescent="0.3">
      <c r="A1301" s="24"/>
      <c r="B1301" s="21">
        <v>46038</v>
      </c>
      <c r="C1301" s="21" t="s">
        <v>15</v>
      </c>
      <c r="D1301" s="21" t="s">
        <v>19</v>
      </c>
      <c r="E1301" s="20"/>
      <c r="F1301" s="22" t="s">
        <v>395</v>
      </c>
      <c r="G1301" s="287">
        <v>697.57</v>
      </c>
      <c r="H1301" s="1"/>
      <c r="I1301" s="1">
        <f>COUNTIF(Tabela1[NF],Tabela1[[#This Row],[NF]])</f>
        <v>0</v>
      </c>
      <c r="K1301" s="26">
        <f t="shared" si="7"/>
        <v>46038</v>
      </c>
      <c r="N1301" s="14" t="str" cm="1">
        <f t="array" ref="N1301">_xlfn.XLOOKUP(TRIM(D1301),TRIM(DFC!A:A),DFC!A:A,"NÃO ESTÁ NA DFC")</f>
        <v xml:space="preserve">      PEÇAS</v>
      </c>
    </row>
    <row r="1302" spans="1:14" customFormat="1" ht="14.4" x14ac:dyDescent="0.3">
      <c r="A1302" s="24"/>
      <c r="B1302" s="21">
        <v>46038</v>
      </c>
      <c r="C1302" s="21" t="s">
        <v>15</v>
      </c>
      <c r="D1302" s="21" t="s">
        <v>19</v>
      </c>
      <c r="E1302" s="20"/>
      <c r="F1302" s="22" t="s">
        <v>340</v>
      </c>
      <c r="G1302" s="287">
        <v>6273.25</v>
      </c>
      <c r="H1302" s="1"/>
      <c r="I1302" s="1">
        <f>COUNTIF(Tabela1[NF],Tabela1[[#This Row],[NF]])</f>
        <v>0</v>
      </c>
      <c r="K1302" s="26">
        <f t="shared" si="7"/>
        <v>46038</v>
      </c>
      <c r="N1302" s="14" t="str" cm="1">
        <f t="array" ref="N1302">_xlfn.XLOOKUP(TRIM(D1302),TRIM(DFC!A:A),DFC!A:A,"NÃO ESTÁ NA DFC")</f>
        <v xml:space="preserve">      PEÇAS</v>
      </c>
    </row>
    <row r="1303" spans="1:14" customFormat="1" ht="14.4" x14ac:dyDescent="0.3">
      <c r="A1303" s="24"/>
      <c r="B1303" s="21">
        <v>46038</v>
      </c>
      <c r="C1303" s="21" t="s">
        <v>15</v>
      </c>
      <c r="D1303" s="21" t="s">
        <v>72</v>
      </c>
      <c r="E1303" s="20"/>
      <c r="F1303" s="22" t="s">
        <v>380</v>
      </c>
      <c r="G1303" s="287">
        <v>617.05999999999995</v>
      </c>
      <c r="H1303" s="1"/>
      <c r="I1303" s="1">
        <f>COUNTIF(Tabela1[NF],Tabela1[[#This Row],[NF]])</f>
        <v>0</v>
      </c>
      <c r="K1303" s="26">
        <f t="shared" si="7"/>
        <v>46038</v>
      </c>
      <c r="N1303" s="14" t="str" cm="1">
        <f t="array" ref="N1303">_xlfn.XLOOKUP(TRIM(D1303),TRIM(DFC!A:A),DFC!A:A,"NÃO ESTÁ NA DFC")</f>
        <v xml:space="preserve">          COMBUSTÍVEL</v>
      </c>
    </row>
    <row r="1304" spans="1:14" customFormat="1" ht="14.4" x14ac:dyDescent="0.3">
      <c r="A1304" s="24"/>
      <c r="B1304" s="21">
        <v>46038</v>
      </c>
      <c r="C1304" s="21" t="s">
        <v>15</v>
      </c>
      <c r="D1304" s="21" t="s">
        <v>82</v>
      </c>
      <c r="E1304" s="20"/>
      <c r="F1304" s="22" t="s">
        <v>351</v>
      </c>
      <c r="G1304" s="287">
        <v>525</v>
      </c>
      <c r="H1304" s="1"/>
      <c r="I1304" s="1">
        <f>COUNTIF(Tabela1[NF],Tabela1[[#This Row],[NF]])</f>
        <v>0</v>
      </c>
      <c r="K1304" s="26">
        <f t="shared" si="7"/>
        <v>46038</v>
      </c>
      <c r="N1304" s="14" t="str" cm="1">
        <f t="array" ref="N1304">_xlfn.XLOOKUP(TRIM(D1304),TRIM(DFC!A:A),DFC!A:A,"NÃO ESTÁ NA DFC")</f>
        <v xml:space="preserve">          DIÁRIAS</v>
      </c>
    </row>
    <row r="1305" spans="1:14" customFormat="1" ht="14.4" x14ac:dyDescent="0.3">
      <c r="A1305" s="24"/>
      <c r="B1305" s="21">
        <v>46038</v>
      </c>
      <c r="C1305" s="21" t="s">
        <v>15</v>
      </c>
      <c r="D1305" s="21" t="s">
        <v>82</v>
      </c>
      <c r="E1305" s="20"/>
      <c r="F1305" s="22" t="s">
        <v>593</v>
      </c>
      <c r="G1305" s="287">
        <v>200</v>
      </c>
      <c r="H1305" s="1"/>
      <c r="I1305" s="1">
        <f>COUNTIF(Tabela1[NF],Tabela1[[#This Row],[NF]])</f>
        <v>0</v>
      </c>
      <c r="K1305" s="26">
        <f t="shared" si="7"/>
        <v>46038</v>
      </c>
      <c r="N1305" s="14" t="str" cm="1">
        <f t="array" ref="N1305">_xlfn.XLOOKUP(TRIM(D1305),TRIM(DFC!A:A),DFC!A:A,"NÃO ESTÁ NA DFC")</f>
        <v xml:space="preserve">          DIÁRIAS</v>
      </c>
    </row>
    <row r="1306" spans="1:14" customFormat="1" ht="14.4" x14ac:dyDescent="0.3">
      <c r="A1306" s="24"/>
      <c r="B1306" s="21">
        <v>46038</v>
      </c>
      <c r="C1306" s="21" t="s">
        <v>15</v>
      </c>
      <c r="D1306" s="21" t="s">
        <v>82</v>
      </c>
      <c r="E1306" s="20"/>
      <c r="F1306" s="22" t="s">
        <v>580</v>
      </c>
      <c r="G1306" s="287">
        <v>200</v>
      </c>
      <c r="H1306" s="1"/>
      <c r="I1306" s="1">
        <f>COUNTIF(Tabela1[NF],Tabela1[[#This Row],[NF]])</f>
        <v>0</v>
      </c>
      <c r="K1306" s="26">
        <f t="shared" si="7"/>
        <v>46038</v>
      </c>
      <c r="N1306" s="14" t="str" cm="1">
        <f t="array" ref="N1306">_xlfn.XLOOKUP(TRIM(D1306),TRIM(DFC!A:A),DFC!A:A,"NÃO ESTÁ NA DFC")</f>
        <v xml:space="preserve">          DIÁRIAS</v>
      </c>
    </row>
    <row r="1307" spans="1:14" customFormat="1" ht="14.4" x14ac:dyDescent="0.3">
      <c r="A1307" s="24"/>
      <c r="B1307" s="21">
        <v>46038</v>
      </c>
      <c r="C1307" s="21" t="s">
        <v>15</v>
      </c>
      <c r="D1307" s="21" t="s">
        <v>82</v>
      </c>
      <c r="E1307" s="20"/>
      <c r="F1307" s="22" t="s">
        <v>594</v>
      </c>
      <c r="G1307" s="287">
        <v>150</v>
      </c>
      <c r="H1307" s="1"/>
      <c r="I1307" s="1">
        <f>COUNTIF(Tabela1[NF],Tabela1[[#This Row],[NF]])</f>
        <v>0</v>
      </c>
      <c r="K1307" s="26">
        <f t="shared" si="7"/>
        <v>46038</v>
      </c>
      <c r="N1307" s="14" t="str" cm="1">
        <f t="array" ref="N1307">_xlfn.XLOOKUP(TRIM(D1307),TRIM(DFC!A:A),DFC!A:A,"NÃO ESTÁ NA DFC")</f>
        <v xml:space="preserve">          DIÁRIAS</v>
      </c>
    </row>
    <row r="1308" spans="1:14" customFormat="1" ht="14.4" x14ac:dyDescent="0.3">
      <c r="A1308" s="24"/>
      <c r="B1308" s="21">
        <v>46038</v>
      </c>
      <c r="C1308" s="21" t="s">
        <v>15</v>
      </c>
      <c r="D1308" s="21" t="s">
        <v>82</v>
      </c>
      <c r="E1308" s="20"/>
      <c r="F1308" s="22" t="s">
        <v>552</v>
      </c>
      <c r="G1308" s="287">
        <v>100</v>
      </c>
      <c r="H1308" s="1"/>
      <c r="I1308" s="1">
        <f>COUNTIF(Tabela1[NF],Tabela1[[#This Row],[NF]])</f>
        <v>0</v>
      </c>
      <c r="K1308" s="26">
        <f t="shared" si="7"/>
        <v>46038</v>
      </c>
      <c r="N1308" s="14" t="str" cm="1">
        <f t="array" ref="N1308">_xlfn.XLOOKUP(TRIM(D1308),TRIM(DFC!A:A),DFC!A:A,"NÃO ESTÁ NA DFC")</f>
        <v xml:space="preserve">          DIÁRIAS</v>
      </c>
    </row>
    <row r="1309" spans="1:14" customFormat="1" ht="14.4" x14ac:dyDescent="0.3">
      <c r="A1309" s="24"/>
      <c r="B1309" s="21">
        <v>46038</v>
      </c>
      <c r="C1309" s="21" t="s">
        <v>15</v>
      </c>
      <c r="D1309" s="21" t="s">
        <v>82</v>
      </c>
      <c r="E1309" s="20"/>
      <c r="F1309" s="22" t="s">
        <v>581</v>
      </c>
      <c r="G1309" s="287">
        <v>500</v>
      </c>
      <c r="H1309" s="1"/>
      <c r="I1309" s="1">
        <f>COUNTIF(Tabela1[NF],Tabela1[[#This Row],[NF]])</f>
        <v>0</v>
      </c>
      <c r="K1309" s="26">
        <f t="shared" si="7"/>
        <v>46038</v>
      </c>
      <c r="N1309" s="14" t="str" cm="1">
        <f t="array" ref="N1309">_xlfn.XLOOKUP(TRIM(D1309),TRIM(DFC!A:A),DFC!A:A,"NÃO ESTÁ NA DFC")</f>
        <v xml:space="preserve">          DIÁRIAS</v>
      </c>
    </row>
    <row r="1310" spans="1:14" customFormat="1" ht="14.4" x14ac:dyDescent="0.3">
      <c r="A1310" s="24"/>
      <c r="B1310" s="21">
        <v>46038</v>
      </c>
      <c r="C1310" s="21" t="s">
        <v>15</v>
      </c>
      <c r="D1310" s="21" t="s">
        <v>82</v>
      </c>
      <c r="E1310" s="20"/>
      <c r="F1310" s="22" t="s">
        <v>116</v>
      </c>
      <c r="G1310" s="287">
        <v>200</v>
      </c>
      <c r="H1310" s="1"/>
      <c r="I1310" s="1">
        <f>COUNTIF(Tabela1[NF],Tabela1[[#This Row],[NF]])</f>
        <v>0</v>
      </c>
      <c r="K1310" s="26">
        <f t="shared" si="7"/>
        <v>46038</v>
      </c>
      <c r="N1310" s="14" t="str" cm="1">
        <f t="array" ref="N1310">_xlfn.XLOOKUP(TRIM(D1310),TRIM(DFC!A:A),DFC!A:A,"NÃO ESTÁ NA DFC")</f>
        <v xml:space="preserve">          DIÁRIAS</v>
      </c>
    </row>
    <row r="1311" spans="1:14" customFormat="1" ht="14.4" x14ac:dyDescent="0.3">
      <c r="A1311" s="24"/>
      <c r="B1311" s="21">
        <v>46038</v>
      </c>
      <c r="C1311" s="21" t="s">
        <v>15</v>
      </c>
      <c r="D1311" s="21" t="s">
        <v>82</v>
      </c>
      <c r="E1311" s="20"/>
      <c r="F1311" s="22" t="s">
        <v>595</v>
      </c>
      <c r="G1311" s="287">
        <v>525</v>
      </c>
      <c r="H1311" s="1"/>
      <c r="I1311" s="1">
        <f>COUNTIF(Tabela1[NF],Tabela1[[#This Row],[NF]])</f>
        <v>0</v>
      </c>
      <c r="K1311" s="26">
        <f t="shared" si="7"/>
        <v>46038</v>
      </c>
      <c r="N1311" s="14" t="str" cm="1">
        <f t="array" ref="N1311">_xlfn.XLOOKUP(TRIM(D1311),TRIM(DFC!A:A),DFC!A:A,"NÃO ESTÁ NA DFC")</f>
        <v xml:space="preserve">          DIÁRIAS</v>
      </c>
    </row>
    <row r="1312" spans="1:14" customFormat="1" ht="14.4" x14ac:dyDescent="0.3">
      <c r="A1312" s="24"/>
      <c r="B1312" s="21">
        <v>46038</v>
      </c>
      <c r="C1312" s="21" t="s">
        <v>15</v>
      </c>
      <c r="D1312" s="21" t="s">
        <v>115</v>
      </c>
      <c r="E1312" s="20"/>
      <c r="F1312" s="22" t="s">
        <v>321</v>
      </c>
      <c r="G1312" s="287">
        <v>11809.87</v>
      </c>
      <c r="H1312" s="1"/>
      <c r="I1312" s="1">
        <f>COUNTIF(Tabela1[NF],Tabela1[[#This Row],[NF]])</f>
        <v>0</v>
      </c>
      <c r="K1312" s="26">
        <f t="shared" si="7"/>
        <v>46038</v>
      </c>
      <c r="N1312" s="14" t="str" cm="1">
        <f t="array" ref="N1312">_xlfn.XLOOKUP(TRIM(D1312),TRIM(DFC!A:A),DFC!A:A,"NÃO ESTÁ NA DFC")</f>
        <v xml:space="preserve">          RESCISÕES</v>
      </c>
    </row>
    <row r="1313" spans="1:14" customFormat="1" ht="14.4" x14ac:dyDescent="0.3">
      <c r="A1313" s="24"/>
      <c r="B1313" s="21">
        <v>46038</v>
      </c>
      <c r="C1313" s="21" t="s">
        <v>15</v>
      </c>
      <c r="D1313" s="21" t="s">
        <v>82</v>
      </c>
      <c r="E1313" s="20"/>
      <c r="F1313" s="22" t="s">
        <v>596</v>
      </c>
      <c r="G1313" s="287">
        <v>500</v>
      </c>
      <c r="H1313" s="1"/>
      <c r="I1313" s="1">
        <f>COUNTIF(Tabela1[NF],Tabela1[[#This Row],[NF]])</f>
        <v>0</v>
      </c>
      <c r="K1313" s="26">
        <f t="shared" si="7"/>
        <v>46038</v>
      </c>
      <c r="N1313" s="14" t="str" cm="1">
        <f t="array" ref="N1313">_xlfn.XLOOKUP(TRIM(D1313),TRIM(DFC!A:A),DFC!A:A,"NÃO ESTÁ NA DFC")</f>
        <v xml:space="preserve">          DIÁRIAS</v>
      </c>
    </row>
    <row r="1314" spans="1:14" customFormat="1" ht="14.4" x14ac:dyDescent="0.3">
      <c r="A1314" s="24"/>
      <c r="B1314" s="21">
        <v>46041</v>
      </c>
      <c r="C1314" s="21" t="s">
        <v>15</v>
      </c>
      <c r="D1314" s="21" t="s">
        <v>156</v>
      </c>
      <c r="E1314" s="20" t="s">
        <v>597</v>
      </c>
      <c r="F1314" s="22" t="s">
        <v>314</v>
      </c>
      <c r="G1314" s="287">
        <v>6707.5</v>
      </c>
      <c r="H1314" s="1"/>
      <c r="I1314" s="1">
        <f>COUNTIF(Tabela1[NF],Tabela1[[#This Row],[NF]])</f>
        <v>0</v>
      </c>
      <c r="K1314" s="26">
        <f t="shared" ref="K1314:K1345" si="8">B1314</f>
        <v>46041</v>
      </c>
      <c r="N1314" s="14" t="str" cm="1">
        <f t="array" ref="N1314">_xlfn.XLOOKUP(TRIM(D1314),TRIM(DFC!A:A),DFC!A:A,"NÃO ESTÁ NA DFC")</f>
        <v xml:space="preserve">      MONTAGEM DE RODAS</v>
      </c>
    </row>
    <row r="1315" spans="1:14" customFormat="1" ht="14.4" x14ac:dyDescent="0.3">
      <c r="A1315" s="24"/>
      <c r="B1315" s="21">
        <v>46041</v>
      </c>
      <c r="C1315" s="21" t="s">
        <v>15</v>
      </c>
      <c r="D1315" s="21" t="s">
        <v>107</v>
      </c>
      <c r="E1315" s="20"/>
      <c r="F1315" s="22" t="s">
        <v>230</v>
      </c>
      <c r="G1315" s="287">
        <v>4586.54</v>
      </c>
      <c r="H1315" s="1"/>
      <c r="I1315" s="1">
        <f>COUNTIF(Tabela1[NF],Tabela1[[#This Row],[NF]])</f>
        <v>0</v>
      </c>
      <c r="K1315" s="26">
        <f t="shared" si="8"/>
        <v>46041</v>
      </c>
      <c r="N1315" s="14" t="str" cm="1">
        <f t="array" ref="N1315">_xlfn.XLOOKUP(TRIM(D1315),TRIM(DFC!A:A),DFC!A:A,"NÃO ESTÁ NA DFC")</f>
        <v xml:space="preserve">          PRÓ LABORE </v>
      </c>
    </row>
    <row r="1316" spans="1:14" customFormat="1" ht="14.4" x14ac:dyDescent="0.3">
      <c r="A1316" s="24"/>
      <c r="B1316" s="21">
        <v>46041</v>
      </c>
      <c r="C1316" s="21" t="s">
        <v>15</v>
      </c>
      <c r="D1316" s="21" t="s">
        <v>98</v>
      </c>
      <c r="E1316" s="20"/>
      <c r="F1316" s="22" t="s">
        <v>598</v>
      </c>
      <c r="G1316" s="287">
        <v>39</v>
      </c>
      <c r="H1316" s="1"/>
      <c r="I1316" s="1">
        <f>COUNTIF(Tabela1[NF],Tabela1[[#This Row],[NF]])</f>
        <v>0</v>
      </c>
      <c r="K1316" s="26">
        <f t="shared" si="8"/>
        <v>46041</v>
      </c>
      <c r="N1316" s="14" t="str" cm="1">
        <f t="array" ref="N1316">_xlfn.XLOOKUP(TRIM(D1316),TRIM(DFC!A:A),DFC!A:A,"NÃO ESTÁ NA DFC")</f>
        <v xml:space="preserve">     REEMBOLSO SAC</v>
      </c>
    </row>
    <row r="1317" spans="1:14" customFormat="1" ht="14.4" x14ac:dyDescent="0.3">
      <c r="A1317" s="24"/>
      <c r="B1317" s="21">
        <v>46041</v>
      </c>
      <c r="C1317" s="21" t="s">
        <v>15</v>
      </c>
      <c r="D1317" s="21" t="s">
        <v>98</v>
      </c>
      <c r="E1317" s="20"/>
      <c r="F1317" s="22" t="s">
        <v>599</v>
      </c>
      <c r="G1317" s="287">
        <v>30</v>
      </c>
      <c r="H1317" s="1"/>
      <c r="I1317" s="1">
        <f>COUNTIF(Tabela1[NF],Tabela1[[#This Row],[NF]])</f>
        <v>0</v>
      </c>
      <c r="K1317" s="26">
        <f t="shared" si="8"/>
        <v>46041</v>
      </c>
      <c r="N1317" s="14" t="str" cm="1">
        <f t="array" ref="N1317">_xlfn.XLOOKUP(TRIM(D1317),TRIM(DFC!A:A),DFC!A:A,"NÃO ESTÁ NA DFC")</f>
        <v xml:space="preserve">     REEMBOLSO SAC</v>
      </c>
    </row>
    <row r="1318" spans="1:14" customFormat="1" ht="14.4" x14ac:dyDescent="0.3">
      <c r="A1318" s="24"/>
      <c r="B1318" s="21">
        <v>46041</v>
      </c>
      <c r="C1318" s="21" t="s">
        <v>15</v>
      </c>
      <c r="D1318" s="84" t="s">
        <v>29</v>
      </c>
      <c r="E1318" s="20" t="s">
        <v>449</v>
      </c>
      <c r="F1318" s="22" t="s">
        <v>294</v>
      </c>
      <c r="G1318" s="287">
        <v>165</v>
      </c>
      <c r="H1318" s="1"/>
      <c r="I1318" s="1">
        <f>COUNTIF(Tabela1[NF],Tabela1[[#This Row],[NF]])</f>
        <v>0</v>
      </c>
      <c r="K1318" s="26">
        <f t="shared" si="8"/>
        <v>46041</v>
      </c>
      <c r="N1318" s="14" t="str" cm="1">
        <f t="array" ref="N1318">_xlfn.XLOOKUP(TRIM(D1318),TRIM(DFC!A:A),DFC!A:A,"NÃO ESTÁ NA DFC")</f>
        <v xml:space="preserve">      FRETE DE SAÍDA</v>
      </c>
    </row>
    <row r="1319" spans="1:14" customFormat="1" ht="14.4" x14ac:dyDescent="0.3">
      <c r="A1319" s="24"/>
      <c r="B1319" s="21">
        <v>46041</v>
      </c>
      <c r="C1319" s="21" t="s">
        <v>15</v>
      </c>
      <c r="D1319" s="21" t="s">
        <v>29</v>
      </c>
      <c r="E1319" s="20"/>
      <c r="F1319" s="22" t="s">
        <v>168</v>
      </c>
      <c r="G1319" s="287">
        <v>22</v>
      </c>
      <c r="H1319" s="1"/>
      <c r="I1319" s="1">
        <f>COUNTIF(Tabela1[NF],Tabela1[[#This Row],[NF]])</f>
        <v>0</v>
      </c>
      <c r="K1319" s="26">
        <f t="shared" si="8"/>
        <v>46041</v>
      </c>
      <c r="N1319" s="14" t="str" cm="1">
        <f t="array" ref="N1319">_xlfn.XLOOKUP(TRIM(D1319),TRIM(DFC!A:A),DFC!A:A,"NÃO ESTÁ NA DFC")</f>
        <v xml:space="preserve">      FRETE DE SAÍDA</v>
      </c>
    </row>
    <row r="1320" spans="1:14" customFormat="1" ht="14.4" x14ac:dyDescent="0.3">
      <c r="A1320" s="24"/>
      <c r="B1320" s="21">
        <v>46041</v>
      </c>
      <c r="C1320" s="21" t="s">
        <v>15</v>
      </c>
      <c r="D1320" s="21" t="s">
        <v>29</v>
      </c>
      <c r="E1320" s="20"/>
      <c r="F1320" s="22" t="s">
        <v>168</v>
      </c>
      <c r="G1320" s="287">
        <v>496.68</v>
      </c>
      <c r="H1320" s="1"/>
      <c r="I1320" s="1">
        <f>COUNTIF(Tabela1[NF],Tabela1[[#This Row],[NF]])</f>
        <v>0</v>
      </c>
      <c r="K1320" s="26">
        <f t="shared" si="8"/>
        <v>46041</v>
      </c>
      <c r="N1320" s="14" t="str" cm="1">
        <f t="array" ref="N1320">_xlfn.XLOOKUP(TRIM(D1320),TRIM(DFC!A:A),DFC!A:A,"NÃO ESTÁ NA DFC")</f>
        <v xml:space="preserve">      FRETE DE SAÍDA</v>
      </c>
    </row>
    <row r="1321" spans="1:14" customFormat="1" ht="14.4" x14ac:dyDescent="0.3">
      <c r="A1321" s="24"/>
      <c r="B1321" s="21">
        <v>46041</v>
      </c>
      <c r="C1321" s="21" t="s">
        <v>15</v>
      </c>
      <c r="D1321" s="21" t="s">
        <v>98</v>
      </c>
      <c r="E1321" s="20"/>
      <c r="F1321" s="22" t="s">
        <v>600</v>
      </c>
      <c r="G1321" s="287">
        <v>20</v>
      </c>
      <c r="H1321" s="1"/>
      <c r="I1321" s="1">
        <f>COUNTIF(Tabela1[NF],Tabela1[[#This Row],[NF]])</f>
        <v>0</v>
      </c>
      <c r="K1321" s="26">
        <f t="shared" si="8"/>
        <v>46041</v>
      </c>
      <c r="N1321" s="14" t="str" cm="1">
        <f t="array" ref="N1321">_xlfn.XLOOKUP(TRIM(D1321),TRIM(DFC!A:A),DFC!A:A,"NÃO ESTÁ NA DFC")</f>
        <v xml:space="preserve">     REEMBOLSO SAC</v>
      </c>
    </row>
    <row r="1322" spans="1:14" customFormat="1" ht="14.4" x14ac:dyDescent="0.3">
      <c r="A1322" s="24"/>
      <c r="B1322" s="21">
        <v>46041</v>
      </c>
      <c r="C1322" s="21" t="s">
        <v>15</v>
      </c>
      <c r="D1322" s="21" t="s">
        <v>29</v>
      </c>
      <c r="E1322" s="20"/>
      <c r="F1322" s="22" t="s">
        <v>168</v>
      </c>
      <c r="G1322" s="287">
        <v>1278.7</v>
      </c>
      <c r="H1322" s="1"/>
      <c r="I1322" s="1">
        <f>COUNTIF(Tabela1[NF],Tabela1[[#This Row],[NF]])</f>
        <v>0</v>
      </c>
      <c r="K1322" s="26">
        <f t="shared" si="8"/>
        <v>46041</v>
      </c>
      <c r="N1322" s="14" t="str" cm="1">
        <f t="array" ref="N1322">_xlfn.XLOOKUP(TRIM(D1322),TRIM(DFC!A:A),DFC!A:A,"NÃO ESTÁ NA DFC")</f>
        <v xml:space="preserve">      FRETE DE SAÍDA</v>
      </c>
    </row>
    <row r="1323" spans="1:14" customFormat="1" ht="14.4" x14ac:dyDescent="0.3">
      <c r="A1323" s="24"/>
      <c r="B1323" s="21">
        <v>46041</v>
      </c>
      <c r="C1323" s="21" t="s">
        <v>15</v>
      </c>
      <c r="D1323" s="21" t="s">
        <v>29</v>
      </c>
      <c r="E1323" s="20"/>
      <c r="F1323" s="22" t="s">
        <v>168</v>
      </c>
      <c r="G1323" s="287">
        <v>241.08</v>
      </c>
      <c r="H1323" s="1"/>
      <c r="I1323" s="1">
        <f>COUNTIF(Tabela1[NF],Tabela1[[#This Row],[NF]])</f>
        <v>0</v>
      </c>
      <c r="K1323" s="26">
        <f t="shared" si="8"/>
        <v>46041</v>
      </c>
      <c r="N1323" s="14" t="str" cm="1">
        <f t="array" ref="N1323">_xlfn.XLOOKUP(TRIM(D1323),TRIM(DFC!A:A),DFC!A:A,"NÃO ESTÁ NA DFC")</f>
        <v xml:space="preserve">      FRETE DE SAÍDA</v>
      </c>
    </row>
    <row r="1324" spans="1:14" customFormat="1" ht="14.4" x14ac:dyDescent="0.3">
      <c r="A1324" s="24"/>
      <c r="B1324" s="21">
        <v>46041</v>
      </c>
      <c r="C1324" s="21" t="s">
        <v>15</v>
      </c>
      <c r="D1324" s="21" t="s">
        <v>29</v>
      </c>
      <c r="E1324" s="20"/>
      <c r="F1324" s="22" t="s">
        <v>450</v>
      </c>
      <c r="G1324" s="287">
        <v>490</v>
      </c>
      <c r="H1324" s="1"/>
      <c r="I1324" s="1">
        <f>COUNTIF(Tabela1[NF],Tabela1[[#This Row],[NF]])</f>
        <v>0</v>
      </c>
      <c r="K1324" s="26">
        <f t="shared" si="8"/>
        <v>46041</v>
      </c>
      <c r="N1324" s="14" t="str" cm="1">
        <f t="array" ref="N1324">_xlfn.XLOOKUP(TRIM(D1324),TRIM(DFC!A:A),DFC!A:A,"NÃO ESTÁ NA DFC")</f>
        <v xml:space="preserve">      FRETE DE SAÍDA</v>
      </c>
    </row>
    <row r="1325" spans="1:14" customFormat="1" ht="14.4" x14ac:dyDescent="0.3">
      <c r="A1325" s="24"/>
      <c r="B1325" s="21">
        <v>46041</v>
      </c>
      <c r="C1325" s="21" t="s">
        <v>15</v>
      </c>
      <c r="D1325" s="21" t="s">
        <v>29</v>
      </c>
      <c r="E1325" s="20"/>
      <c r="F1325" s="22" t="s">
        <v>168</v>
      </c>
      <c r="G1325" s="287">
        <v>61.95</v>
      </c>
      <c r="H1325" s="1"/>
      <c r="I1325" s="1">
        <f>COUNTIF(Tabela1[NF],Tabela1[[#This Row],[NF]])</f>
        <v>0</v>
      </c>
      <c r="K1325" s="26">
        <f t="shared" si="8"/>
        <v>46041</v>
      </c>
      <c r="N1325" s="14" t="str" cm="1">
        <f t="array" ref="N1325">_xlfn.XLOOKUP(TRIM(D1325),TRIM(DFC!A:A),DFC!A:A,"NÃO ESTÁ NA DFC")</f>
        <v xml:space="preserve">      FRETE DE SAÍDA</v>
      </c>
    </row>
    <row r="1326" spans="1:14" customFormat="1" ht="14.4" x14ac:dyDescent="0.3">
      <c r="A1326" s="24"/>
      <c r="B1326" s="21">
        <v>46041</v>
      </c>
      <c r="C1326" s="21" t="s">
        <v>15</v>
      </c>
      <c r="D1326" s="21" t="s">
        <v>82</v>
      </c>
      <c r="E1326" s="20"/>
      <c r="F1326" s="22" t="s">
        <v>353</v>
      </c>
      <c r="G1326" s="287">
        <v>556.25</v>
      </c>
      <c r="H1326" s="1"/>
      <c r="I1326" s="1">
        <f>COUNTIF(Tabela1[NF],Tabela1[[#This Row],[NF]])</f>
        <v>0</v>
      </c>
      <c r="K1326" s="26">
        <f t="shared" si="8"/>
        <v>46041</v>
      </c>
      <c r="N1326" s="14" t="str" cm="1">
        <f t="array" ref="N1326">_xlfn.XLOOKUP(TRIM(D1326),TRIM(DFC!A:A),DFC!A:A,"NÃO ESTÁ NA DFC")</f>
        <v xml:space="preserve">          DIÁRIAS</v>
      </c>
    </row>
    <row r="1327" spans="1:14" customFormat="1" ht="14.4" x14ac:dyDescent="0.3">
      <c r="A1327" s="24"/>
      <c r="B1327" s="21">
        <v>46041</v>
      </c>
      <c r="C1327" s="21" t="s">
        <v>15</v>
      </c>
      <c r="D1327" s="21" t="s">
        <v>60</v>
      </c>
      <c r="E1327" s="20" t="s">
        <v>601</v>
      </c>
      <c r="F1327" s="22" t="s">
        <v>602</v>
      </c>
      <c r="G1327" s="287">
        <v>373.05</v>
      </c>
      <c r="H1327" s="1"/>
      <c r="I1327" s="1">
        <f>COUNTIF(Tabela1[NF],Tabela1[[#This Row],[NF]])</f>
        <v>0</v>
      </c>
      <c r="K1327" s="26">
        <f t="shared" si="8"/>
        <v>46041</v>
      </c>
      <c r="N1327" s="14" t="str" cm="1">
        <f t="array" ref="N1327">_xlfn.XLOOKUP(TRIM(D1327),TRIM(DFC!A:A),DFC!A:A,"NÃO ESTÁ NA DFC")</f>
        <v xml:space="preserve">          ALUGUEL</v>
      </c>
    </row>
    <row r="1328" spans="1:14" customFormat="1" ht="14.4" x14ac:dyDescent="0.3">
      <c r="A1328" s="24"/>
      <c r="B1328" s="21">
        <v>46041</v>
      </c>
      <c r="C1328" s="21" t="s">
        <v>15</v>
      </c>
      <c r="D1328" s="21" t="s">
        <v>19</v>
      </c>
      <c r="E1328" s="20"/>
      <c r="F1328" s="22" t="s">
        <v>603</v>
      </c>
      <c r="G1328" s="287">
        <v>1620</v>
      </c>
      <c r="H1328" s="1"/>
      <c r="I1328" s="1">
        <f>COUNTIF(Tabela1[NF],Tabela1[[#This Row],[NF]])</f>
        <v>0</v>
      </c>
      <c r="K1328" s="26">
        <f t="shared" si="8"/>
        <v>46041</v>
      </c>
      <c r="N1328" s="14" t="str" cm="1">
        <f t="array" ref="N1328">_xlfn.XLOOKUP(TRIM(D1328),TRIM(DFC!A:A),DFC!A:A,"NÃO ESTÁ NA DFC")</f>
        <v xml:space="preserve">      PEÇAS</v>
      </c>
    </row>
    <row r="1329" spans="1:14" customFormat="1" ht="14.4" x14ac:dyDescent="0.3">
      <c r="A1329" s="24"/>
      <c r="B1329" s="21">
        <v>46041</v>
      </c>
      <c r="C1329" s="21" t="s">
        <v>15</v>
      </c>
      <c r="D1329" s="21" t="s">
        <v>82</v>
      </c>
      <c r="E1329" s="20" t="s">
        <v>572</v>
      </c>
      <c r="F1329" s="22" t="s">
        <v>411</v>
      </c>
      <c r="G1329" s="287">
        <v>320</v>
      </c>
      <c r="H1329" s="1"/>
      <c r="I1329" s="1">
        <f>COUNTIF(Tabela1[NF],Tabela1[[#This Row],[NF]])</f>
        <v>0</v>
      </c>
      <c r="K1329" s="26">
        <f t="shared" si="8"/>
        <v>46041</v>
      </c>
      <c r="N1329" s="14" t="str" cm="1">
        <f t="array" ref="N1329">_xlfn.XLOOKUP(TRIM(D1329),TRIM(DFC!A:A),DFC!A:A,"NÃO ESTÁ NA DFC")</f>
        <v xml:space="preserve">          DIÁRIAS</v>
      </c>
    </row>
    <row r="1330" spans="1:14" customFormat="1" ht="14.4" x14ac:dyDescent="0.3">
      <c r="A1330" s="24"/>
      <c r="B1330" s="21">
        <v>46041</v>
      </c>
      <c r="C1330" s="21" t="s">
        <v>15</v>
      </c>
      <c r="D1330" s="21" t="s">
        <v>19</v>
      </c>
      <c r="E1330" s="20" t="s">
        <v>583</v>
      </c>
      <c r="F1330" s="22" t="s">
        <v>604</v>
      </c>
      <c r="G1330" s="287">
        <v>11100</v>
      </c>
      <c r="H1330" s="1"/>
      <c r="I1330" s="1">
        <f>COUNTIF(Tabela1[NF],Tabela1[[#This Row],[NF]])</f>
        <v>0</v>
      </c>
      <c r="K1330" s="26">
        <f t="shared" si="8"/>
        <v>46041</v>
      </c>
      <c r="N1330" s="14" t="str" cm="1">
        <f t="array" ref="N1330">_xlfn.XLOOKUP(TRIM(D1330),TRIM(DFC!A:A),DFC!A:A,"NÃO ESTÁ NA DFC")</f>
        <v xml:space="preserve">      PEÇAS</v>
      </c>
    </row>
    <row r="1331" spans="1:14" customFormat="1" ht="14.4" x14ac:dyDescent="0.3">
      <c r="A1331" s="24"/>
      <c r="B1331" s="21">
        <v>46042</v>
      </c>
      <c r="C1331" s="21" t="s">
        <v>15</v>
      </c>
      <c r="D1331" s="21" t="s">
        <v>19</v>
      </c>
      <c r="E1331" s="20"/>
      <c r="F1331" s="22" t="s">
        <v>340</v>
      </c>
      <c r="G1331" s="287">
        <v>17016.740000000002</v>
      </c>
      <c r="H1331" s="1"/>
      <c r="I1331" s="1">
        <f>COUNTIF(Tabela1[NF],Tabela1[[#This Row],[NF]])</f>
        <v>0</v>
      </c>
      <c r="K1331" s="26">
        <f t="shared" si="8"/>
        <v>46042</v>
      </c>
      <c r="N1331" s="14" t="str" cm="1">
        <f t="array" ref="N1331">_xlfn.XLOOKUP(TRIM(D1331),TRIM(DFC!A:A),DFC!A:A,"NÃO ESTÁ NA DFC")</f>
        <v xml:space="preserve">      PEÇAS</v>
      </c>
    </row>
    <row r="1332" spans="1:14" customFormat="1" ht="14.4" x14ac:dyDescent="0.3">
      <c r="A1332" s="24"/>
      <c r="B1332" s="21">
        <v>46042</v>
      </c>
      <c r="C1332" s="21" t="s">
        <v>15</v>
      </c>
      <c r="D1332" s="21" t="s">
        <v>19</v>
      </c>
      <c r="E1332" s="20"/>
      <c r="F1332" s="22" t="s">
        <v>340</v>
      </c>
      <c r="G1332" s="287">
        <v>51050.2</v>
      </c>
      <c r="H1332" s="1"/>
      <c r="I1332" s="1">
        <f>COUNTIF(Tabela1[NF],Tabela1[[#This Row],[NF]])</f>
        <v>0</v>
      </c>
      <c r="K1332" s="26">
        <f t="shared" si="8"/>
        <v>46042</v>
      </c>
      <c r="N1332" s="14" t="str" cm="1">
        <f t="array" ref="N1332">_xlfn.XLOOKUP(TRIM(D1332),TRIM(DFC!A:A),DFC!A:A,"NÃO ESTÁ NA DFC")</f>
        <v xml:space="preserve">      PEÇAS</v>
      </c>
    </row>
    <row r="1333" spans="1:14" customFormat="1" ht="14.4" x14ac:dyDescent="0.3">
      <c r="A1333" s="24"/>
      <c r="B1333" s="21">
        <v>46042</v>
      </c>
      <c r="C1333" s="21" t="s">
        <v>15</v>
      </c>
      <c r="D1333" s="21" t="s">
        <v>154</v>
      </c>
      <c r="E1333" s="20"/>
      <c r="F1333" s="22" t="s">
        <v>302</v>
      </c>
      <c r="G1333" s="287">
        <v>2978</v>
      </c>
      <c r="H1333" s="1"/>
      <c r="I1333" s="1">
        <f>COUNTIF(Tabela1[NF],Tabela1[[#This Row],[NF]])</f>
        <v>0</v>
      </c>
      <c r="K1333" s="26">
        <f t="shared" si="8"/>
        <v>46042</v>
      </c>
      <c r="N1333" s="14" t="str" cm="1">
        <f t="array" ref="N1333">_xlfn.XLOOKUP(TRIM(D1333),TRIM(DFC!A:A),DFC!A:A,"NÃO ESTÁ NA DFC")</f>
        <v xml:space="preserve">      EMBALAGENS</v>
      </c>
    </row>
    <row r="1334" spans="1:14" customFormat="1" ht="14.4" x14ac:dyDescent="0.3">
      <c r="A1334" s="24"/>
      <c r="B1334" s="21">
        <v>46042</v>
      </c>
      <c r="C1334" s="21" t="s">
        <v>15</v>
      </c>
      <c r="D1334" s="21" t="s">
        <v>19</v>
      </c>
      <c r="E1334" s="20"/>
      <c r="F1334" s="22" t="s">
        <v>605</v>
      </c>
      <c r="G1334" s="287">
        <v>1218.06</v>
      </c>
      <c r="H1334" s="1"/>
      <c r="I1334" s="1">
        <f>COUNTIF(Tabela1[NF],Tabela1[[#This Row],[NF]])</f>
        <v>0</v>
      </c>
      <c r="K1334" s="26">
        <f t="shared" si="8"/>
        <v>46042</v>
      </c>
      <c r="N1334" s="14" t="str" cm="1">
        <f t="array" ref="N1334">_xlfn.XLOOKUP(TRIM(D1334),TRIM(DFC!A:A),DFC!A:A,"NÃO ESTÁ NA DFC")</f>
        <v xml:space="preserve">      PEÇAS</v>
      </c>
    </row>
    <row r="1335" spans="1:14" customFormat="1" ht="14.4" x14ac:dyDescent="0.3">
      <c r="A1335" s="24"/>
      <c r="B1335" s="21">
        <v>46042</v>
      </c>
      <c r="C1335" s="21" t="s">
        <v>15</v>
      </c>
      <c r="D1335" s="21" t="s">
        <v>19</v>
      </c>
      <c r="E1335" s="20"/>
      <c r="F1335" s="22" t="s">
        <v>301</v>
      </c>
      <c r="G1335" s="287">
        <v>4207.8900000000003</v>
      </c>
      <c r="H1335" s="1"/>
      <c r="I1335" s="1">
        <f>COUNTIF(Tabela1[NF],Tabela1[[#This Row],[NF]])</f>
        <v>0</v>
      </c>
      <c r="K1335" s="26">
        <f t="shared" si="8"/>
        <v>46042</v>
      </c>
      <c r="N1335" s="14" t="str" cm="1">
        <f t="array" ref="N1335">_xlfn.XLOOKUP(TRIM(D1335),TRIM(DFC!A:A),DFC!A:A,"NÃO ESTÁ NA DFC")</f>
        <v xml:space="preserve">      PEÇAS</v>
      </c>
    </row>
    <row r="1336" spans="1:14" customFormat="1" ht="14.4" x14ac:dyDescent="0.3">
      <c r="A1336" s="24"/>
      <c r="B1336" s="21">
        <v>46042</v>
      </c>
      <c r="C1336" s="21" t="s">
        <v>15</v>
      </c>
      <c r="D1336" s="21" t="s">
        <v>19</v>
      </c>
      <c r="E1336" s="20"/>
      <c r="F1336" s="22" t="s">
        <v>297</v>
      </c>
      <c r="G1336" s="287">
        <v>2870.27</v>
      </c>
      <c r="H1336" s="1"/>
      <c r="I1336" s="1">
        <f>COUNTIF(Tabela1[NF],Tabela1[[#This Row],[NF]])</f>
        <v>0</v>
      </c>
      <c r="K1336" s="26">
        <f t="shared" si="8"/>
        <v>46042</v>
      </c>
      <c r="N1336" s="14" t="str" cm="1">
        <f t="array" ref="N1336">_xlfn.XLOOKUP(TRIM(D1336),TRIM(DFC!A:A),DFC!A:A,"NÃO ESTÁ NA DFC")</f>
        <v xml:space="preserve">      PEÇAS</v>
      </c>
    </row>
    <row r="1337" spans="1:14" customFormat="1" ht="14.4" x14ac:dyDescent="0.3">
      <c r="A1337" s="24"/>
      <c r="B1337" s="21">
        <v>46042</v>
      </c>
      <c r="C1337" s="21" t="s">
        <v>15</v>
      </c>
      <c r="D1337" s="21" t="s">
        <v>19</v>
      </c>
      <c r="E1337" s="20"/>
      <c r="F1337" s="22" t="s">
        <v>407</v>
      </c>
      <c r="G1337" s="287">
        <v>8098.66</v>
      </c>
      <c r="H1337" s="1"/>
      <c r="I1337" s="1">
        <f>COUNTIF(Tabela1[NF],Tabela1[[#This Row],[NF]])</f>
        <v>0</v>
      </c>
      <c r="K1337" s="26">
        <f t="shared" si="8"/>
        <v>46042</v>
      </c>
      <c r="N1337" s="14" t="str" cm="1">
        <f t="array" ref="N1337">_xlfn.XLOOKUP(TRIM(D1337),TRIM(DFC!A:A),DFC!A:A,"NÃO ESTÁ NA DFC")</f>
        <v xml:space="preserve">      PEÇAS</v>
      </c>
    </row>
    <row r="1338" spans="1:14" customFormat="1" ht="14.4" x14ac:dyDescent="0.3">
      <c r="A1338" s="24"/>
      <c r="B1338" s="21">
        <v>46042</v>
      </c>
      <c r="C1338" s="21" t="s">
        <v>15</v>
      </c>
      <c r="D1338" s="21" t="s">
        <v>246</v>
      </c>
      <c r="E1338" s="20" t="s">
        <v>397</v>
      </c>
      <c r="F1338" s="22" t="s">
        <v>319</v>
      </c>
      <c r="G1338" s="287">
        <v>1040</v>
      </c>
      <c r="H1338" s="1"/>
      <c r="I1338" s="1">
        <f>COUNTIF(Tabela1[NF],Tabela1[[#This Row],[NF]])</f>
        <v>0</v>
      </c>
      <c r="K1338" s="26">
        <f t="shared" si="8"/>
        <v>46042</v>
      </c>
      <c r="N1338" s="14" t="str" cm="1">
        <f t="array" ref="N1338">_xlfn.XLOOKUP(TRIM(D1338),TRIM(DFC!A:A),DFC!A:A,"NÃO ESTÁ NA DFC")</f>
        <v xml:space="preserve">          VALES</v>
      </c>
    </row>
    <row r="1339" spans="1:14" customFormat="1" ht="14.4" x14ac:dyDescent="0.3">
      <c r="A1339" s="24"/>
      <c r="B1339" s="21">
        <v>46042</v>
      </c>
      <c r="C1339" s="21" t="s">
        <v>15</v>
      </c>
      <c r="D1339" s="21" t="s">
        <v>246</v>
      </c>
      <c r="E1339" s="20" t="s">
        <v>397</v>
      </c>
      <c r="F1339" s="22" t="s">
        <v>326</v>
      </c>
      <c r="G1339" s="287">
        <v>2000</v>
      </c>
      <c r="H1339" s="1"/>
      <c r="I1339" s="1">
        <f>COUNTIF(Tabela1[NF],Tabela1[[#This Row],[NF]])</f>
        <v>0</v>
      </c>
      <c r="K1339" s="26">
        <f t="shared" si="8"/>
        <v>46042</v>
      </c>
      <c r="N1339" s="14" t="str" cm="1">
        <f t="array" ref="N1339">_xlfn.XLOOKUP(TRIM(D1339),TRIM(DFC!A:A),DFC!A:A,"NÃO ESTÁ NA DFC")</f>
        <v xml:space="preserve">          VALES</v>
      </c>
    </row>
    <row r="1340" spans="1:14" customFormat="1" ht="14.4" x14ac:dyDescent="0.3">
      <c r="A1340" s="24"/>
      <c r="B1340" s="21">
        <v>46042</v>
      </c>
      <c r="C1340" s="21" t="s">
        <v>15</v>
      </c>
      <c r="D1340" s="21" t="s">
        <v>246</v>
      </c>
      <c r="E1340" s="20" t="s">
        <v>397</v>
      </c>
      <c r="F1340" s="22" t="s">
        <v>327</v>
      </c>
      <c r="G1340" s="287">
        <v>903.07</v>
      </c>
      <c r="H1340" s="1"/>
      <c r="I1340" s="1">
        <f>COUNTIF(Tabela1[NF],Tabela1[[#This Row],[NF]])</f>
        <v>0</v>
      </c>
      <c r="K1340" s="26">
        <f t="shared" si="8"/>
        <v>46042</v>
      </c>
      <c r="N1340" s="14" t="str" cm="1">
        <f t="array" ref="N1340">_xlfn.XLOOKUP(TRIM(D1340),TRIM(DFC!A:A),DFC!A:A,"NÃO ESTÁ NA DFC")</f>
        <v xml:space="preserve">          VALES</v>
      </c>
    </row>
    <row r="1341" spans="1:14" customFormat="1" ht="14.4" x14ac:dyDescent="0.3">
      <c r="A1341" s="24"/>
      <c r="B1341" s="21">
        <v>46042</v>
      </c>
      <c r="C1341" s="21" t="s">
        <v>15</v>
      </c>
      <c r="D1341" s="21" t="s">
        <v>246</v>
      </c>
      <c r="E1341" s="20" t="s">
        <v>397</v>
      </c>
      <c r="F1341" s="22" t="s">
        <v>320</v>
      </c>
      <c r="G1341" s="287">
        <v>1000</v>
      </c>
      <c r="H1341" s="1"/>
      <c r="I1341" s="1">
        <f>COUNTIF(Tabela1[NF],Tabela1[[#This Row],[NF]])</f>
        <v>0</v>
      </c>
      <c r="K1341" s="26">
        <f t="shared" si="8"/>
        <v>46042</v>
      </c>
      <c r="N1341" s="14" t="str" cm="1">
        <f t="array" ref="N1341">_xlfn.XLOOKUP(TRIM(D1341),TRIM(DFC!A:A),DFC!A:A,"NÃO ESTÁ NA DFC")</f>
        <v xml:space="preserve">          VALES</v>
      </c>
    </row>
    <row r="1342" spans="1:14" customFormat="1" ht="14.4" x14ac:dyDescent="0.3">
      <c r="A1342" s="24"/>
      <c r="B1342" s="21">
        <v>46042</v>
      </c>
      <c r="C1342" s="21" t="s">
        <v>15</v>
      </c>
      <c r="D1342" s="21" t="s">
        <v>246</v>
      </c>
      <c r="E1342" s="20" t="s">
        <v>397</v>
      </c>
      <c r="F1342" s="22" t="s">
        <v>322</v>
      </c>
      <c r="G1342" s="287">
        <v>903.07</v>
      </c>
      <c r="H1342" s="1"/>
      <c r="I1342" s="1">
        <f>COUNTIF(Tabela1[NF],Tabela1[[#This Row],[NF]])</f>
        <v>0</v>
      </c>
      <c r="K1342" s="26">
        <f t="shared" si="8"/>
        <v>46042</v>
      </c>
      <c r="N1342" s="14" t="str" cm="1">
        <f t="array" ref="N1342">_xlfn.XLOOKUP(TRIM(D1342),TRIM(DFC!A:A),DFC!A:A,"NÃO ESTÁ NA DFC")</f>
        <v xml:space="preserve">          VALES</v>
      </c>
    </row>
    <row r="1343" spans="1:14" customFormat="1" ht="14.4" x14ac:dyDescent="0.3">
      <c r="A1343" s="24"/>
      <c r="B1343" s="21">
        <v>46042</v>
      </c>
      <c r="C1343" s="21" t="s">
        <v>15</v>
      </c>
      <c r="D1343" s="84" t="s">
        <v>129</v>
      </c>
      <c r="E1343" s="20" t="s">
        <v>410</v>
      </c>
      <c r="F1343" s="22" t="s">
        <v>398</v>
      </c>
      <c r="G1343" s="287">
        <v>19799.240000000002</v>
      </c>
      <c r="H1343" s="1"/>
      <c r="I1343" s="1">
        <f>COUNTIF(Tabela1[NF],Tabela1[[#This Row],[NF]])</f>
        <v>0</v>
      </c>
      <c r="K1343" s="26">
        <f t="shared" si="8"/>
        <v>46042</v>
      </c>
      <c r="N1343" s="14" t="str" cm="1">
        <f t="array" ref="N1343">_xlfn.XLOOKUP(TRIM(D1343),TRIM(DFC!A:A),DFC!A:A,"NÃO ESTÁ NA DFC")</f>
        <v xml:space="preserve">     SIMPLES NACIONAL</v>
      </c>
    </row>
    <row r="1344" spans="1:14" customFormat="1" ht="14.4" x14ac:dyDescent="0.3">
      <c r="A1344" s="24"/>
      <c r="B1344" s="21">
        <v>46042</v>
      </c>
      <c r="C1344" s="21" t="s">
        <v>15</v>
      </c>
      <c r="D1344" s="21" t="s">
        <v>154</v>
      </c>
      <c r="E1344" s="20"/>
      <c r="F1344" s="22" t="s">
        <v>302</v>
      </c>
      <c r="G1344" s="287">
        <v>1212.33</v>
      </c>
      <c r="H1344" s="1"/>
      <c r="I1344" s="1">
        <f>COUNTIF(Tabela1[NF],Tabela1[[#This Row],[NF]])</f>
        <v>0</v>
      </c>
      <c r="K1344" s="26">
        <f t="shared" si="8"/>
        <v>46042</v>
      </c>
      <c r="N1344" s="14" t="str" cm="1">
        <f t="array" ref="N1344">_xlfn.XLOOKUP(TRIM(D1344),TRIM(DFC!A:A),DFC!A:A,"NÃO ESTÁ NA DFC")</f>
        <v xml:space="preserve">      EMBALAGENS</v>
      </c>
    </row>
    <row r="1345" spans="1:14" customFormat="1" ht="14.4" x14ac:dyDescent="0.3">
      <c r="A1345" s="24"/>
      <c r="B1345" s="21">
        <v>46042</v>
      </c>
      <c r="C1345" s="21" t="s">
        <v>15</v>
      </c>
      <c r="D1345" s="21" t="s">
        <v>154</v>
      </c>
      <c r="E1345" s="20"/>
      <c r="F1345" s="22" t="s">
        <v>302</v>
      </c>
      <c r="G1345" s="287">
        <v>4858.8500000000004</v>
      </c>
      <c r="H1345" s="1"/>
      <c r="I1345" s="1">
        <f>COUNTIF(Tabela1[NF],Tabela1[[#This Row],[NF]])</f>
        <v>0</v>
      </c>
      <c r="K1345" s="26">
        <f t="shared" si="8"/>
        <v>46042</v>
      </c>
      <c r="N1345" s="14" t="str" cm="1">
        <f t="array" ref="N1345">_xlfn.XLOOKUP(TRIM(D1345),TRIM(DFC!A:A),DFC!A:A,"NÃO ESTÁ NA DFC")</f>
        <v xml:space="preserve">      EMBALAGENS</v>
      </c>
    </row>
    <row r="1346" spans="1:14" customFormat="1" ht="14.4" x14ac:dyDescent="0.3">
      <c r="A1346" s="24"/>
      <c r="B1346" s="21">
        <v>46042</v>
      </c>
      <c r="C1346" s="21" t="s">
        <v>15</v>
      </c>
      <c r="D1346" s="21" t="s">
        <v>19</v>
      </c>
      <c r="E1346" s="20"/>
      <c r="F1346" s="22" t="s">
        <v>297</v>
      </c>
      <c r="G1346" s="287">
        <v>8747.01</v>
      </c>
      <c r="H1346" s="1"/>
      <c r="I1346" s="1">
        <f>COUNTIF(Tabela1[NF],Tabela1[[#This Row],[NF]])</f>
        <v>0</v>
      </c>
      <c r="K1346" s="26">
        <f t="shared" ref="K1346:K1377" si="9">B1346</f>
        <v>46042</v>
      </c>
      <c r="N1346" s="14" t="str" cm="1">
        <f t="array" ref="N1346">_xlfn.XLOOKUP(TRIM(D1346),TRIM(DFC!A:A),DFC!A:A,"NÃO ESTÁ NA DFC")</f>
        <v xml:space="preserve">      PEÇAS</v>
      </c>
    </row>
    <row r="1347" spans="1:14" customFormat="1" ht="14.4" x14ac:dyDescent="0.3">
      <c r="A1347" s="24"/>
      <c r="B1347" s="21">
        <v>46042</v>
      </c>
      <c r="C1347" s="21" t="s">
        <v>15</v>
      </c>
      <c r="D1347" s="21" t="s">
        <v>23</v>
      </c>
      <c r="E1347" s="20"/>
      <c r="F1347" s="22" t="s">
        <v>389</v>
      </c>
      <c r="G1347" s="287">
        <v>70.02</v>
      </c>
      <c r="H1347" s="1"/>
      <c r="I1347" s="1">
        <f>COUNTIF(Tabela1[NF],Tabela1[[#This Row],[NF]])</f>
        <v>0</v>
      </c>
      <c r="K1347" s="26">
        <f t="shared" si="9"/>
        <v>46042</v>
      </c>
      <c r="N1347" s="14" t="str" cm="1">
        <f t="array" ref="N1347">_xlfn.XLOOKUP(TRIM(D1347),TRIM(DFC!A:A),DFC!A:A,"NÃO ESTÁ NA DFC")</f>
        <v xml:space="preserve">         CONTABILIDADE</v>
      </c>
    </row>
    <row r="1348" spans="1:14" customFormat="1" ht="14.4" x14ac:dyDescent="0.3">
      <c r="A1348" s="24"/>
      <c r="B1348" s="21">
        <v>46042</v>
      </c>
      <c r="C1348" s="21" t="s">
        <v>15</v>
      </c>
      <c r="D1348" s="21" t="s">
        <v>19</v>
      </c>
      <c r="E1348" s="20"/>
      <c r="F1348" s="22" t="s">
        <v>406</v>
      </c>
      <c r="G1348" s="287">
        <v>1779.66</v>
      </c>
      <c r="H1348" s="1"/>
      <c r="I1348" s="1">
        <f>COUNTIF(Tabela1[NF],Tabela1[[#This Row],[NF]])</f>
        <v>0</v>
      </c>
      <c r="K1348" s="26">
        <f t="shared" si="9"/>
        <v>46042</v>
      </c>
      <c r="N1348" s="14" t="str" cm="1">
        <f t="array" ref="N1348">_xlfn.XLOOKUP(TRIM(D1348),TRIM(DFC!A:A),DFC!A:A,"NÃO ESTÁ NA DFC")</f>
        <v xml:space="preserve">      PEÇAS</v>
      </c>
    </row>
    <row r="1349" spans="1:14" customFormat="1" ht="14.4" x14ac:dyDescent="0.3">
      <c r="A1349" s="24"/>
      <c r="B1349" s="21">
        <v>46042</v>
      </c>
      <c r="C1349" s="21" t="s">
        <v>15</v>
      </c>
      <c r="D1349" s="21" t="s">
        <v>19</v>
      </c>
      <c r="E1349" s="20"/>
      <c r="F1349" s="22" t="s">
        <v>405</v>
      </c>
      <c r="G1349" s="287">
        <v>2088.14</v>
      </c>
      <c r="H1349" s="1"/>
      <c r="I1349" s="1">
        <f>COUNTIF(Tabela1[NF],Tabela1[[#This Row],[NF]])</f>
        <v>0</v>
      </c>
      <c r="K1349" s="26">
        <f t="shared" si="9"/>
        <v>46042</v>
      </c>
      <c r="N1349" s="14" t="str" cm="1">
        <f t="array" ref="N1349">_xlfn.XLOOKUP(TRIM(D1349),TRIM(DFC!A:A),DFC!A:A,"NÃO ESTÁ NA DFC")</f>
        <v xml:space="preserve">      PEÇAS</v>
      </c>
    </row>
    <row r="1350" spans="1:14" customFormat="1" ht="14.4" x14ac:dyDescent="0.3">
      <c r="A1350" s="24"/>
      <c r="B1350" s="21">
        <v>46042</v>
      </c>
      <c r="C1350" s="21" t="s">
        <v>15</v>
      </c>
      <c r="D1350" s="21" t="s">
        <v>154</v>
      </c>
      <c r="E1350" s="20"/>
      <c r="F1350" s="22" t="s">
        <v>173</v>
      </c>
      <c r="G1350" s="287">
        <v>5643.39</v>
      </c>
      <c r="H1350" s="1"/>
      <c r="I1350" s="1">
        <f>COUNTIF(Tabela1[NF],Tabela1[[#This Row],[NF]])</f>
        <v>0</v>
      </c>
      <c r="K1350" s="26">
        <f t="shared" si="9"/>
        <v>46042</v>
      </c>
      <c r="N1350" s="14" t="str" cm="1">
        <f t="array" ref="N1350">_xlfn.XLOOKUP(TRIM(D1350),TRIM(DFC!A:A),DFC!A:A,"NÃO ESTÁ NA DFC")</f>
        <v xml:space="preserve">      EMBALAGENS</v>
      </c>
    </row>
    <row r="1351" spans="1:14" customFormat="1" ht="14.4" x14ac:dyDescent="0.3">
      <c r="A1351" s="24"/>
      <c r="B1351" s="21">
        <v>46042</v>
      </c>
      <c r="C1351" s="21" t="s">
        <v>15</v>
      </c>
      <c r="D1351" s="21" t="s">
        <v>19</v>
      </c>
      <c r="E1351" s="20"/>
      <c r="F1351" s="22" t="s">
        <v>173</v>
      </c>
      <c r="G1351" s="287">
        <v>5737.38</v>
      </c>
      <c r="H1351" s="1"/>
      <c r="I1351" s="1">
        <f>COUNTIF(Tabela1[NF],Tabela1[[#This Row],[NF]])</f>
        <v>0</v>
      </c>
      <c r="K1351" s="26">
        <f t="shared" si="9"/>
        <v>46042</v>
      </c>
      <c r="N1351" s="14" t="str" cm="1">
        <f t="array" ref="N1351">_xlfn.XLOOKUP(TRIM(D1351),TRIM(DFC!A:A),DFC!A:A,"NÃO ESTÁ NA DFC")</f>
        <v xml:space="preserve">      PEÇAS</v>
      </c>
    </row>
    <row r="1352" spans="1:14" customFormat="1" ht="14.4" x14ac:dyDescent="0.3">
      <c r="A1352" s="24"/>
      <c r="B1352" s="21">
        <v>46042</v>
      </c>
      <c r="C1352" s="21" t="s">
        <v>15</v>
      </c>
      <c r="D1352" s="21" t="s">
        <v>19</v>
      </c>
      <c r="E1352" s="20"/>
      <c r="F1352" s="22" t="s">
        <v>407</v>
      </c>
      <c r="G1352" s="287">
        <v>24296</v>
      </c>
      <c r="H1352" s="1"/>
      <c r="I1352" s="1">
        <f>COUNTIF(Tabela1[NF],Tabela1[[#This Row],[NF]])</f>
        <v>0</v>
      </c>
      <c r="K1352" s="26">
        <f t="shared" si="9"/>
        <v>46042</v>
      </c>
      <c r="N1352" s="14" t="str" cm="1">
        <f t="array" ref="N1352">_xlfn.XLOOKUP(TRIM(D1352),TRIM(DFC!A:A),DFC!A:A,"NÃO ESTÁ NA DFC")</f>
        <v xml:space="preserve">      PEÇAS</v>
      </c>
    </row>
    <row r="1353" spans="1:14" customFormat="1" ht="14.4" x14ac:dyDescent="0.3">
      <c r="A1353" s="24"/>
      <c r="B1353" s="21">
        <v>46042</v>
      </c>
      <c r="C1353" s="21" t="s">
        <v>15</v>
      </c>
      <c r="D1353" s="21" t="s">
        <v>19</v>
      </c>
      <c r="E1353" s="20"/>
      <c r="F1353" s="22" t="s">
        <v>405</v>
      </c>
      <c r="G1353" s="287">
        <v>6264.44</v>
      </c>
      <c r="H1353" s="1"/>
      <c r="I1353" s="1">
        <f>COUNTIF(Tabela1[NF],Tabela1[[#This Row],[NF]])</f>
        <v>0</v>
      </c>
      <c r="K1353" s="26">
        <f t="shared" si="9"/>
        <v>46042</v>
      </c>
      <c r="N1353" s="14" t="str" cm="1">
        <f t="array" ref="N1353">_xlfn.XLOOKUP(TRIM(D1353),TRIM(DFC!A:A),DFC!A:A,"NÃO ESTÁ NA DFC")</f>
        <v xml:space="preserve">      PEÇAS</v>
      </c>
    </row>
    <row r="1354" spans="1:14" customFormat="1" ht="14.4" x14ac:dyDescent="0.3">
      <c r="A1354" s="24"/>
      <c r="B1354" s="21">
        <v>46042</v>
      </c>
      <c r="C1354" s="21" t="s">
        <v>15</v>
      </c>
      <c r="D1354" s="21" t="s">
        <v>29</v>
      </c>
      <c r="E1354" s="20"/>
      <c r="F1354" s="22" t="s">
        <v>505</v>
      </c>
      <c r="G1354" s="287">
        <v>94.4</v>
      </c>
      <c r="H1354" s="1"/>
      <c r="I1354" s="1">
        <f>COUNTIF(Tabela1[NF],Tabela1[[#This Row],[NF]])</f>
        <v>0</v>
      </c>
      <c r="K1354" s="26">
        <f t="shared" si="9"/>
        <v>46042</v>
      </c>
      <c r="N1354" s="14" t="str" cm="1">
        <f t="array" ref="N1354">_xlfn.XLOOKUP(TRIM(D1354),TRIM(DFC!A:A),DFC!A:A,"NÃO ESTÁ NA DFC")</f>
        <v xml:space="preserve">      FRETE DE SAÍDA</v>
      </c>
    </row>
    <row r="1355" spans="1:14" customFormat="1" ht="14.4" x14ac:dyDescent="0.3">
      <c r="A1355" s="24"/>
      <c r="B1355" s="21">
        <v>46042</v>
      </c>
      <c r="C1355" s="21" t="s">
        <v>15</v>
      </c>
      <c r="D1355" s="21" t="s">
        <v>31</v>
      </c>
      <c r="E1355" s="20"/>
      <c r="F1355" s="22" t="s">
        <v>408</v>
      </c>
      <c r="G1355" s="287">
        <v>2067.37</v>
      </c>
      <c r="H1355" s="1"/>
      <c r="I1355" s="1">
        <f>COUNTIF(Tabela1[NF],Tabela1[[#This Row],[NF]])</f>
        <v>0</v>
      </c>
      <c r="K1355" s="26">
        <f t="shared" si="9"/>
        <v>46042</v>
      </c>
      <c r="N1355" s="14" t="str" cm="1">
        <f t="array" ref="N1355">_xlfn.XLOOKUP(TRIM(D1355),TRIM(DFC!A:A),DFC!A:A,"NÃO ESTÁ NA DFC")</f>
        <v xml:space="preserve">      GRAN RESIDENCE</v>
      </c>
    </row>
    <row r="1356" spans="1:14" customFormat="1" ht="14.4" x14ac:dyDescent="0.3">
      <c r="A1356" s="24"/>
      <c r="B1356" s="21">
        <v>46042</v>
      </c>
      <c r="C1356" s="21" t="s">
        <v>15</v>
      </c>
      <c r="D1356" s="21" t="s">
        <v>19</v>
      </c>
      <c r="E1356" s="20"/>
      <c r="F1356" s="22" t="s">
        <v>300</v>
      </c>
      <c r="G1356" s="287">
        <v>12112.67</v>
      </c>
      <c r="H1356" s="1"/>
      <c r="I1356" s="1">
        <f>COUNTIF(Tabela1[NF],Tabela1[[#This Row],[NF]])</f>
        <v>0</v>
      </c>
      <c r="K1356" s="26">
        <f t="shared" si="9"/>
        <v>46042</v>
      </c>
      <c r="N1356" s="14" t="str" cm="1">
        <f t="array" ref="N1356">_xlfn.XLOOKUP(TRIM(D1356),TRIM(DFC!A:A),DFC!A:A,"NÃO ESTÁ NA DFC")</f>
        <v xml:space="preserve">      PEÇAS</v>
      </c>
    </row>
    <row r="1357" spans="1:14" customFormat="1" ht="14.4" x14ac:dyDescent="0.3">
      <c r="A1357" s="24"/>
      <c r="B1357" s="21">
        <v>46042</v>
      </c>
      <c r="C1357" s="21" t="s">
        <v>15</v>
      </c>
      <c r="D1357" s="21" t="s">
        <v>215</v>
      </c>
      <c r="E1357" s="20" t="s">
        <v>606</v>
      </c>
      <c r="F1357" s="22" t="s">
        <v>381</v>
      </c>
      <c r="G1357" s="287">
        <v>1730</v>
      </c>
      <c r="H1357" s="1"/>
      <c r="I1357" s="1">
        <f>COUNTIF(Tabela1[NF],Tabela1[[#This Row],[NF]])</f>
        <v>0</v>
      </c>
      <c r="K1357" s="26">
        <f t="shared" si="9"/>
        <v>46042</v>
      </c>
      <c r="N1357" s="14" t="str" cm="1">
        <f t="array" ref="N1357">_xlfn.XLOOKUP(TRIM(D1357),TRIM(DFC!A:A),DFC!A:A,"NÃO ESTÁ NA DFC")</f>
        <v xml:space="preserve">         DESIGNER GRAFICO</v>
      </c>
    </row>
    <row r="1358" spans="1:14" customFormat="1" ht="14.4" x14ac:dyDescent="0.3">
      <c r="A1358" s="24"/>
      <c r="B1358" s="21">
        <v>46042</v>
      </c>
      <c r="C1358" s="21" t="s">
        <v>15</v>
      </c>
      <c r="D1358" s="91" t="s">
        <v>154</v>
      </c>
      <c r="E1358" s="192"/>
      <c r="F1358" s="22" t="s">
        <v>299</v>
      </c>
      <c r="G1358" s="287">
        <v>1471.56</v>
      </c>
      <c r="H1358" s="1"/>
      <c r="I1358" s="1">
        <f>COUNTIF(Tabela1[NF],Tabela1[[#This Row],[NF]])</f>
        <v>0</v>
      </c>
      <c r="K1358" s="26">
        <f t="shared" si="9"/>
        <v>46042</v>
      </c>
      <c r="N1358" s="14" t="str" cm="1">
        <f t="array" ref="N1358">_xlfn.XLOOKUP(TRIM(D1358),TRIM(DFC!A:A),DFC!A:A,"NÃO ESTÁ NA DFC")</f>
        <v xml:space="preserve">      EMBALAGENS</v>
      </c>
    </row>
    <row r="1359" spans="1:14" customFormat="1" ht="14.4" x14ac:dyDescent="0.3">
      <c r="A1359" s="24"/>
      <c r="B1359" s="21">
        <v>46042</v>
      </c>
      <c r="C1359" s="21" t="s">
        <v>15</v>
      </c>
      <c r="D1359" s="21" t="s">
        <v>154</v>
      </c>
      <c r="E1359" s="20"/>
      <c r="F1359" s="22" t="s">
        <v>303</v>
      </c>
      <c r="G1359" s="287">
        <v>522.45000000000005</v>
      </c>
      <c r="H1359" s="1"/>
      <c r="I1359" s="1">
        <f>COUNTIF(Tabela1[NF],Tabela1[[#This Row],[NF]])</f>
        <v>0</v>
      </c>
      <c r="K1359" s="26">
        <f t="shared" si="9"/>
        <v>46042</v>
      </c>
      <c r="N1359" s="14" t="str" cm="1">
        <f t="array" ref="N1359">_xlfn.XLOOKUP(TRIM(D1359),TRIM(DFC!A:A),DFC!A:A,"NÃO ESTÁ NA DFC")</f>
        <v xml:space="preserve">      EMBALAGENS</v>
      </c>
    </row>
    <row r="1360" spans="1:14" customFormat="1" ht="14.4" x14ac:dyDescent="0.3">
      <c r="A1360" s="24"/>
      <c r="B1360" s="21">
        <v>46042</v>
      </c>
      <c r="C1360" s="21" t="s">
        <v>15</v>
      </c>
      <c r="D1360" s="21" t="s">
        <v>23</v>
      </c>
      <c r="E1360" s="20"/>
      <c r="F1360" s="22" t="s">
        <v>389</v>
      </c>
      <c r="G1360" s="287">
        <v>3924</v>
      </c>
      <c r="H1360" s="1"/>
      <c r="I1360" s="1">
        <f>COUNTIF(Tabela1[NF],Tabela1[[#This Row],[NF]])</f>
        <v>0</v>
      </c>
      <c r="K1360" s="26">
        <f t="shared" si="9"/>
        <v>46042</v>
      </c>
      <c r="N1360" s="14" t="str" cm="1">
        <f t="array" ref="N1360">_xlfn.XLOOKUP(TRIM(D1360),TRIM(DFC!A:A),DFC!A:A,"NÃO ESTÁ NA DFC")</f>
        <v xml:space="preserve">         CONTABILIDADE</v>
      </c>
    </row>
    <row r="1361" spans="1:14" customFormat="1" ht="14.4" x14ac:dyDescent="0.3">
      <c r="A1361" s="24"/>
      <c r="B1361" s="21">
        <v>46042</v>
      </c>
      <c r="C1361" s="21" t="s">
        <v>15</v>
      </c>
      <c r="D1361" s="21" t="s">
        <v>154</v>
      </c>
      <c r="E1361" s="20"/>
      <c r="F1361" s="22" t="s">
        <v>303</v>
      </c>
      <c r="G1361" s="287">
        <v>378.78</v>
      </c>
      <c r="H1361" s="1"/>
      <c r="I1361" s="1">
        <f>COUNTIF(Tabela1[NF],Tabela1[[#This Row],[NF]])</f>
        <v>0</v>
      </c>
      <c r="K1361" s="26">
        <f t="shared" si="9"/>
        <v>46042</v>
      </c>
      <c r="N1361" s="14" t="str" cm="1">
        <f t="array" ref="N1361">_xlfn.XLOOKUP(TRIM(D1361),TRIM(DFC!A:A),DFC!A:A,"NÃO ESTÁ NA DFC")</f>
        <v xml:space="preserve">      EMBALAGENS</v>
      </c>
    </row>
    <row r="1362" spans="1:14" customFormat="1" ht="14.4" x14ac:dyDescent="0.3">
      <c r="A1362" s="24"/>
      <c r="B1362" s="21">
        <v>46042</v>
      </c>
      <c r="C1362" s="21" t="s">
        <v>15</v>
      </c>
      <c r="D1362" s="84" t="s">
        <v>95</v>
      </c>
      <c r="E1362" s="20" t="s">
        <v>607</v>
      </c>
      <c r="F1362" s="22" t="s">
        <v>404</v>
      </c>
      <c r="G1362" s="287">
        <v>16</v>
      </c>
      <c r="H1362" s="1"/>
      <c r="I1362" s="1">
        <f>COUNTIF(Tabela1[NF],Tabela1[[#This Row],[NF]])</f>
        <v>0</v>
      </c>
      <c r="K1362" s="26">
        <f t="shared" si="9"/>
        <v>46042</v>
      </c>
      <c r="N1362" s="14" t="str" cm="1">
        <f t="array" ref="N1362">_xlfn.XLOOKUP(TRIM(D1362),TRIM(DFC!A:A),DFC!A:A,"NÃO ESTÁ NA DFC")</f>
        <v xml:space="preserve">          ISS</v>
      </c>
    </row>
    <row r="1363" spans="1:14" customFormat="1" ht="14.4" x14ac:dyDescent="0.3">
      <c r="A1363" s="24"/>
      <c r="B1363" s="21">
        <v>46042</v>
      </c>
      <c r="C1363" s="21" t="s">
        <v>15</v>
      </c>
      <c r="D1363" s="21" t="s">
        <v>40</v>
      </c>
      <c r="E1363" s="20" t="s">
        <v>608</v>
      </c>
      <c r="F1363" s="22" t="s">
        <v>609</v>
      </c>
      <c r="G1363" s="252">
        <v>311.5</v>
      </c>
      <c r="H1363" s="1"/>
      <c r="I1363" s="1">
        <f>COUNTIF(Tabela1[NF],Tabela1[[#This Row],[NF]])</f>
        <v>0</v>
      </c>
      <c r="K1363" s="26">
        <f t="shared" si="9"/>
        <v>46042</v>
      </c>
      <c r="N1363" s="14" t="str" cm="1">
        <f t="array" ref="N1363">_xlfn.XLOOKUP(TRIM(D1363),TRIM(DFC!A:A),DFC!A:A,"NÃO ESTÁ NA DFC")</f>
        <v xml:space="preserve">         SERVIÇO TERCEIRIZADO</v>
      </c>
    </row>
    <row r="1364" spans="1:14" customFormat="1" ht="14.4" x14ac:dyDescent="0.3">
      <c r="A1364" s="19">
        <v>460032</v>
      </c>
      <c r="B1364" s="21">
        <v>46042</v>
      </c>
      <c r="C1364" s="21" t="s">
        <v>15</v>
      </c>
      <c r="D1364" s="21" t="s">
        <v>19</v>
      </c>
      <c r="E1364" s="20"/>
      <c r="F1364" s="22" t="s">
        <v>310</v>
      </c>
      <c r="G1364" s="252">
        <v>5963</v>
      </c>
      <c r="H1364" s="1"/>
      <c r="I1364" s="1">
        <f>COUNTIF(Tabela1[NF],Tabela1[[#This Row],[NF]])</f>
        <v>2</v>
      </c>
      <c r="K1364" s="26">
        <f t="shared" si="9"/>
        <v>46042</v>
      </c>
      <c r="N1364" s="14" t="str" cm="1">
        <f t="array" ref="N1364">_xlfn.XLOOKUP(TRIM(D1364),TRIM(DFC!A:A),DFC!A:A,"NÃO ESTÁ NA DFC")</f>
        <v xml:space="preserve">      PEÇAS</v>
      </c>
    </row>
    <row r="1365" spans="1:14" customFormat="1" ht="14.4" x14ac:dyDescent="0.3">
      <c r="A1365" s="24"/>
      <c r="B1365" s="21">
        <v>46043</v>
      </c>
      <c r="C1365" s="21" t="s">
        <v>15</v>
      </c>
      <c r="D1365" s="21" t="s">
        <v>34</v>
      </c>
      <c r="E1365" s="20"/>
      <c r="F1365" s="22" t="s">
        <v>384</v>
      </c>
      <c r="G1365" s="287">
        <v>438.63</v>
      </c>
      <c r="H1365" s="1"/>
      <c r="I1365" s="1">
        <f>COUNTIF(Tabela1[NF],Tabela1[[#This Row],[NF]])</f>
        <v>0</v>
      </c>
      <c r="K1365" s="26">
        <f t="shared" si="9"/>
        <v>46043</v>
      </c>
      <c r="N1365" s="14" t="str" cm="1">
        <f t="array" ref="N1365">_xlfn.XLOOKUP(TRIM(D1365),TRIM(DFC!A:A),DFC!A:A,"NÃO ESTÁ NA DFC")</f>
        <v xml:space="preserve">          INTERNET</v>
      </c>
    </row>
    <row r="1366" spans="1:14" customFormat="1" ht="14.4" x14ac:dyDescent="0.3">
      <c r="A1366" s="24"/>
      <c r="B1366" s="21">
        <v>46043</v>
      </c>
      <c r="C1366" s="21" t="s">
        <v>15</v>
      </c>
      <c r="D1366" s="21" t="s">
        <v>29</v>
      </c>
      <c r="E1366" s="20"/>
      <c r="F1366" s="22" t="s">
        <v>450</v>
      </c>
      <c r="G1366" s="287">
        <v>750</v>
      </c>
      <c r="H1366" s="1"/>
      <c r="I1366" s="1">
        <f>COUNTIF(Tabela1[NF],Tabela1[[#This Row],[NF]])</f>
        <v>0</v>
      </c>
      <c r="K1366" s="26">
        <f t="shared" si="9"/>
        <v>46043</v>
      </c>
      <c r="N1366" s="14" t="str" cm="1">
        <f t="array" ref="N1366">_xlfn.XLOOKUP(TRIM(D1366),TRIM(DFC!A:A),DFC!A:A,"NÃO ESTÁ NA DFC")</f>
        <v xml:space="preserve">      FRETE DE SAÍDA</v>
      </c>
    </row>
    <row r="1367" spans="1:14" customFormat="1" ht="14.4" x14ac:dyDescent="0.3">
      <c r="A1367" s="24"/>
      <c r="B1367" s="21">
        <v>46043</v>
      </c>
      <c r="C1367" s="21" t="s">
        <v>15</v>
      </c>
      <c r="D1367" s="21" t="s">
        <v>29</v>
      </c>
      <c r="E1367" s="20" t="s">
        <v>449</v>
      </c>
      <c r="F1367" s="22" t="s">
        <v>294</v>
      </c>
      <c r="G1367" s="287">
        <v>120</v>
      </c>
      <c r="H1367" s="1"/>
      <c r="I1367" s="1">
        <f>COUNTIF(Tabela1[NF],Tabela1[[#This Row],[NF]])</f>
        <v>0</v>
      </c>
      <c r="K1367" s="26">
        <f t="shared" si="9"/>
        <v>46043</v>
      </c>
      <c r="N1367" s="14" t="str" cm="1">
        <f t="array" ref="N1367">_xlfn.XLOOKUP(TRIM(D1367),TRIM(DFC!A:A),DFC!A:A,"NÃO ESTÁ NA DFC")</f>
        <v xml:space="preserve">      FRETE DE SAÍDA</v>
      </c>
    </row>
    <row r="1368" spans="1:14" customFormat="1" ht="14.4" x14ac:dyDescent="0.3">
      <c r="A1368" s="24"/>
      <c r="B1368" s="21">
        <v>46043</v>
      </c>
      <c r="C1368" s="21" t="s">
        <v>15</v>
      </c>
      <c r="D1368" s="21" t="s">
        <v>29</v>
      </c>
      <c r="E1368" s="20" t="s">
        <v>571</v>
      </c>
      <c r="F1368" s="22" t="s">
        <v>484</v>
      </c>
      <c r="G1368" s="252">
        <v>120</v>
      </c>
      <c r="H1368" s="1"/>
      <c r="I1368" s="1">
        <f>COUNTIF(Tabela1[NF],Tabela1[[#This Row],[NF]])</f>
        <v>0</v>
      </c>
      <c r="K1368" s="26">
        <f t="shared" si="9"/>
        <v>46043</v>
      </c>
      <c r="N1368" s="14" t="str" cm="1">
        <f t="array" ref="N1368">_xlfn.XLOOKUP(TRIM(D1368),TRIM(DFC!A:A),DFC!A:A,"NÃO ESTÁ NA DFC")</f>
        <v xml:space="preserve">      FRETE DE SAÍDA</v>
      </c>
    </row>
    <row r="1369" spans="1:14" customFormat="1" ht="14.4" x14ac:dyDescent="0.3">
      <c r="A1369" s="24"/>
      <c r="B1369" s="21">
        <v>46043</v>
      </c>
      <c r="C1369" s="21" t="s">
        <v>15</v>
      </c>
      <c r="D1369" s="21" t="s">
        <v>29</v>
      </c>
      <c r="E1369" s="20"/>
      <c r="F1369" s="22" t="s">
        <v>168</v>
      </c>
      <c r="G1369" s="287">
        <v>570</v>
      </c>
      <c r="H1369" s="1"/>
      <c r="I1369" s="1">
        <f>COUNTIF(Tabela1[NF],Tabela1[[#This Row],[NF]])</f>
        <v>0</v>
      </c>
      <c r="K1369" s="26">
        <f t="shared" si="9"/>
        <v>46043</v>
      </c>
      <c r="N1369" s="14" t="str" cm="1">
        <f t="array" ref="N1369">_xlfn.XLOOKUP(TRIM(D1369),TRIM(DFC!A:A),DFC!A:A,"NÃO ESTÁ NA DFC")</f>
        <v xml:space="preserve">      FRETE DE SAÍDA</v>
      </c>
    </row>
    <row r="1370" spans="1:14" customFormat="1" ht="14.4" x14ac:dyDescent="0.3">
      <c r="A1370" s="24"/>
      <c r="B1370" s="21">
        <v>46044</v>
      </c>
      <c r="C1370" s="21" t="s">
        <v>15</v>
      </c>
      <c r="D1370" s="21" t="s">
        <v>19</v>
      </c>
      <c r="E1370" s="20"/>
      <c r="F1370" s="22" t="s">
        <v>228</v>
      </c>
      <c r="G1370" s="287">
        <v>3595.75</v>
      </c>
      <c r="H1370" s="1"/>
      <c r="I1370" s="1">
        <f>COUNTIF(Tabela1[NF],Tabela1[[#This Row],[NF]])</f>
        <v>0</v>
      </c>
      <c r="K1370" s="26">
        <f t="shared" si="9"/>
        <v>46044</v>
      </c>
      <c r="N1370" s="14" t="str" cm="1">
        <f t="array" ref="N1370">_xlfn.XLOOKUP(TRIM(D1370),TRIM(DFC!A:A),DFC!A:A,"NÃO ESTÁ NA DFC")</f>
        <v xml:space="preserve">      PEÇAS</v>
      </c>
    </row>
    <row r="1371" spans="1:14" customFormat="1" ht="14.4" x14ac:dyDescent="0.3">
      <c r="A1371" s="19">
        <v>122548</v>
      </c>
      <c r="B1371" s="21">
        <v>46044</v>
      </c>
      <c r="C1371" s="21" t="s">
        <v>15</v>
      </c>
      <c r="D1371" s="21" t="s">
        <v>19</v>
      </c>
      <c r="E1371" s="20"/>
      <c r="F1371" s="22" t="s">
        <v>304</v>
      </c>
      <c r="G1371" s="287">
        <v>2459.5100000000002</v>
      </c>
      <c r="H1371" s="1"/>
      <c r="I1371" s="1">
        <f>COUNTIF(Tabela1[NF],Tabela1[[#This Row],[NF]])</f>
        <v>1</v>
      </c>
      <c r="K1371" s="26">
        <f t="shared" si="9"/>
        <v>46044</v>
      </c>
      <c r="N1371" s="14" t="str" cm="1">
        <f t="array" ref="N1371">_xlfn.XLOOKUP(TRIM(D1371),TRIM(DFC!A:A),DFC!A:A,"NÃO ESTÁ NA DFC")</f>
        <v xml:space="preserve">      PEÇAS</v>
      </c>
    </row>
    <row r="1372" spans="1:14" customFormat="1" ht="14.4" x14ac:dyDescent="0.3">
      <c r="A1372" s="24"/>
      <c r="B1372" s="21">
        <v>46044</v>
      </c>
      <c r="C1372" s="21" t="s">
        <v>15</v>
      </c>
      <c r="D1372" s="21" t="s">
        <v>154</v>
      </c>
      <c r="E1372" s="20"/>
      <c r="F1372" s="22" t="s">
        <v>303</v>
      </c>
      <c r="G1372" s="287">
        <v>711.29</v>
      </c>
      <c r="H1372" s="1"/>
      <c r="I1372" s="1">
        <f>COUNTIF(Tabela1[NF],Tabela1[[#This Row],[NF]])</f>
        <v>0</v>
      </c>
      <c r="K1372" s="26">
        <f t="shared" si="9"/>
        <v>46044</v>
      </c>
      <c r="N1372" s="14" t="str" cm="1">
        <f t="array" ref="N1372">_xlfn.XLOOKUP(TRIM(D1372),TRIM(DFC!A:A),DFC!A:A,"NÃO ESTÁ NA DFC")</f>
        <v xml:space="preserve">      EMBALAGENS</v>
      </c>
    </row>
    <row r="1373" spans="1:14" customFormat="1" ht="14.4" x14ac:dyDescent="0.3">
      <c r="A1373" s="24"/>
      <c r="B1373" s="21">
        <v>46044</v>
      </c>
      <c r="C1373" s="21" t="s">
        <v>15</v>
      </c>
      <c r="D1373" s="21" t="s">
        <v>19</v>
      </c>
      <c r="E1373" s="20"/>
      <c r="F1373" s="22" t="s">
        <v>228</v>
      </c>
      <c r="G1373" s="287">
        <v>3467.02</v>
      </c>
      <c r="H1373" s="1"/>
      <c r="I1373" s="1">
        <f>COUNTIF(Tabela1[NF],Tabela1[[#This Row],[NF]])</f>
        <v>0</v>
      </c>
      <c r="K1373" s="26">
        <f t="shared" si="9"/>
        <v>46044</v>
      </c>
      <c r="N1373" s="14" t="str" cm="1">
        <f t="array" ref="N1373">_xlfn.XLOOKUP(TRIM(D1373),TRIM(DFC!A:A),DFC!A:A,"NÃO ESTÁ NA DFC")</f>
        <v xml:space="preserve">      PEÇAS</v>
      </c>
    </row>
    <row r="1374" spans="1:14" customFormat="1" ht="14.4" x14ac:dyDescent="0.3">
      <c r="A1374" s="24"/>
      <c r="B1374" s="21">
        <v>46044</v>
      </c>
      <c r="C1374" s="21" t="s">
        <v>15</v>
      </c>
      <c r="D1374" s="21" t="s">
        <v>19</v>
      </c>
      <c r="E1374" s="20"/>
      <c r="F1374" s="22" t="s">
        <v>302</v>
      </c>
      <c r="G1374" s="287">
        <v>2908.21</v>
      </c>
      <c r="H1374" s="1"/>
      <c r="I1374" s="1">
        <f>COUNTIF(Tabela1[NF],Tabela1[[#This Row],[NF]])</f>
        <v>0</v>
      </c>
      <c r="K1374" s="26">
        <f t="shared" si="9"/>
        <v>46044</v>
      </c>
      <c r="N1374" s="14" t="str" cm="1">
        <f t="array" ref="N1374">_xlfn.XLOOKUP(TRIM(D1374),TRIM(DFC!A:A),DFC!A:A,"NÃO ESTÁ NA DFC")</f>
        <v xml:space="preserve">      PEÇAS</v>
      </c>
    </row>
    <row r="1375" spans="1:14" customFormat="1" ht="14.4" x14ac:dyDescent="0.3">
      <c r="A1375" s="24"/>
      <c r="B1375" s="21">
        <v>46044</v>
      </c>
      <c r="C1375" s="21" t="s">
        <v>15</v>
      </c>
      <c r="D1375" s="21" t="s">
        <v>29</v>
      </c>
      <c r="E1375" s="20"/>
      <c r="F1375" s="22" t="s">
        <v>122</v>
      </c>
      <c r="G1375" s="287">
        <v>175.08</v>
      </c>
      <c r="H1375" s="1"/>
      <c r="I1375" s="1">
        <f>COUNTIF(Tabela1[NF],Tabela1[[#This Row],[NF]])</f>
        <v>0</v>
      </c>
      <c r="K1375" s="26">
        <f t="shared" si="9"/>
        <v>46044</v>
      </c>
      <c r="N1375" s="14" t="str" cm="1">
        <f t="array" ref="N1375">_xlfn.XLOOKUP(TRIM(D1375),TRIM(DFC!A:A),DFC!A:A,"NÃO ESTÁ NA DFC")</f>
        <v xml:space="preserve">      FRETE DE SAÍDA</v>
      </c>
    </row>
    <row r="1376" spans="1:14" customFormat="1" ht="14.4" x14ac:dyDescent="0.3">
      <c r="A1376" s="24"/>
      <c r="B1376" s="21">
        <v>46044</v>
      </c>
      <c r="C1376" s="21" t="s">
        <v>15</v>
      </c>
      <c r="D1376" s="21" t="s">
        <v>29</v>
      </c>
      <c r="E1376" s="20"/>
      <c r="F1376" s="22" t="s">
        <v>610</v>
      </c>
      <c r="G1376" s="287">
        <v>3800</v>
      </c>
      <c r="H1376" s="1"/>
      <c r="I1376" s="1">
        <f>COUNTIF(Tabela1[NF],Tabela1[[#This Row],[NF]])</f>
        <v>0</v>
      </c>
      <c r="K1376" s="26">
        <f t="shared" si="9"/>
        <v>46044</v>
      </c>
      <c r="N1376" s="14" t="str" cm="1">
        <f t="array" ref="N1376">_xlfn.XLOOKUP(TRIM(D1376),TRIM(DFC!A:A),DFC!A:A,"NÃO ESTÁ NA DFC")</f>
        <v xml:space="preserve">      FRETE DE SAÍDA</v>
      </c>
    </row>
    <row r="1377" spans="1:14" customFormat="1" ht="14.4" x14ac:dyDescent="0.3">
      <c r="A1377" s="24"/>
      <c r="B1377" s="21">
        <v>46044</v>
      </c>
      <c r="C1377" s="21" t="s">
        <v>15</v>
      </c>
      <c r="D1377" s="21" t="s">
        <v>19</v>
      </c>
      <c r="E1377" s="20"/>
      <c r="F1377" s="22" t="s">
        <v>301</v>
      </c>
      <c r="G1377" s="287">
        <v>5221.6099999999997</v>
      </c>
      <c r="H1377" s="1"/>
      <c r="I1377" s="1">
        <f>COUNTIF(Tabela1[NF],Tabela1[[#This Row],[NF]])</f>
        <v>0</v>
      </c>
      <c r="K1377" s="26">
        <f t="shared" si="9"/>
        <v>46044</v>
      </c>
      <c r="N1377" s="14" t="str" cm="1">
        <f t="array" ref="N1377">_xlfn.XLOOKUP(TRIM(D1377),TRIM(DFC!A:A),DFC!A:A,"NÃO ESTÁ NA DFC")</f>
        <v xml:space="preserve">      PEÇAS</v>
      </c>
    </row>
    <row r="1378" spans="1:14" customFormat="1" ht="14.4" x14ac:dyDescent="0.3">
      <c r="A1378" s="24"/>
      <c r="B1378" s="21">
        <v>46044</v>
      </c>
      <c r="C1378" s="21" t="s">
        <v>15</v>
      </c>
      <c r="D1378" s="21" t="s">
        <v>154</v>
      </c>
      <c r="E1378" s="20"/>
      <c r="F1378" s="22" t="s">
        <v>302</v>
      </c>
      <c r="G1378" s="287">
        <v>2925.65</v>
      </c>
      <c r="H1378" s="1"/>
      <c r="I1378" s="1">
        <f>COUNTIF(Tabela1[NF],Tabela1[[#This Row],[NF]])</f>
        <v>0</v>
      </c>
      <c r="K1378" s="26">
        <f t="shared" ref="K1378:K1409" si="10">B1378</f>
        <v>46044</v>
      </c>
      <c r="N1378" s="14" t="str" cm="1">
        <f t="array" ref="N1378">_xlfn.XLOOKUP(TRIM(D1378),TRIM(DFC!A:A),DFC!A:A,"NÃO ESTÁ NA DFC")</f>
        <v xml:space="preserve">      EMBALAGENS</v>
      </c>
    </row>
    <row r="1379" spans="1:14" customFormat="1" ht="14.4" x14ac:dyDescent="0.3">
      <c r="A1379" s="24"/>
      <c r="B1379" s="21">
        <v>46044</v>
      </c>
      <c r="C1379" s="21" t="s">
        <v>15</v>
      </c>
      <c r="D1379" s="21" t="s">
        <v>19</v>
      </c>
      <c r="E1379" s="20"/>
      <c r="F1379" s="22" t="s">
        <v>300</v>
      </c>
      <c r="G1379" s="287">
        <v>1493.44</v>
      </c>
      <c r="H1379" s="1"/>
      <c r="I1379" s="1">
        <f>COUNTIF(Tabela1[NF],Tabela1[[#This Row],[NF]])</f>
        <v>0</v>
      </c>
      <c r="K1379" s="26">
        <f t="shared" si="10"/>
        <v>46044</v>
      </c>
      <c r="N1379" s="14" t="str" cm="1">
        <f t="array" ref="N1379">_xlfn.XLOOKUP(TRIM(D1379),TRIM(DFC!A:A),DFC!A:A,"NÃO ESTÁ NA DFC")</f>
        <v xml:space="preserve">      PEÇAS</v>
      </c>
    </row>
    <row r="1380" spans="1:14" customFormat="1" ht="14.4" x14ac:dyDescent="0.3">
      <c r="A1380" s="24"/>
      <c r="B1380" s="21">
        <v>46044</v>
      </c>
      <c r="C1380" s="21" t="s">
        <v>15</v>
      </c>
      <c r="D1380" s="84" t="s">
        <v>37</v>
      </c>
      <c r="E1380" s="20"/>
      <c r="F1380" s="22" t="s">
        <v>341</v>
      </c>
      <c r="G1380" s="287">
        <v>1143.3800000000001</v>
      </c>
      <c r="H1380" s="1"/>
      <c r="I1380" s="1">
        <f>COUNTIF(Tabela1[NF],Tabela1[[#This Row],[NF]])</f>
        <v>0</v>
      </c>
      <c r="K1380" s="26">
        <f t="shared" si="10"/>
        <v>46044</v>
      </c>
      <c r="N1380" s="14" t="str" cm="1">
        <f t="array" ref="N1380">_xlfn.XLOOKUP(TRIM(D1380),TRIM(DFC!A:A),DFC!A:A,"NÃO ESTÁ NA DFC")</f>
        <v xml:space="preserve">          MATERIAL DE ESCRITÓRIO</v>
      </c>
    </row>
    <row r="1381" spans="1:14" customFormat="1" ht="14.4" x14ac:dyDescent="0.3">
      <c r="A1381" s="19">
        <v>466683</v>
      </c>
      <c r="B1381" s="21">
        <v>46044</v>
      </c>
      <c r="C1381" s="21" t="s">
        <v>15</v>
      </c>
      <c r="D1381" s="21" t="s">
        <v>19</v>
      </c>
      <c r="E1381" s="20"/>
      <c r="F1381" s="22" t="s">
        <v>24</v>
      </c>
      <c r="G1381" s="252">
        <v>6034.04</v>
      </c>
      <c r="H1381" s="1"/>
      <c r="I1381" s="1">
        <f>COUNTIF(Tabela1[NF],Tabela1[[#This Row],[NF]])</f>
        <v>2</v>
      </c>
      <c r="K1381" s="26">
        <f t="shared" si="10"/>
        <v>46044</v>
      </c>
      <c r="N1381" s="14" t="str" cm="1">
        <f t="array" ref="N1381">_xlfn.XLOOKUP(TRIM(D1381),TRIM(DFC!A:A),DFC!A:A,"NÃO ESTÁ NA DFC")</f>
        <v xml:space="preserve">      PEÇAS</v>
      </c>
    </row>
    <row r="1382" spans="1:14" customFormat="1" ht="14.4" x14ac:dyDescent="0.3">
      <c r="A1382" s="19">
        <v>447338</v>
      </c>
      <c r="B1382" s="21">
        <v>46044</v>
      </c>
      <c r="C1382" s="21" t="s">
        <v>15</v>
      </c>
      <c r="D1382" s="21" t="s">
        <v>19</v>
      </c>
      <c r="E1382" s="20"/>
      <c r="F1382" s="22" t="s">
        <v>310</v>
      </c>
      <c r="G1382" s="252">
        <v>6028</v>
      </c>
      <c r="H1382" s="1"/>
      <c r="I1382" s="1">
        <f>COUNTIF(Tabela1[NF],Tabela1[[#This Row],[NF]])</f>
        <v>4</v>
      </c>
      <c r="K1382" s="26">
        <f t="shared" si="10"/>
        <v>46044</v>
      </c>
      <c r="N1382" s="14" t="str" cm="1">
        <f t="array" ref="N1382">_xlfn.XLOOKUP(TRIM(D1382),TRIM(DFC!A:A),DFC!A:A,"NÃO ESTÁ NA DFC")</f>
        <v xml:space="preserve">      PEÇAS</v>
      </c>
    </row>
    <row r="1383" spans="1:14" customFormat="1" ht="14.4" x14ac:dyDescent="0.3">
      <c r="A1383" s="24"/>
      <c r="B1383" s="21">
        <v>46045</v>
      </c>
      <c r="C1383" s="21" t="s">
        <v>15</v>
      </c>
      <c r="D1383" s="21" t="s">
        <v>86</v>
      </c>
      <c r="E1383" s="20" t="s">
        <v>611</v>
      </c>
      <c r="F1383" s="22" t="s">
        <v>399</v>
      </c>
      <c r="G1383" s="287">
        <v>82.97</v>
      </c>
      <c r="H1383" s="1"/>
      <c r="I1383" s="1">
        <f>COUNTIF(Tabela1[NF],Tabela1[[#This Row],[NF]])</f>
        <v>0</v>
      </c>
      <c r="K1383" s="26">
        <f t="shared" si="10"/>
        <v>46045</v>
      </c>
      <c r="N1383" s="14" t="str" cm="1">
        <f t="array" ref="N1383">_xlfn.XLOOKUP(TRIM(D1383),TRIM(DFC!A:A),DFC!A:A,"NÃO ESTÁ NA DFC")</f>
        <v xml:space="preserve">          FGTS</v>
      </c>
    </row>
    <row r="1384" spans="1:14" customFormat="1" ht="14.4" x14ac:dyDescent="0.3">
      <c r="A1384" s="24"/>
      <c r="B1384" s="21">
        <v>46045</v>
      </c>
      <c r="C1384" s="21" t="s">
        <v>15</v>
      </c>
      <c r="D1384" s="21" t="s">
        <v>86</v>
      </c>
      <c r="E1384" s="20" t="s">
        <v>612</v>
      </c>
      <c r="F1384" s="22" t="s">
        <v>399</v>
      </c>
      <c r="G1384" s="287">
        <v>994.7</v>
      </c>
      <c r="H1384" s="1"/>
      <c r="I1384" s="1">
        <f>COUNTIF(Tabela1[NF],Tabela1[[#This Row],[NF]])</f>
        <v>0</v>
      </c>
      <c r="K1384" s="26">
        <f t="shared" si="10"/>
        <v>46045</v>
      </c>
      <c r="N1384" s="14" t="str" cm="1">
        <f t="array" ref="N1384">_xlfn.XLOOKUP(TRIM(D1384),TRIM(DFC!A:A),DFC!A:A,"NÃO ESTÁ NA DFC")</f>
        <v xml:space="preserve">          FGTS</v>
      </c>
    </row>
    <row r="1385" spans="1:14" customFormat="1" ht="14.4" x14ac:dyDescent="0.3">
      <c r="A1385" s="24"/>
      <c r="B1385" s="21">
        <v>46045</v>
      </c>
      <c r="C1385" s="21" t="s">
        <v>15</v>
      </c>
      <c r="D1385" s="21" t="s">
        <v>115</v>
      </c>
      <c r="E1385" s="20"/>
      <c r="F1385" s="22" t="s">
        <v>324</v>
      </c>
      <c r="G1385" s="287">
        <v>2194.9699999999998</v>
      </c>
      <c r="H1385" s="1"/>
      <c r="I1385" s="1">
        <f>COUNTIF(Tabela1[NF],Tabela1[[#This Row],[NF]])</f>
        <v>0</v>
      </c>
      <c r="K1385" s="26">
        <f t="shared" si="10"/>
        <v>46045</v>
      </c>
      <c r="N1385" s="14" t="str" cm="1">
        <f t="array" ref="N1385">_xlfn.XLOOKUP(TRIM(D1385),TRIM(DFC!A:A),DFC!A:A,"NÃO ESTÁ NA DFC")</f>
        <v xml:space="preserve">          RESCISÕES</v>
      </c>
    </row>
    <row r="1386" spans="1:14" customFormat="1" ht="14.4" x14ac:dyDescent="0.3">
      <c r="A1386" s="24"/>
      <c r="B1386" s="21">
        <v>46045</v>
      </c>
      <c r="C1386" s="21" t="s">
        <v>15</v>
      </c>
      <c r="D1386" s="21" t="s">
        <v>115</v>
      </c>
      <c r="E1386" s="20"/>
      <c r="F1386" s="22" t="s">
        <v>324</v>
      </c>
      <c r="G1386" s="287">
        <v>5786.11</v>
      </c>
      <c r="H1386" s="1"/>
      <c r="I1386" s="1">
        <f>COUNTIF(Tabela1[NF],Tabela1[[#This Row],[NF]])</f>
        <v>0</v>
      </c>
      <c r="K1386" s="26">
        <f t="shared" si="10"/>
        <v>46045</v>
      </c>
      <c r="N1386" s="14" t="str" cm="1">
        <f t="array" ref="N1386">_xlfn.XLOOKUP(TRIM(D1386),TRIM(DFC!A:A),DFC!A:A,"NÃO ESTÁ NA DFC")</f>
        <v xml:space="preserve">          RESCISÕES</v>
      </c>
    </row>
    <row r="1387" spans="1:14" customFormat="1" ht="14.4" x14ac:dyDescent="0.3">
      <c r="A1387" s="24"/>
      <c r="B1387" s="21">
        <v>46045</v>
      </c>
      <c r="C1387" s="21" t="s">
        <v>15</v>
      </c>
      <c r="D1387" s="21" t="s">
        <v>86</v>
      </c>
      <c r="E1387" s="20" t="s">
        <v>613</v>
      </c>
      <c r="F1387" s="22" t="s">
        <v>399</v>
      </c>
      <c r="G1387" s="287">
        <v>2686.43</v>
      </c>
      <c r="H1387" s="1"/>
      <c r="I1387" s="1">
        <f>COUNTIF(Tabela1[NF],Tabela1[[#This Row],[NF]])</f>
        <v>0</v>
      </c>
      <c r="K1387" s="26">
        <f t="shared" si="10"/>
        <v>46045</v>
      </c>
      <c r="N1387" s="14" t="str" cm="1">
        <f t="array" ref="N1387">_xlfn.XLOOKUP(TRIM(D1387),TRIM(DFC!A:A),DFC!A:A,"NÃO ESTÁ NA DFC")</f>
        <v xml:space="preserve">          FGTS</v>
      </c>
    </row>
    <row r="1388" spans="1:14" customFormat="1" ht="14.4" x14ac:dyDescent="0.3">
      <c r="A1388" s="24"/>
      <c r="B1388" s="21">
        <v>46045</v>
      </c>
      <c r="C1388" s="21" t="s">
        <v>15</v>
      </c>
      <c r="D1388" s="21" t="s">
        <v>115</v>
      </c>
      <c r="E1388" s="20"/>
      <c r="F1388" s="22" t="s">
        <v>614</v>
      </c>
      <c r="G1388" s="287">
        <v>311.13</v>
      </c>
      <c r="H1388" s="1"/>
      <c r="I1388" s="1">
        <f>COUNTIF(Tabela1[NF],Tabela1[[#This Row],[NF]])</f>
        <v>0</v>
      </c>
      <c r="K1388" s="26">
        <f t="shared" si="10"/>
        <v>46045</v>
      </c>
      <c r="N1388" s="14" t="str" cm="1">
        <f t="array" ref="N1388">_xlfn.XLOOKUP(TRIM(D1388),TRIM(DFC!A:A),DFC!A:A,"NÃO ESTÁ NA DFC")</f>
        <v xml:space="preserve">          RESCISÕES</v>
      </c>
    </row>
    <row r="1389" spans="1:14" customFormat="1" ht="14.4" x14ac:dyDescent="0.3">
      <c r="A1389" s="24"/>
      <c r="B1389" s="21">
        <v>46045</v>
      </c>
      <c r="C1389" s="21" t="s">
        <v>15</v>
      </c>
      <c r="D1389" s="21" t="s">
        <v>115</v>
      </c>
      <c r="E1389" s="20"/>
      <c r="F1389" s="22" t="s">
        <v>614</v>
      </c>
      <c r="G1389" s="287">
        <v>130.66</v>
      </c>
      <c r="H1389" s="1"/>
      <c r="I1389" s="1">
        <f>COUNTIF(Tabela1[NF],Tabela1[[#This Row],[NF]])</f>
        <v>0</v>
      </c>
      <c r="K1389" s="26">
        <f t="shared" si="10"/>
        <v>46045</v>
      </c>
      <c r="N1389" s="14" t="str" cm="1">
        <f t="array" ref="N1389">_xlfn.XLOOKUP(TRIM(D1389),TRIM(DFC!A:A),DFC!A:A,"NÃO ESTÁ NA DFC")</f>
        <v xml:space="preserve">          RESCISÕES</v>
      </c>
    </row>
    <row r="1390" spans="1:14" customFormat="1" ht="14.4" x14ac:dyDescent="0.3">
      <c r="A1390" s="24"/>
      <c r="B1390" s="21">
        <v>46048</v>
      </c>
      <c r="C1390" s="21" t="s">
        <v>15</v>
      </c>
      <c r="D1390" s="21" t="s">
        <v>65</v>
      </c>
      <c r="E1390" s="20"/>
      <c r="F1390" s="22" t="s">
        <v>150</v>
      </c>
      <c r="G1390" s="287">
        <v>10000</v>
      </c>
      <c r="H1390" s="1"/>
      <c r="I1390" s="1">
        <f>COUNTIF(Tabela1[NF],Tabela1[[#This Row],[NF]])</f>
        <v>0</v>
      </c>
      <c r="K1390" s="26">
        <f t="shared" si="10"/>
        <v>46048</v>
      </c>
      <c r="N1390" s="14" t="str" cm="1">
        <f t="array" ref="N1390">_xlfn.XLOOKUP(TRIM(D1390),TRIM(DFC!A:A),DFC!A:A,"NÃO ESTÁ NA DFC")</f>
        <v xml:space="preserve">          AMORTIZAÇÃO FELIPE </v>
      </c>
    </row>
    <row r="1391" spans="1:14" customFormat="1" ht="14.4" x14ac:dyDescent="0.3">
      <c r="A1391" s="24"/>
      <c r="B1391" s="21">
        <v>46048</v>
      </c>
      <c r="C1391" s="21" t="s">
        <v>15</v>
      </c>
      <c r="D1391" s="21" t="s">
        <v>111</v>
      </c>
      <c r="E1391" s="20"/>
      <c r="F1391" s="22" t="s">
        <v>114</v>
      </c>
      <c r="G1391" s="287">
        <v>13.33</v>
      </c>
      <c r="H1391" s="1"/>
      <c r="I1391" s="1">
        <f>COUNTIF(Tabela1[NF],Tabela1[[#This Row],[NF]])</f>
        <v>0</v>
      </c>
      <c r="K1391" s="26">
        <f t="shared" si="10"/>
        <v>46048</v>
      </c>
      <c r="N1391" s="14" t="str" cm="1">
        <f t="array" ref="N1391">_xlfn.XLOOKUP(TRIM(D1391),TRIM(DFC!A:A),DFC!A:A,"NÃO ESTÁ NA DFC")</f>
        <v xml:space="preserve">          TX. BANCÁRIA</v>
      </c>
    </row>
    <row r="1392" spans="1:14" customFormat="1" ht="14.4" x14ac:dyDescent="0.3">
      <c r="A1392" s="24"/>
      <c r="B1392" s="21">
        <v>46048</v>
      </c>
      <c r="C1392" s="21" t="s">
        <v>15</v>
      </c>
      <c r="D1392" s="21" t="s">
        <v>111</v>
      </c>
      <c r="E1392" s="20"/>
      <c r="F1392" s="22" t="s">
        <v>114</v>
      </c>
      <c r="G1392" s="287">
        <v>12.83</v>
      </c>
      <c r="H1392" s="1"/>
      <c r="I1392" s="1">
        <f>COUNTIF(Tabela1[NF],Tabela1[[#This Row],[NF]])</f>
        <v>0</v>
      </c>
      <c r="K1392" s="26">
        <f t="shared" si="10"/>
        <v>46048</v>
      </c>
      <c r="N1392" s="14" t="str" cm="1">
        <f t="array" ref="N1392">_xlfn.XLOOKUP(TRIM(D1392),TRIM(DFC!A:A),DFC!A:A,"NÃO ESTÁ NA DFC")</f>
        <v xml:space="preserve">          TX. BANCÁRIA</v>
      </c>
    </row>
    <row r="1393" spans="1:14" customFormat="1" ht="14.4" x14ac:dyDescent="0.3">
      <c r="A1393" s="24"/>
      <c r="B1393" s="21">
        <v>46048</v>
      </c>
      <c r="C1393" s="21" t="s">
        <v>15</v>
      </c>
      <c r="D1393" s="21" t="s">
        <v>111</v>
      </c>
      <c r="E1393" s="20"/>
      <c r="F1393" s="22" t="s">
        <v>432</v>
      </c>
      <c r="G1393" s="287">
        <v>30</v>
      </c>
      <c r="H1393" s="1"/>
      <c r="I1393" s="1">
        <f>COUNTIF(Tabela1[NF],Tabela1[[#This Row],[NF]])</f>
        <v>0</v>
      </c>
      <c r="K1393" s="26">
        <f t="shared" si="10"/>
        <v>46048</v>
      </c>
      <c r="N1393" s="14" t="str" cm="1">
        <f t="array" ref="N1393">_xlfn.XLOOKUP(TRIM(D1393),TRIM(DFC!A:A),DFC!A:A,"NÃO ESTÁ NA DFC")</f>
        <v xml:space="preserve">          TX. BANCÁRIA</v>
      </c>
    </row>
    <row r="1394" spans="1:14" customFormat="1" ht="14.4" x14ac:dyDescent="0.3">
      <c r="A1394" s="24"/>
      <c r="B1394" s="21">
        <v>46048</v>
      </c>
      <c r="C1394" s="21" t="s">
        <v>15</v>
      </c>
      <c r="D1394" s="21" t="s">
        <v>111</v>
      </c>
      <c r="E1394" s="20"/>
      <c r="F1394" s="22" t="s">
        <v>432</v>
      </c>
      <c r="G1394" s="287">
        <v>30</v>
      </c>
      <c r="H1394" s="1"/>
      <c r="I1394" s="1">
        <f>COUNTIF(Tabela1[NF],Tabela1[[#This Row],[NF]])</f>
        <v>0</v>
      </c>
      <c r="K1394" s="26">
        <f t="shared" si="10"/>
        <v>46048</v>
      </c>
      <c r="N1394" s="14" t="str" cm="1">
        <f t="array" ref="N1394">_xlfn.XLOOKUP(TRIM(D1394),TRIM(DFC!A:A),DFC!A:A,"NÃO ESTÁ NA DFC")</f>
        <v xml:space="preserve">          TX. BANCÁRIA</v>
      </c>
    </row>
    <row r="1395" spans="1:14" customFormat="1" ht="14.4" x14ac:dyDescent="0.3">
      <c r="A1395" s="24"/>
      <c r="B1395" s="21">
        <v>46048</v>
      </c>
      <c r="C1395" s="21" t="s">
        <v>15</v>
      </c>
      <c r="D1395" s="21" t="s">
        <v>19</v>
      </c>
      <c r="E1395" s="20"/>
      <c r="F1395" s="22" t="s">
        <v>301</v>
      </c>
      <c r="G1395" s="287">
        <v>6861.38</v>
      </c>
      <c r="H1395" s="1"/>
      <c r="I1395" s="1">
        <f>COUNTIF(Tabela1[NF],Tabela1[[#This Row],[NF]])</f>
        <v>0</v>
      </c>
      <c r="K1395" s="26">
        <f t="shared" si="10"/>
        <v>46048</v>
      </c>
      <c r="N1395" s="14" t="str" cm="1">
        <f t="array" ref="N1395">_xlfn.XLOOKUP(TRIM(D1395),TRIM(DFC!A:A),DFC!A:A,"NÃO ESTÁ NA DFC")</f>
        <v xml:space="preserve">      PEÇAS</v>
      </c>
    </row>
    <row r="1396" spans="1:14" customFormat="1" ht="14.4" x14ac:dyDescent="0.3">
      <c r="A1396" s="24"/>
      <c r="B1396" s="21">
        <v>46048</v>
      </c>
      <c r="C1396" s="21" t="s">
        <v>15</v>
      </c>
      <c r="D1396" s="21" t="s">
        <v>19</v>
      </c>
      <c r="E1396" s="20"/>
      <c r="F1396" s="22" t="s">
        <v>300</v>
      </c>
      <c r="G1396" s="287">
        <v>6097.58</v>
      </c>
      <c r="H1396" s="1"/>
      <c r="I1396" s="1">
        <f>COUNTIF(Tabela1[NF],Tabela1[[#This Row],[NF]])</f>
        <v>0</v>
      </c>
      <c r="K1396" s="26">
        <f t="shared" si="10"/>
        <v>46048</v>
      </c>
      <c r="N1396" s="14" t="str" cm="1">
        <f t="array" ref="N1396">_xlfn.XLOOKUP(TRIM(D1396),TRIM(DFC!A:A),DFC!A:A,"NÃO ESTÁ NA DFC")</f>
        <v xml:space="preserve">      PEÇAS</v>
      </c>
    </row>
    <row r="1397" spans="1:14" customFormat="1" ht="14.4" x14ac:dyDescent="0.3">
      <c r="A1397" s="24"/>
      <c r="B1397" s="21">
        <v>46048</v>
      </c>
      <c r="C1397" s="21" t="s">
        <v>15</v>
      </c>
      <c r="D1397" s="21" t="s">
        <v>19</v>
      </c>
      <c r="E1397" s="20"/>
      <c r="F1397" s="22" t="s">
        <v>228</v>
      </c>
      <c r="G1397" s="287">
        <v>1617</v>
      </c>
      <c r="H1397" s="1"/>
      <c r="I1397" s="1">
        <f>COUNTIF(Tabela1[NF],Tabela1[[#This Row],[NF]])</f>
        <v>0</v>
      </c>
      <c r="K1397" s="26">
        <f t="shared" si="10"/>
        <v>46048</v>
      </c>
      <c r="N1397" s="14" t="str" cm="1">
        <f t="array" ref="N1397">_xlfn.XLOOKUP(TRIM(D1397),TRIM(DFC!A:A),DFC!A:A,"NÃO ESTÁ NA DFC")</f>
        <v xml:space="preserve">      PEÇAS</v>
      </c>
    </row>
    <row r="1398" spans="1:14" customFormat="1" ht="14.4" x14ac:dyDescent="0.3">
      <c r="A1398" s="24"/>
      <c r="B1398" s="21">
        <v>46048</v>
      </c>
      <c r="C1398" s="21" t="s">
        <v>15</v>
      </c>
      <c r="D1398" s="21" t="s">
        <v>154</v>
      </c>
      <c r="E1398" s="20"/>
      <c r="F1398" s="22" t="s">
        <v>302</v>
      </c>
      <c r="G1398" s="287">
        <v>3216.48</v>
      </c>
      <c r="H1398" s="1"/>
      <c r="I1398" s="1">
        <f>COUNTIF(Tabela1[NF],Tabela1[[#This Row],[NF]])</f>
        <v>0</v>
      </c>
      <c r="K1398" s="26">
        <f t="shared" si="10"/>
        <v>46048</v>
      </c>
      <c r="N1398" s="14" t="str" cm="1">
        <f t="array" ref="N1398">_xlfn.XLOOKUP(TRIM(D1398),TRIM(DFC!A:A),DFC!A:A,"NÃO ESTÁ NA DFC")</f>
        <v xml:space="preserve">      EMBALAGENS</v>
      </c>
    </row>
    <row r="1399" spans="1:14" customFormat="1" ht="14.4" x14ac:dyDescent="0.3">
      <c r="A1399" s="24"/>
      <c r="B1399" s="21">
        <v>46048</v>
      </c>
      <c r="C1399" s="21" t="s">
        <v>15</v>
      </c>
      <c r="D1399" s="21" t="s">
        <v>19</v>
      </c>
      <c r="E1399" s="20"/>
      <c r="F1399" s="22" t="s">
        <v>615</v>
      </c>
      <c r="G1399" s="287">
        <v>792.5</v>
      </c>
      <c r="H1399" s="1"/>
      <c r="I1399" s="1">
        <f>COUNTIF(Tabela1[NF],Tabela1[[#This Row],[NF]])</f>
        <v>0</v>
      </c>
      <c r="K1399" s="26">
        <f t="shared" si="10"/>
        <v>46048</v>
      </c>
      <c r="N1399" s="14" t="str" cm="1">
        <f t="array" ref="N1399">_xlfn.XLOOKUP(TRIM(D1399),TRIM(DFC!A:A),DFC!A:A,"NÃO ESTÁ NA DFC")</f>
        <v xml:space="preserve">      PEÇAS</v>
      </c>
    </row>
    <row r="1400" spans="1:14" customFormat="1" ht="14.4" x14ac:dyDescent="0.3">
      <c r="A1400" s="24"/>
      <c r="B1400" s="21">
        <v>46048</v>
      </c>
      <c r="C1400" s="21" t="s">
        <v>15</v>
      </c>
      <c r="D1400" s="21" t="s">
        <v>19</v>
      </c>
      <c r="E1400" s="20"/>
      <c r="F1400" s="22" t="s">
        <v>407</v>
      </c>
      <c r="G1400" s="287">
        <v>1066.56</v>
      </c>
      <c r="H1400" s="1"/>
      <c r="I1400" s="1">
        <f>COUNTIF(Tabela1[NF],Tabela1[[#This Row],[NF]])</f>
        <v>0</v>
      </c>
      <c r="K1400" s="26">
        <f t="shared" si="10"/>
        <v>46048</v>
      </c>
      <c r="N1400" s="14" t="str" cm="1">
        <f t="array" ref="N1400">_xlfn.XLOOKUP(TRIM(D1400),TRIM(DFC!A:A),DFC!A:A,"NÃO ESTÁ NA DFC")</f>
        <v xml:space="preserve">      PEÇAS</v>
      </c>
    </row>
    <row r="1401" spans="1:14" customFormat="1" ht="14.4" x14ac:dyDescent="0.3">
      <c r="A1401" s="24"/>
      <c r="B1401" s="21">
        <v>46048</v>
      </c>
      <c r="C1401" s="21" t="s">
        <v>15</v>
      </c>
      <c r="D1401" s="21" t="s">
        <v>29</v>
      </c>
      <c r="E1401" s="20"/>
      <c r="F1401" s="22" t="s">
        <v>505</v>
      </c>
      <c r="G1401" s="287">
        <v>54.2</v>
      </c>
      <c r="H1401" s="1"/>
      <c r="I1401" s="1">
        <f>COUNTIF(Tabela1[NF],Tabela1[[#This Row],[NF]])</f>
        <v>0</v>
      </c>
      <c r="K1401" s="26">
        <f t="shared" si="10"/>
        <v>46048</v>
      </c>
      <c r="N1401" s="14" t="str" cm="1">
        <f t="array" ref="N1401">_xlfn.XLOOKUP(TRIM(D1401),TRIM(DFC!A:A),DFC!A:A,"NÃO ESTÁ NA DFC")</f>
        <v xml:space="preserve">      FRETE DE SAÍDA</v>
      </c>
    </row>
    <row r="1402" spans="1:14" customFormat="1" ht="14.4" x14ac:dyDescent="0.3">
      <c r="A1402" s="19">
        <v>447947</v>
      </c>
      <c r="B1402" s="21">
        <v>46048</v>
      </c>
      <c r="C1402" s="21" t="s">
        <v>15</v>
      </c>
      <c r="D1402" s="21" t="s">
        <v>19</v>
      </c>
      <c r="E1402" s="20"/>
      <c r="F1402" s="22" t="s">
        <v>24</v>
      </c>
      <c r="G1402" s="252">
        <v>2979</v>
      </c>
      <c r="H1402" s="1"/>
      <c r="I1402" s="1">
        <f>COUNTIF(Tabela1[NF],Tabela1[[#This Row],[NF]])</f>
        <v>4</v>
      </c>
      <c r="K1402" s="26">
        <f t="shared" si="10"/>
        <v>46048</v>
      </c>
      <c r="N1402" s="14" t="str" cm="1">
        <f t="array" ref="N1402">_xlfn.XLOOKUP(TRIM(D1402),TRIM(DFC!A:A),DFC!A:A,"NÃO ESTÁ NA DFC")</f>
        <v xml:space="preserve">      PEÇAS</v>
      </c>
    </row>
    <row r="1403" spans="1:14" customFormat="1" ht="14.4" x14ac:dyDescent="0.3">
      <c r="A1403" s="24">
        <v>614562</v>
      </c>
      <c r="B1403" s="21">
        <v>46048</v>
      </c>
      <c r="C1403" s="21" t="s">
        <v>15</v>
      </c>
      <c r="D1403" s="21" t="s">
        <v>19</v>
      </c>
      <c r="E1403" s="20"/>
      <c r="F1403" s="22" t="s">
        <v>310</v>
      </c>
      <c r="G1403" s="252">
        <v>2765</v>
      </c>
      <c r="H1403" s="1"/>
      <c r="I1403" s="1">
        <f>COUNTIF(Tabela1[NF],Tabela1[[#This Row],[NF]])</f>
        <v>5</v>
      </c>
      <c r="K1403" s="26">
        <f t="shared" si="10"/>
        <v>46048</v>
      </c>
      <c r="N1403" s="14" t="str" cm="1">
        <f t="array" ref="N1403">_xlfn.XLOOKUP(TRIM(D1403),TRIM(DFC!A:A),DFC!A:A,"NÃO ESTÁ NA DFC")</f>
        <v xml:space="preserve">      PEÇAS</v>
      </c>
    </row>
    <row r="1404" spans="1:14" customFormat="1" ht="14.4" x14ac:dyDescent="0.3">
      <c r="A1404" s="24"/>
      <c r="B1404" s="21">
        <v>46049</v>
      </c>
      <c r="C1404" s="21" t="s">
        <v>15</v>
      </c>
      <c r="D1404" s="21" t="s">
        <v>19</v>
      </c>
      <c r="E1404" s="20"/>
      <c r="F1404" s="22" t="s">
        <v>116</v>
      </c>
      <c r="G1404" s="287">
        <v>100</v>
      </c>
      <c r="H1404" s="1"/>
      <c r="I1404" s="1">
        <f>COUNTIF(Tabela1[NF],Tabela1[[#This Row],[NF]])</f>
        <v>0</v>
      </c>
      <c r="K1404" s="26">
        <f t="shared" si="10"/>
        <v>46049</v>
      </c>
      <c r="N1404" s="14" t="str" cm="1">
        <f t="array" ref="N1404">_xlfn.XLOOKUP(TRIM(D1404),TRIM(DFC!A:A),DFC!A:A,"NÃO ESTÁ NA DFC")</f>
        <v xml:space="preserve">      PEÇAS</v>
      </c>
    </row>
    <row r="1405" spans="1:14" customFormat="1" ht="14.4" x14ac:dyDescent="0.3">
      <c r="A1405" s="24"/>
      <c r="B1405" s="21">
        <v>46049</v>
      </c>
      <c r="C1405" s="21" t="s">
        <v>15</v>
      </c>
      <c r="D1405" s="21" t="s">
        <v>19</v>
      </c>
      <c r="E1405" s="20"/>
      <c r="F1405" s="22" t="s">
        <v>616</v>
      </c>
      <c r="G1405" s="287">
        <v>150</v>
      </c>
      <c r="H1405" s="1"/>
      <c r="I1405" s="1">
        <f>COUNTIF(Tabela1[NF],Tabela1[[#This Row],[NF]])</f>
        <v>0</v>
      </c>
      <c r="K1405" s="26">
        <f t="shared" si="10"/>
        <v>46049</v>
      </c>
      <c r="N1405" s="14" t="str" cm="1">
        <f t="array" ref="N1405">_xlfn.XLOOKUP(TRIM(D1405),TRIM(DFC!A:A),DFC!A:A,"NÃO ESTÁ NA DFC")</f>
        <v xml:space="preserve">      PEÇAS</v>
      </c>
    </row>
    <row r="1406" spans="1:14" customFormat="1" ht="14.4" x14ac:dyDescent="0.3">
      <c r="A1406" s="24"/>
      <c r="B1406" s="21">
        <v>46049</v>
      </c>
      <c r="C1406" s="21" t="s">
        <v>15</v>
      </c>
      <c r="D1406" s="21" t="s">
        <v>22</v>
      </c>
      <c r="E1406" s="20"/>
      <c r="F1406" s="22" t="s">
        <v>428</v>
      </c>
      <c r="G1406" s="287">
        <v>3000</v>
      </c>
      <c r="H1406" s="1"/>
      <c r="I1406" s="1">
        <f>COUNTIF(Tabela1[NF],Tabela1[[#This Row],[NF]])</f>
        <v>0</v>
      </c>
      <c r="K1406" s="26">
        <f t="shared" si="10"/>
        <v>46049</v>
      </c>
      <c r="N1406" s="14" t="str" cm="1">
        <f t="array" ref="N1406">_xlfn.XLOOKUP(TRIM(D1406),TRIM(DFC!A:A),DFC!A:A,"NÃO ESTÁ NA DFC")</f>
        <v xml:space="preserve">         CONSULTORIAS</v>
      </c>
    </row>
    <row r="1407" spans="1:14" customFormat="1" ht="14.4" x14ac:dyDescent="0.3">
      <c r="A1407" s="24"/>
      <c r="B1407" s="21">
        <v>46049</v>
      </c>
      <c r="C1407" s="21" t="s">
        <v>15</v>
      </c>
      <c r="D1407" s="21" t="s">
        <v>19</v>
      </c>
      <c r="E1407" s="20"/>
      <c r="F1407" s="22" t="s">
        <v>617</v>
      </c>
      <c r="G1407" s="287">
        <v>200</v>
      </c>
      <c r="H1407" s="1"/>
      <c r="I1407" s="1">
        <f>COUNTIF(Tabela1[NF],Tabela1[[#This Row],[NF]])</f>
        <v>0</v>
      </c>
      <c r="K1407" s="26">
        <f t="shared" si="10"/>
        <v>46049</v>
      </c>
      <c r="N1407" s="14" t="str" cm="1">
        <f t="array" ref="N1407">_xlfn.XLOOKUP(TRIM(D1407),TRIM(DFC!A:A),DFC!A:A,"NÃO ESTÁ NA DFC")</f>
        <v xml:space="preserve">      PEÇAS</v>
      </c>
    </row>
    <row r="1408" spans="1:14" customFormat="1" ht="14.4" x14ac:dyDescent="0.3">
      <c r="A1408" s="24"/>
      <c r="B1408" s="21">
        <v>46049</v>
      </c>
      <c r="C1408" s="21" t="s">
        <v>15</v>
      </c>
      <c r="D1408" s="21" t="s">
        <v>115</v>
      </c>
      <c r="E1408" s="20"/>
      <c r="F1408" s="22" t="s">
        <v>614</v>
      </c>
      <c r="G1408" s="287">
        <v>1183.07</v>
      </c>
      <c r="H1408" s="1"/>
      <c r="I1408" s="1">
        <f>COUNTIF(Tabela1[NF],Tabela1[[#This Row],[NF]])</f>
        <v>0</v>
      </c>
      <c r="K1408" s="26">
        <f t="shared" si="10"/>
        <v>46049</v>
      </c>
      <c r="N1408" s="14" t="str" cm="1">
        <f t="array" ref="N1408">_xlfn.XLOOKUP(TRIM(D1408),TRIM(DFC!A:A),DFC!A:A,"NÃO ESTÁ NA DFC")</f>
        <v xml:space="preserve">          RESCISÕES</v>
      </c>
    </row>
    <row r="1409" spans="1:16" customFormat="1" ht="14.4" x14ac:dyDescent="0.3">
      <c r="A1409" s="24"/>
      <c r="B1409" s="21">
        <v>46049</v>
      </c>
      <c r="C1409" s="21" t="s">
        <v>15</v>
      </c>
      <c r="D1409" s="21" t="s">
        <v>19</v>
      </c>
      <c r="E1409" s="20"/>
      <c r="F1409" s="22" t="s">
        <v>515</v>
      </c>
      <c r="G1409" s="287">
        <v>260</v>
      </c>
      <c r="H1409" s="1"/>
      <c r="I1409" s="1">
        <f>COUNTIF(Tabela1[NF],Tabela1[[#This Row],[NF]])</f>
        <v>0</v>
      </c>
      <c r="K1409" s="26">
        <f t="shared" si="10"/>
        <v>46049</v>
      </c>
      <c r="N1409" s="14" t="str" cm="1">
        <f t="array" ref="N1409">_xlfn.XLOOKUP(TRIM(D1409),TRIM(DFC!A:A),DFC!A:A,"NÃO ESTÁ NA DFC")</f>
        <v xml:space="preserve">      PEÇAS</v>
      </c>
    </row>
    <row r="1410" spans="1:16" customFormat="1" ht="14.4" x14ac:dyDescent="0.3">
      <c r="A1410" s="24"/>
      <c r="B1410" s="21">
        <v>46049</v>
      </c>
      <c r="C1410" s="21" t="s">
        <v>15</v>
      </c>
      <c r="D1410" s="21" t="s">
        <v>19</v>
      </c>
      <c r="E1410" s="20"/>
      <c r="F1410" s="22" t="s">
        <v>407</v>
      </c>
      <c r="G1410" s="287">
        <v>3205.01</v>
      </c>
      <c r="H1410" s="1"/>
      <c r="I1410" s="1">
        <f>COUNTIF(Tabela1[NF],Tabela1[[#This Row],[NF]])</f>
        <v>0</v>
      </c>
      <c r="K1410" s="26">
        <f t="shared" ref="K1410:K1441" si="11">B1410</f>
        <v>46049</v>
      </c>
      <c r="N1410" s="14" t="str" cm="1">
        <f t="array" ref="N1410">_xlfn.XLOOKUP(TRIM(D1410),TRIM(DFC!A:A),DFC!A:A,"NÃO ESTÁ NA DFC")</f>
        <v xml:space="preserve">      PEÇAS</v>
      </c>
    </row>
    <row r="1411" spans="1:16" customFormat="1" ht="14.4" x14ac:dyDescent="0.3">
      <c r="A1411" s="24"/>
      <c r="B1411" s="21">
        <v>46049</v>
      </c>
      <c r="C1411" s="21" t="s">
        <v>15</v>
      </c>
      <c r="D1411" s="21" t="s">
        <v>19</v>
      </c>
      <c r="E1411" s="20"/>
      <c r="F1411" s="22" t="s">
        <v>407</v>
      </c>
      <c r="G1411" s="287">
        <v>3205.01</v>
      </c>
      <c r="H1411" s="1"/>
      <c r="I1411" s="1">
        <f>COUNTIF(Tabela1[NF],Tabela1[[#This Row],[NF]])</f>
        <v>0</v>
      </c>
      <c r="K1411" s="26">
        <f t="shared" si="11"/>
        <v>46049</v>
      </c>
      <c r="N1411" s="14" t="str" cm="1">
        <f t="array" ref="N1411">_xlfn.XLOOKUP(TRIM(D1411),TRIM(DFC!A:A),DFC!A:A,"NÃO ESTÁ NA DFC")</f>
        <v xml:space="preserve">      PEÇAS</v>
      </c>
    </row>
    <row r="1412" spans="1:16" customFormat="1" ht="14.4" x14ac:dyDescent="0.3">
      <c r="A1412" s="24"/>
      <c r="B1412" s="21">
        <v>46049</v>
      </c>
      <c r="C1412" s="21" t="s">
        <v>15</v>
      </c>
      <c r="D1412" s="21" t="s">
        <v>19</v>
      </c>
      <c r="E1412" s="20"/>
      <c r="F1412" s="22" t="s">
        <v>407</v>
      </c>
      <c r="G1412" s="287">
        <v>1068.3399999999999</v>
      </c>
      <c r="H1412" s="1"/>
      <c r="I1412" s="1">
        <f>COUNTIF(Tabela1[NF],Tabela1[[#This Row],[NF]])</f>
        <v>0</v>
      </c>
      <c r="K1412" s="26">
        <f t="shared" si="11"/>
        <v>46049</v>
      </c>
      <c r="N1412" s="14" t="str" cm="1">
        <f t="array" ref="N1412">_xlfn.XLOOKUP(TRIM(D1412),TRIM(DFC!A:A),DFC!A:A,"NÃO ESTÁ NA DFC")</f>
        <v xml:space="preserve">      PEÇAS</v>
      </c>
    </row>
    <row r="1413" spans="1:16" customFormat="1" ht="14.4" x14ac:dyDescent="0.3">
      <c r="A1413" s="24"/>
      <c r="B1413" s="21">
        <v>46049</v>
      </c>
      <c r="C1413" s="21" t="s">
        <v>15</v>
      </c>
      <c r="D1413" s="21" t="s">
        <v>29</v>
      </c>
      <c r="E1413" s="20"/>
      <c r="F1413" s="22" t="s">
        <v>306</v>
      </c>
      <c r="G1413" s="287">
        <v>315.64</v>
      </c>
      <c r="H1413" s="1"/>
      <c r="I1413" s="1">
        <f>COUNTIF(Tabela1[NF],Tabela1[[#This Row],[NF]])</f>
        <v>0</v>
      </c>
      <c r="K1413" s="26">
        <f t="shared" si="11"/>
        <v>46049</v>
      </c>
      <c r="N1413" s="14" t="str" cm="1">
        <f t="array" ref="N1413">_xlfn.XLOOKUP(TRIM(D1413),TRIM(DFC!A:A),DFC!A:A,"NÃO ESTÁ NA DFC")</f>
        <v xml:space="preserve">      FRETE DE SAÍDA</v>
      </c>
    </row>
    <row r="1414" spans="1:16" customFormat="1" ht="14.4" x14ac:dyDescent="0.3">
      <c r="A1414" s="24"/>
      <c r="B1414" s="21">
        <v>46049</v>
      </c>
      <c r="C1414" s="21" t="s">
        <v>15</v>
      </c>
      <c r="D1414" s="21" t="s">
        <v>19</v>
      </c>
      <c r="E1414" s="20"/>
      <c r="F1414" s="22" t="s">
        <v>224</v>
      </c>
      <c r="G1414" s="287">
        <v>120</v>
      </c>
      <c r="H1414" s="1"/>
      <c r="I1414" s="1">
        <f>COUNTIF(Tabela1[NF],Tabela1[[#This Row],[NF]])</f>
        <v>0</v>
      </c>
      <c r="K1414" s="26">
        <f t="shared" si="11"/>
        <v>46049</v>
      </c>
      <c r="N1414" s="14" t="str" cm="1">
        <f t="array" ref="N1414">_xlfn.XLOOKUP(TRIM(D1414),TRIM(DFC!A:A),DFC!A:A,"NÃO ESTÁ NA DFC")</f>
        <v xml:space="preserve">      PEÇAS</v>
      </c>
    </row>
    <row r="1415" spans="1:16" customFormat="1" ht="14.4" x14ac:dyDescent="0.3">
      <c r="A1415" s="24"/>
      <c r="B1415" s="21">
        <v>46049</v>
      </c>
      <c r="C1415" s="21" t="s">
        <v>15</v>
      </c>
      <c r="D1415" s="84" t="s">
        <v>19</v>
      </c>
      <c r="E1415" s="20" t="s">
        <v>618</v>
      </c>
      <c r="F1415" s="22" t="s">
        <v>103</v>
      </c>
      <c r="G1415" s="287">
        <v>13333.33</v>
      </c>
      <c r="H1415" s="1"/>
      <c r="I1415" s="1">
        <f>COUNTIF(Tabela1[NF],Tabela1[[#This Row],[NF]])</f>
        <v>0</v>
      </c>
      <c r="K1415" s="26">
        <f t="shared" si="11"/>
        <v>46049</v>
      </c>
      <c r="N1415" s="14" t="str" cm="1">
        <f t="array" ref="N1415">_xlfn.XLOOKUP(TRIM(D1415),TRIM(DFC!A:A),DFC!A:A,"NÃO ESTÁ NA DFC")</f>
        <v xml:space="preserve">      PEÇAS</v>
      </c>
    </row>
    <row r="1416" spans="1:16" customFormat="1" ht="14.4" x14ac:dyDescent="0.3">
      <c r="A1416" s="24"/>
      <c r="B1416" s="21">
        <v>46049</v>
      </c>
      <c r="C1416" s="21" t="s">
        <v>15</v>
      </c>
      <c r="D1416" s="21" t="s">
        <v>19</v>
      </c>
      <c r="E1416" s="20" t="s">
        <v>430</v>
      </c>
      <c r="F1416" s="22" t="s">
        <v>103</v>
      </c>
      <c r="G1416" s="287">
        <v>12833.34</v>
      </c>
      <c r="H1416" s="1"/>
      <c r="I1416" s="1">
        <f>COUNTIF(Tabela1[NF],Tabela1[[#This Row],[NF]])</f>
        <v>0</v>
      </c>
      <c r="K1416" s="26">
        <f t="shared" si="11"/>
        <v>46049</v>
      </c>
      <c r="N1416" s="14" t="str" cm="1">
        <f t="array" ref="N1416">_xlfn.XLOOKUP(TRIM(D1416),TRIM(DFC!A:A),DFC!A:A,"NÃO ESTÁ NA DFC")</f>
        <v xml:space="preserve">      PEÇAS</v>
      </c>
      <c r="P1416" s="232"/>
    </row>
    <row r="1417" spans="1:16" customFormat="1" ht="14.4" x14ac:dyDescent="0.3">
      <c r="A1417" s="19">
        <v>454172</v>
      </c>
      <c r="B1417" s="21">
        <v>46049</v>
      </c>
      <c r="C1417" s="21" t="s">
        <v>15</v>
      </c>
      <c r="D1417" s="21" t="s">
        <v>19</v>
      </c>
      <c r="E1417" s="20"/>
      <c r="F1417" s="22" t="s">
        <v>310</v>
      </c>
      <c r="G1417" s="252">
        <v>12399.4</v>
      </c>
      <c r="H1417" s="1"/>
      <c r="I1417" s="1">
        <f>COUNTIF(Tabela1[NF],Tabela1[[#This Row],[NF]])</f>
        <v>3</v>
      </c>
      <c r="K1417" s="26">
        <f t="shared" si="11"/>
        <v>46049</v>
      </c>
      <c r="N1417" s="14" t="str" cm="1">
        <f t="array" ref="N1417">_xlfn.XLOOKUP(TRIM(D1417),TRIM(DFC!A:A),DFC!A:A,"NÃO ESTÁ NA DFC")</f>
        <v xml:space="preserve">      PEÇAS</v>
      </c>
      <c r="P1417" s="232" t="s">
        <v>23</v>
      </c>
    </row>
    <row r="1418" spans="1:16" customFormat="1" ht="14.4" x14ac:dyDescent="0.3">
      <c r="A1418" s="19">
        <v>454904</v>
      </c>
      <c r="B1418" s="21">
        <v>46049</v>
      </c>
      <c r="C1418" s="21" t="s">
        <v>15</v>
      </c>
      <c r="D1418" s="21" t="s">
        <v>19</v>
      </c>
      <c r="E1418" s="20"/>
      <c r="F1418" s="22" t="s">
        <v>310</v>
      </c>
      <c r="G1418" s="252">
        <v>802</v>
      </c>
      <c r="H1418" s="1"/>
      <c r="I1418" s="1">
        <f>COUNTIF(Tabela1[NF],Tabela1[[#This Row],[NF]])</f>
        <v>3</v>
      </c>
      <c r="K1418" s="26">
        <f t="shared" si="11"/>
        <v>46049</v>
      </c>
      <c r="N1418" s="14" t="str" cm="1">
        <f t="array" ref="N1418">_xlfn.XLOOKUP(TRIM(D1418),TRIM(DFC!A:A),DFC!A:A,"NÃO ESTÁ NA DFC")</f>
        <v xml:space="preserve">      PEÇAS</v>
      </c>
      <c r="P1418" s="232" t="s">
        <v>26</v>
      </c>
    </row>
    <row r="1419" spans="1:16" customFormat="1" ht="15" customHeight="1" x14ac:dyDescent="0.3">
      <c r="A1419" s="19">
        <v>454243</v>
      </c>
      <c r="B1419" s="21">
        <v>46049</v>
      </c>
      <c r="C1419" s="21" t="s">
        <v>15</v>
      </c>
      <c r="D1419" s="21" t="s">
        <v>19</v>
      </c>
      <c r="E1419" s="20"/>
      <c r="F1419" s="22" t="s">
        <v>310</v>
      </c>
      <c r="G1419" s="252">
        <v>4233.8599999999997</v>
      </c>
      <c r="H1419" s="1"/>
      <c r="I1419" s="1">
        <f>COUNTIF(Tabela1[NF],Tabela1[[#This Row],[NF]])</f>
        <v>3</v>
      </c>
      <c r="K1419" s="26">
        <f t="shared" si="11"/>
        <v>46049</v>
      </c>
      <c r="N1419" s="14" t="str" cm="1">
        <f t="array" ref="N1419">_xlfn.XLOOKUP(TRIM(D1419),TRIM(DFC!A:A),DFC!A:A,"NÃO ESTÁ NA DFC")</f>
        <v xml:space="preserve">      PEÇAS</v>
      </c>
    </row>
    <row r="1420" spans="1:16" customFormat="1" ht="15" customHeight="1" x14ac:dyDescent="0.3">
      <c r="A1420" s="19">
        <v>614512</v>
      </c>
      <c r="B1420" s="21">
        <v>46049</v>
      </c>
      <c r="C1420" s="21" t="s">
        <v>15</v>
      </c>
      <c r="D1420" s="21" t="s">
        <v>19</v>
      </c>
      <c r="E1420" s="20"/>
      <c r="F1420" s="22" t="s">
        <v>310</v>
      </c>
      <c r="G1420" s="252">
        <v>3364.72</v>
      </c>
      <c r="H1420" s="1"/>
      <c r="I1420" s="1">
        <f>COUNTIF(Tabela1[NF],Tabela1[[#This Row],[NF]])</f>
        <v>5</v>
      </c>
      <c r="K1420" s="26">
        <f t="shared" si="11"/>
        <v>46049</v>
      </c>
      <c r="N1420" s="14" t="str" cm="1">
        <f t="array" ref="N1420">_xlfn.XLOOKUP(TRIM(D1420),TRIM(DFC!A:A),DFC!A:A,"NÃO ESTÁ NA DFC")</f>
        <v xml:space="preserve">      PEÇAS</v>
      </c>
    </row>
    <row r="1421" spans="1:16" customFormat="1" ht="15" customHeight="1" x14ac:dyDescent="0.3">
      <c r="A1421" s="19">
        <v>622499</v>
      </c>
      <c r="B1421" s="21">
        <v>46049</v>
      </c>
      <c r="C1421" s="21" t="s">
        <v>15</v>
      </c>
      <c r="D1421" s="21" t="s">
        <v>19</v>
      </c>
      <c r="E1421" s="20"/>
      <c r="F1421" s="22" t="s">
        <v>310</v>
      </c>
      <c r="G1421" s="252">
        <v>5334</v>
      </c>
      <c r="H1421" s="1"/>
      <c r="I1421" s="1">
        <f>COUNTIF(Tabela1[NF],Tabela1[[#This Row],[NF]])</f>
        <v>3</v>
      </c>
      <c r="K1421" s="26">
        <f t="shared" si="11"/>
        <v>46049</v>
      </c>
      <c r="N1421" s="14" t="str" cm="1">
        <f t="array" ref="N1421">_xlfn.XLOOKUP(TRIM(D1421),TRIM(DFC!A:A),DFC!A:A,"NÃO ESTÁ NA DFC")</f>
        <v xml:space="preserve">      PEÇAS</v>
      </c>
    </row>
    <row r="1422" spans="1:16" customFormat="1" ht="15" customHeight="1" x14ac:dyDescent="0.3">
      <c r="A1422" s="24"/>
      <c r="B1422" s="21">
        <v>46050</v>
      </c>
      <c r="C1422" s="21" t="s">
        <v>15</v>
      </c>
      <c r="D1422" s="21" t="s">
        <v>111</v>
      </c>
      <c r="E1422" s="20"/>
      <c r="F1422" s="22" t="s">
        <v>114</v>
      </c>
      <c r="G1422" s="287">
        <v>13.33</v>
      </c>
      <c r="H1422" s="1"/>
      <c r="I1422" s="1">
        <f>COUNTIF(Tabela1[NF],Tabela1[[#This Row],[NF]])</f>
        <v>0</v>
      </c>
      <c r="K1422" s="26">
        <f t="shared" si="11"/>
        <v>46050</v>
      </c>
      <c r="N1422" s="14" t="str" cm="1">
        <f t="array" ref="N1422">_xlfn.XLOOKUP(TRIM(D1422),TRIM(DFC!A:A),DFC!A:A,"NÃO ESTÁ NA DFC")</f>
        <v xml:space="preserve">          TX. BANCÁRIA</v>
      </c>
    </row>
    <row r="1423" spans="1:16" customFormat="1" ht="15" customHeight="1" x14ac:dyDescent="0.3">
      <c r="A1423" s="24"/>
      <c r="B1423" s="21">
        <v>46050</v>
      </c>
      <c r="C1423" s="21" t="s">
        <v>15</v>
      </c>
      <c r="D1423" s="21" t="s">
        <v>111</v>
      </c>
      <c r="E1423" s="20"/>
      <c r="F1423" s="22" t="s">
        <v>114</v>
      </c>
      <c r="G1423" s="287">
        <v>12.83</v>
      </c>
      <c r="H1423" s="1"/>
      <c r="I1423" s="1">
        <f>COUNTIF(Tabela1[NF],Tabela1[[#This Row],[NF]])</f>
        <v>0</v>
      </c>
      <c r="K1423" s="26">
        <f t="shared" si="11"/>
        <v>46050</v>
      </c>
      <c r="N1423" s="14" t="str" cm="1">
        <f t="array" ref="N1423">_xlfn.XLOOKUP(TRIM(D1423),TRIM(DFC!A:A),DFC!A:A,"NÃO ESTÁ NA DFC")</f>
        <v xml:space="preserve">          TX. BANCÁRIA</v>
      </c>
    </row>
    <row r="1424" spans="1:16" customFormat="1" ht="15" customHeight="1" x14ac:dyDescent="0.3">
      <c r="A1424" s="24"/>
      <c r="B1424" s="21">
        <v>46050</v>
      </c>
      <c r="C1424" s="21" t="s">
        <v>15</v>
      </c>
      <c r="D1424" s="84" t="s">
        <v>19</v>
      </c>
      <c r="E1424" s="20" t="s">
        <v>619</v>
      </c>
      <c r="F1424" s="22" t="s">
        <v>574</v>
      </c>
      <c r="G1424" s="287">
        <v>3250</v>
      </c>
      <c r="H1424" s="1"/>
      <c r="I1424" s="1">
        <f>COUNTIF(Tabela1[NF],Tabela1[[#This Row],[NF]])</f>
        <v>0</v>
      </c>
      <c r="K1424" s="26">
        <f t="shared" si="11"/>
        <v>46050</v>
      </c>
      <c r="N1424" s="14" t="str" cm="1">
        <f t="array" ref="N1424">_xlfn.XLOOKUP(TRIM(D1424),TRIM(DFC!A:A),DFC!A:A,"NÃO ESTÁ NA DFC")</f>
        <v xml:space="preserve">      PEÇAS</v>
      </c>
    </row>
    <row r="1425" spans="1:14" customFormat="1" ht="15" customHeight="1" x14ac:dyDescent="0.3">
      <c r="A1425" s="24"/>
      <c r="B1425" s="21">
        <v>46050</v>
      </c>
      <c r="C1425" s="21" t="s">
        <v>15</v>
      </c>
      <c r="D1425" s="21" t="s">
        <v>19</v>
      </c>
      <c r="E1425" s="20"/>
      <c r="F1425" s="22" t="s">
        <v>315</v>
      </c>
      <c r="G1425" s="287">
        <v>432.66</v>
      </c>
      <c r="H1425" s="1"/>
      <c r="I1425" s="1">
        <f>COUNTIF(Tabela1[NF],Tabela1[[#This Row],[NF]])</f>
        <v>0</v>
      </c>
      <c r="K1425" s="26">
        <f t="shared" si="11"/>
        <v>46050</v>
      </c>
      <c r="N1425" s="14" t="str" cm="1">
        <f t="array" ref="N1425">_xlfn.XLOOKUP(TRIM(D1425),TRIM(DFC!A:A),DFC!A:A,"NÃO ESTÁ NA DFC")</f>
        <v xml:space="preserve">      PEÇAS</v>
      </c>
    </row>
    <row r="1426" spans="1:14" customFormat="1" ht="15" customHeight="1" x14ac:dyDescent="0.3">
      <c r="A1426" s="24"/>
      <c r="B1426" s="21">
        <v>46050</v>
      </c>
      <c r="C1426" s="21" t="s">
        <v>15</v>
      </c>
      <c r="D1426" s="21" t="s">
        <v>19</v>
      </c>
      <c r="E1426" s="20"/>
      <c r="F1426" s="22" t="s">
        <v>315</v>
      </c>
      <c r="G1426" s="287">
        <v>1298</v>
      </c>
      <c r="H1426" s="1"/>
      <c r="I1426" s="1">
        <f>COUNTIF(Tabela1[NF],Tabela1[[#This Row],[NF]])</f>
        <v>0</v>
      </c>
      <c r="K1426" s="26">
        <f t="shared" si="11"/>
        <v>46050</v>
      </c>
      <c r="N1426" s="14" t="str" cm="1">
        <f t="array" ref="N1426">_xlfn.XLOOKUP(TRIM(D1426),TRIM(DFC!A:A),DFC!A:A,"NÃO ESTÁ NA DFC")</f>
        <v xml:space="preserve">      PEÇAS</v>
      </c>
    </row>
    <row r="1427" spans="1:14" customFormat="1" ht="15" customHeight="1" x14ac:dyDescent="0.3">
      <c r="A1427" s="24"/>
      <c r="B1427" s="21">
        <v>46050</v>
      </c>
      <c r="C1427" s="21" t="s">
        <v>15</v>
      </c>
      <c r="D1427" s="21" t="s">
        <v>19</v>
      </c>
      <c r="E1427" s="20"/>
      <c r="F1427" s="22" t="s">
        <v>315</v>
      </c>
      <c r="G1427" s="287">
        <v>1850</v>
      </c>
      <c r="H1427" s="1"/>
      <c r="I1427" s="1">
        <f>COUNTIF(Tabela1[NF],Tabela1[[#This Row],[NF]])</f>
        <v>0</v>
      </c>
      <c r="K1427" s="26">
        <f t="shared" si="11"/>
        <v>46050</v>
      </c>
      <c r="N1427" s="14" t="str" cm="1">
        <f t="array" ref="N1427">_xlfn.XLOOKUP(TRIM(D1427),TRIM(DFC!A:A),DFC!A:A,"NÃO ESTÁ NA DFC")</f>
        <v xml:space="preserve">      PEÇAS</v>
      </c>
    </row>
    <row r="1428" spans="1:14" customFormat="1" ht="15" customHeight="1" x14ac:dyDescent="0.3">
      <c r="A1428" s="24"/>
      <c r="B1428" s="21">
        <v>46050</v>
      </c>
      <c r="C1428" s="21" t="s">
        <v>15</v>
      </c>
      <c r="D1428" s="21" t="s">
        <v>19</v>
      </c>
      <c r="E1428" s="20"/>
      <c r="F1428" s="22" t="s">
        <v>483</v>
      </c>
      <c r="G1428" s="287">
        <v>1645</v>
      </c>
      <c r="H1428" s="1"/>
      <c r="I1428" s="1">
        <f>COUNTIF(Tabela1[NF],Tabela1[[#This Row],[NF]])</f>
        <v>0</v>
      </c>
      <c r="K1428" s="26">
        <f t="shared" si="11"/>
        <v>46050</v>
      </c>
      <c r="N1428" s="14" t="str" cm="1">
        <f t="array" ref="N1428">_xlfn.XLOOKUP(TRIM(D1428),TRIM(DFC!A:A),DFC!A:A,"NÃO ESTÁ NA DFC")</f>
        <v xml:space="preserve">      PEÇAS</v>
      </c>
    </row>
    <row r="1429" spans="1:14" customFormat="1" ht="15" customHeight="1" x14ac:dyDescent="0.3">
      <c r="A1429" s="24"/>
      <c r="B1429" s="21">
        <v>46050</v>
      </c>
      <c r="C1429" s="21" t="s">
        <v>15</v>
      </c>
      <c r="D1429" s="21" t="s">
        <v>154</v>
      </c>
      <c r="E1429" s="20"/>
      <c r="F1429" s="22" t="s">
        <v>303</v>
      </c>
      <c r="G1429" s="287">
        <v>696.9</v>
      </c>
      <c r="H1429" s="1"/>
      <c r="I1429" s="1">
        <f>COUNTIF(Tabela1[NF],Tabela1[[#This Row],[NF]])</f>
        <v>0</v>
      </c>
      <c r="K1429" s="26">
        <f t="shared" si="11"/>
        <v>46050</v>
      </c>
      <c r="N1429" s="14" t="str" cm="1">
        <f t="array" ref="N1429">_xlfn.XLOOKUP(TRIM(D1429),TRIM(DFC!A:A),DFC!A:A,"NÃO ESTÁ NA DFC")</f>
        <v xml:space="preserve">      EMBALAGENS</v>
      </c>
    </row>
    <row r="1430" spans="1:14" customFormat="1" ht="15" customHeight="1" x14ac:dyDescent="0.3">
      <c r="A1430" s="24"/>
      <c r="B1430" s="21">
        <v>46050</v>
      </c>
      <c r="C1430" s="21" t="s">
        <v>15</v>
      </c>
      <c r="D1430" s="21" t="s">
        <v>29</v>
      </c>
      <c r="E1430" s="20"/>
      <c r="F1430" s="22" t="s">
        <v>318</v>
      </c>
      <c r="G1430" s="287">
        <v>589.85</v>
      </c>
      <c r="H1430" s="1"/>
      <c r="I1430" s="1">
        <f>COUNTIF(Tabela1[NF],Tabela1[[#This Row],[NF]])</f>
        <v>0</v>
      </c>
      <c r="K1430" s="26">
        <f t="shared" si="11"/>
        <v>46050</v>
      </c>
      <c r="N1430" s="14" t="str" cm="1">
        <f t="array" ref="N1430">_xlfn.XLOOKUP(TRIM(D1430),TRIM(DFC!A:A),DFC!A:A,"NÃO ESTÁ NA DFC")</f>
        <v xml:space="preserve">      FRETE DE SAÍDA</v>
      </c>
    </row>
    <row r="1431" spans="1:14" customFormat="1" ht="15" customHeight="1" x14ac:dyDescent="0.3">
      <c r="A1431" s="24"/>
      <c r="B1431" s="21">
        <v>46050</v>
      </c>
      <c r="C1431" s="21" t="s">
        <v>15</v>
      </c>
      <c r="D1431" s="21" t="s">
        <v>19</v>
      </c>
      <c r="E1431" s="20"/>
      <c r="F1431" s="22" t="s">
        <v>301</v>
      </c>
      <c r="G1431" s="287">
        <v>1943.76</v>
      </c>
      <c r="H1431" s="1"/>
      <c r="I1431" s="1">
        <f>COUNTIF(Tabela1[NF],Tabela1[[#This Row],[NF]])</f>
        <v>0</v>
      </c>
      <c r="K1431" s="26">
        <f t="shared" si="11"/>
        <v>46050</v>
      </c>
      <c r="N1431" s="14" t="str" cm="1">
        <f t="array" ref="N1431">_xlfn.XLOOKUP(TRIM(D1431),TRIM(DFC!A:A),DFC!A:A,"NÃO ESTÁ NA DFC")</f>
        <v xml:space="preserve">      PEÇAS</v>
      </c>
    </row>
    <row r="1432" spans="1:14" customFormat="1" ht="15" customHeight="1" x14ac:dyDescent="0.3">
      <c r="A1432" s="24"/>
      <c r="B1432" s="21">
        <v>46050</v>
      </c>
      <c r="C1432" s="21" t="s">
        <v>15</v>
      </c>
      <c r="D1432" s="21" t="s">
        <v>19</v>
      </c>
      <c r="E1432" s="20"/>
      <c r="F1432" s="22" t="s">
        <v>315</v>
      </c>
      <c r="G1432" s="287">
        <v>2537</v>
      </c>
      <c r="H1432" s="1"/>
      <c r="I1432" s="1">
        <f>COUNTIF(Tabela1[NF],Tabela1[[#This Row],[NF]])</f>
        <v>0</v>
      </c>
      <c r="K1432" s="26">
        <f t="shared" si="11"/>
        <v>46050</v>
      </c>
      <c r="N1432" s="14" t="str" cm="1">
        <f t="array" ref="N1432">_xlfn.XLOOKUP(TRIM(D1432),TRIM(DFC!A:A),DFC!A:A,"NÃO ESTÁ NA DFC")</f>
        <v xml:space="preserve">      PEÇAS</v>
      </c>
    </row>
    <row r="1433" spans="1:14" customFormat="1" ht="15" customHeight="1" x14ac:dyDescent="0.3">
      <c r="A1433" s="24"/>
      <c r="B1433" s="21">
        <v>46050</v>
      </c>
      <c r="C1433" s="21" t="s">
        <v>15</v>
      </c>
      <c r="D1433" s="21" t="s">
        <v>19</v>
      </c>
      <c r="E1433" s="20"/>
      <c r="F1433" s="22" t="s">
        <v>315</v>
      </c>
      <c r="G1433" s="287">
        <v>616.66</v>
      </c>
      <c r="H1433" s="1"/>
      <c r="I1433" s="1">
        <f>COUNTIF(Tabela1[NF],Tabela1[[#This Row],[NF]])</f>
        <v>0</v>
      </c>
      <c r="K1433" s="26">
        <f t="shared" si="11"/>
        <v>46050</v>
      </c>
      <c r="N1433" s="14" t="str" cm="1">
        <f t="array" ref="N1433">_xlfn.XLOOKUP(TRIM(D1433),TRIM(DFC!A:A),DFC!A:A,"NÃO ESTÁ NA DFC")</f>
        <v xml:space="preserve">      PEÇAS</v>
      </c>
    </row>
    <row r="1434" spans="1:14" customFormat="1" ht="15" customHeight="1" x14ac:dyDescent="0.3">
      <c r="A1434" s="24"/>
      <c r="B1434" s="21">
        <v>46050</v>
      </c>
      <c r="C1434" s="21" t="s">
        <v>15</v>
      </c>
      <c r="D1434" s="21" t="s">
        <v>29</v>
      </c>
      <c r="E1434" s="20"/>
      <c r="F1434" s="22" t="s">
        <v>420</v>
      </c>
      <c r="G1434" s="287">
        <v>1777.01</v>
      </c>
      <c r="H1434" s="1"/>
      <c r="I1434" s="1">
        <f>COUNTIF(Tabela1[NF],Tabela1[[#This Row],[NF]])</f>
        <v>0</v>
      </c>
      <c r="K1434" s="26">
        <f t="shared" si="11"/>
        <v>46050</v>
      </c>
      <c r="N1434" s="14" t="str" cm="1">
        <f t="array" ref="N1434">_xlfn.XLOOKUP(TRIM(D1434),TRIM(DFC!A:A),DFC!A:A,"NÃO ESTÁ NA DFC")</f>
        <v xml:space="preserve">      FRETE DE SAÍDA</v>
      </c>
    </row>
    <row r="1435" spans="1:14" customFormat="1" ht="15" customHeight="1" x14ac:dyDescent="0.3">
      <c r="A1435" s="24"/>
      <c r="B1435" s="21">
        <v>46050</v>
      </c>
      <c r="C1435" s="21" t="s">
        <v>15</v>
      </c>
      <c r="D1435" s="21" t="s">
        <v>19</v>
      </c>
      <c r="E1435" s="20"/>
      <c r="F1435" s="22" t="s">
        <v>315</v>
      </c>
      <c r="G1435" s="287">
        <v>2683.34</v>
      </c>
      <c r="H1435" s="1"/>
      <c r="I1435" s="1">
        <f>COUNTIF(Tabela1[NF],Tabela1[[#This Row],[NF]])</f>
        <v>0</v>
      </c>
      <c r="K1435" s="26">
        <f t="shared" si="11"/>
        <v>46050</v>
      </c>
      <c r="N1435" s="14" t="str" cm="1">
        <f t="array" ref="N1435">_xlfn.XLOOKUP(TRIM(D1435),TRIM(DFC!A:A),DFC!A:A,"NÃO ESTÁ NA DFC")</f>
        <v xml:space="preserve">      PEÇAS</v>
      </c>
    </row>
    <row r="1436" spans="1:14" customFormat="1" ht="15" customHeight="1" x14ac:dyDescent="0.3">
      <c r="A1436" s="19">
        <v>618596</v>
      </c>
      <c r="B1436" s="21">
        <v>46051</v>
      </c>
      <c r="C1436" s="21" t="s">
        <v>15</v>
      </c>
      <c r="D1436" s="21" t="s">
        <v>19</v>
      </c>
      <c r="E1436" s="20"/>
      <c r="F1436" s="22" t="s">
        <v>24</v>
      </c>
      <c r="G1436" s="252">
        <v>10604.17</v>
      </c>
      <c r="H1436" s="1"/>
      <c r="I1436" s="1">
        <f>COUNTIF(Tabela1[NF],Tabela1[[#This Row],[NF]])</f>
        <v>6</v>
      </c>
      <c r="K1436" s="26">
        <f t="shared" si="11"/>
        <v>46051</v>
      </c>
      <c r="N1436" s="14" t="str" cm="1">
        <f t="array" ref="N1436">_xlfn.XLOOKUP(TRIM(D1436),TRIM(DFC!A:A),DFC!A:A,"NÃO ESTÁ NA DFC")</f>
        <v xml:space="preserve">      PEÇAS</v>
      </c>
    </row>
    <row r="1437" spans="1:14" customFormat="1" ht="15" customHeight="1" x14ac:dyDescent="0.3">
      <c r="A1437" s="19">
        <v>618596</v>
      </c>
      <c r="B1437" s="21">
        <v>46051</v>
      </c>
      <c r="C1437" s="21" t="s">
        <v>15</v>
      </c>
      <c r="D1437" s="21" t="s">
        <v>19</v>
      </c>
      <c r="E1437" s="20"/>
      <c r="F1437" s="22" t="s">
        <v>310</v>
      </c>
      <c r="G1437" s="252">
        <v>10604.17</v>
      </c>
      <c r="H1437" s="1"/>
      <c r="I1437" s="1">
        <f>COUNTIF(Tabela1[NF],Tabela1[[#This Row],[NF]])</f>
        <v>6</v>
      </c>
      <c r="K1437" s="26">
        <f t="shared" si="11"/>
        <v>46051</v>
      </c>
      <c r="N1437" s="14" t="str" cm="1">
        <f t="array" ref="N1437">_xlfn.XLOOKUP(TRIM(D1437),TRIM(DFC!A:A),DFC!A:A,"NÃO ESTÁ NA DFC")</f>
        <v xml:space="preserve">      PEÇAS</v>
      </c>
    </row>
    <row r="1438" spans="1:14" customFormat="1" ht="15" customHeight="1" x14ac:dyDescent="0.3">
      <c r="A1438" s="24"/>
      <c r="B1438" s="21">
        <v>46051</v>
      </c>
      <c r="C1438" s="21" t="s">
        <v>15</v>
      </c>
      <c r="D1438" s="21" t="s">
        <v>111</v>
      </c>
      <c r="E1438" s="81"/>
      <c r="F1438" s="22" t="s">
        <v>620</v>
      </c>
      <c r="G1438" s="252">
        <v>50</v>
      </c>
      <c r="H1438" s="1"/>
      <c r="I1438" s="1">
        <f>COUNTIF(Tabela1[NF],Tabela1[[#This Row],[NF]])</f>
        <v>0</v>
      </c>
      <c r="K1438" s="26">
        <f t="shared" si="11"/>
        <v>46051</v>
      </c>
      <c r="N1438" s="14" t="str" cm="1">
        <f t="array" ref="N1438">_xlfn.XLOOKUP(TRIM(D1438),TRIM(DFC!A:A),DFC!A:A,"NÃO ESTÁ NA DFC")</f>
        <v xml:space="preserve">          TX. BANCÁRIA</v>
      </c>
    </row>
    <row r="1439" spans="1:14" customFormat="1" ht="15" customHeight="1" x14ac:dyDescent="0.3">
      <c r="A1439" s="24"/>
      <c r="B1439" s="21">
        <v>46051</v>
      </c>
      <c r="C1439" s="21" t="s">
        <v>15</v>
      </c>
      <c r="D1439" s="21" t="s">
        <v>154</v>
      </c>
      <c r="E1439" s="20"/>
      <c r="F1439" s="22" t="s">
        <v>621</v>
      </c>
      <c r="G1439" s="252">
        <v>2011.28</v>
      </c>
      <c r="H1439" s="1"/>
      <c r="I1439" s="1">
        <f>COUNTIF(Tabela1[NF],Tabela1[[#This Row],[NF]])</f>
        <v>0</v>
      </c>
      <c r="K1439" s="26">
        <f t="shared" si="11"/>
        <v>46051</v>
      </c>
      <c r="N1439" s="14" t="str" cm="1">
        <f t="array" ref="N1439">_xlfn.XLOOKUP(TRIM(D1439),TRIM(DFC!A:A),DFC!A:A,"NÃO ESTÁ NA DFC")</f>
        <v xml:space="preserve">      EMBALAGENS</v>
      </c>
    </row>
    <row r="1440" spans="1:14" customFormat="1" ht="15" customHeight="1" x14ac:dyDescent="0.3">
      <c r="A1440" s="24"/>
      <c r="B1440" s="84">
        <v>46051</v>
      </c>
      <c r="C1440" s="21" t="s">
        <v>15</v>
      </c>
      <c r="D1440" s="84" t="s">
        <v>18</v>
      </c>
      <c r="E1440" s="81" t="s">
        <v>577</v>
      </c>
      <c r="F1440" s="85" t="s">
        <v>578</v>
      </c>
      <c r="G1440" s="255">
        <v>71.900000000000006</v>
      </c>
      <c r="H1440" s="1"/>
      <c r="I1440" s="1">
        <f>COUNTIF(Tabela1[NF],Tabela1[[#This Row],[NF]])</f>
        <v>0</v>
      </c>
      <c r="K1440" s="26">
        <f t="shared" si="11"/>
        <v>46051</v>
      </c>
      <c r="N1440" s="14" t="str" cm="1">
        <f t="array" ref="N1440">_xlfn.XLOOKUP(TRIM(D1440),TRIM(DFC!A:A),DFC!A:A,"NÃO ESTÁ NA DFC")</f>
        <v xml:space="preserve">     COMISSÕES E TAXAS DOS MARKETPLACES</v>
      </c>
    </row>
    <row r="1441" spans="1:14" customFormat="1" ht="15" customHeight="1" x14ac:dyDescent="0.3">
      <c r="A1441" s="24"/>
      <c r="B1441" s="21">
        <v>46052</v>
      </c>
      <c r="C1441" s="21" t="s">
        <v>15</v>
      </c>
      <c r="D1441" s="21" t="s">
        <v>111</v>
      </c>
      <c r="E1441" s="20"/>
      <c r="F1441" s="22" t="s">
        <v>622</v>
      </c>
      <c r="G1441" s="252">
        <v>1</v>
      </c>
      <c r="H1441" s="1"/>
      <c r="I1441" s="1">
        <f>COUNTIF(Tabela1[NF],Tabela1[[#This Row],[NF]])</f>
        <v>0</v>
      </c>
      <c r="K1441" s="26">
        <f t="shared" si="11"/>
        <v>46052</v>
      </c>
      <c r="N1441" s="14" t="str" cm="1">
        <f t="array" ref="N1441">_xlfn.XLOOKUP(TRIM(D1441),TRIM(DFC!A:A),DFC!A:A,"NÃO ESTÁ NA DFC")</f>
        <v xml:space="preserve">          TX. BANCÁRIA</v>
      </c>
    </row>
    <row r="1442" spans="1:14" customFormat="1" ht="15" customHeight="1" x14ac:dyDescent="0.3">
      <c r="A1442" s="24"/>
      <c r="B1442" s="21">
        <v>46052</v>
      </c>
      <c r="C1442" s="21" t="s">
        <v>15</v>
      </c>
      <c r="D1442" s="21" t="s">
        <v>111</v>
      </c>
      <c r="E1442" s="20"/>
      <c r="F1442" s="22" t="s">
        <v>622</v>
      </c>
      <c r="G1442" s="252">
        <v>1</v>
      </c>
      <c r="H1442" s="1"/>
      <c r="I1442" s="1">
        <f>COUNTIF(Tabela1[NF],Tabela1[[#This Row],[NF]])</f>
        <v>0</v>
      </c>
      <c r="K1442" s="26">
        <f t="shared" ref="K1442:K1456" si="12">B1442</f>
        <v>46052</v>
      </c>
      <c r="N1442" s="14" t="str" cm="1">
        <f t="array" ref="N1442">_xlfn.XLOOKUP(TRIM(D1442),TRIM(DFC!A:A),DFC!A:A,"NÃO ESTÁ NA DFC")</f>
        <v xml:space="preserve">          TX. BANCÁRIA</v>
      </c>
    </row>
    <row r="1443" spans="1:14" customFormat="1" ht="15" customHeight="1" x14ac:dyDescent="0.3">
      <c r="A1443" s="24"/>
      <c r="B1443" s="21">
        <v>46052</v>
      </c>
      <c r="C1443" s="21" t="s">
        <v>15</v>
      </c>
      <c r="D1443" s="21" t="s">
        <v>111</v>
      </c>
      <c r="E1443" s="20"/>
      <c r="F1443" s="22" t="s">
        <v>622</v>
      </c>
      <c r="G1443" s="252">
        <v>1</v>
      </c>
      <c r="H1443" s="1"/>
      <c r="I1443" s="1">
        <f>COUNTIF(Tabela1[NF],Tabela1[[#This Row],[NF]])</f>
        <v>0</v>
      </c>
      <c r="K1443" s="26">
        <f t="shared" si="12"/>
        <v>46052</v>
      </c>
      <c r="N1443" s="14" t="str" cm="1">
        <f t="array" ref="N1443">_xlfn.XLOOKUP(TRIM(D1443),TRIM(DFC!A:A),DFC!A:A,"NÃO ESTÁ NA DFC")</f>
        <v xml:space="preserve">          TX. BANCÁRIA</v>
      </c>
    </row>
    <row r="1444" spans="1:14" customFormat="1" ht="15" customHeight="1" x14ac:dyDescent="0.3">
      <c r="A1444" s="24"/>
      <c r="B1444" s="21">
        <v>46052</v>
      </c>
      <c r="C1444" s="21" t="s">
        <v>15</v>
      </c>
      <c r="D1444" s="21" t="s">
        <v>111</v>
      </c>
      <c r="E1444" s="20"/>
      <c r="F1444" s="22" t="s">
        <v>622</v>
      </c>
      <c r="G1444" s="252">
        <v>1</v>
      </c>
      <c r="H1444" s="1"/>
      <c r="I1444" s="1">
        <f>COUNTIF(Tabela1[NF],Tabela1[[#This Row],[NF]])</f>
        <v>0</v>
      </c>
      <c r="K1444" s="26">
        <f t="shared" si="12"/>
        <v>46052</v>
      </c>
      <c r="N1444" s="14" t="str" cm="1">
        <f t="array" ref="N1444">_xlfn.XLOOKUP(TRIM(D1444),TRIM(DFC!A:A),DFC!A:A,"NÃO ESTÁ NA DFC")</f>
        <v xml:space="preserve">          TX. BANCÁRIA</v>
      </c>
    </row>
    <row r="1445" spans="1:14" customFormat="1" ht="15" customHeight="1" x14ac:dyDescent="0.3">
      <c r="A1445" s="24"/>
      <c r="B1445" s="21">
        <v>46052</v>
      </c>
      <c r="C1445" s="21" t="s">
        <v>15</v>
      </c>
      <c r="D1445" s="21" t="s">
        <v>111</v>
      </c>
      <c r="E1445" s="20"/>
      <c r="F1445" s="22" t="s">
        <v>622</v>
      </c>
      <c r="G1445" s="252">
        <v>1</v>
      </c>
      <c r="H1445" s="1"/>
      <c r="I1445" s="1">
        <f>COUNTIF(Tabela1[NF],Tabela1[[#This Row],[NF]])</f>
        <v>0</v>
      </c>
      <c r="K1445" s="26">
        <f t="shared" si="12"/>
        <v>46052</v>
      </c>
      <c r="N1445" s="14" t="str" cm="1">
        <f t="array" ref="N1445">_xlfn.XLOOKUP(TRIM(D1445),TRIM(DFC!A:A),DFC!A:A,"NÃO ESTÁ NA DFC")</f>
        <v xml:space="preserve">          TX. BANCÁRIA</v>
      </c>
    </row>
    <row r="1446" spans="1:14" customFormat="1" ht="15" customHeight="1" x14ac:dyDescent="0.3">
      <c r="A1446" s="24"/>
      <c r="B1446" s="21">
        <v>46052</v>
      </c>
      <c r="C1446" s="21" t="s">
        <v>15</v>
      </c>
      <c r="D1446" s="21" t="s">
        <v>111</v>
      </c>
      <c r="E1446" s="20"/>
      <c r="F1446" s="22" t="s">
        <v>622</v>
      </c>
      <c r="G1446" s="252">
        <v>1</v>
      </c>
      <c r="H1446" s="1"/>
      <c r="I1446" s="1">
        <f>COUNTIF(Tabela1[NF],Tabela1[[#This Row],[NF]])</f>
        <v>0</v>
      </c>
      <c r="K1446" s="26">
        <f t="shared" si="12"/>
        <v>46052</v>
      </c>
      <c r="N1446" s="14" t="str" cm="1">
        <f t="array" ref="N1446">_xlfn.XLOOKUP(TRIM(D1446),TRIM(DFC!A:A),DFC!A:A,"NÃO ESTÁ NA DFC")</f>
        <v xml:space="preserve">          TX. BANCÁRIA</v>
      </c>
    </row>
    <row r="1447" spans="1:14" customFormat="1" ht="15" customHeight="1" x14ac:dyDescent="0.3">
      <c r="A1447" s="24"/>
      <c r="B1447" s="21">
        <v>46052</v>
      </c>
      <c r="C1447" s="21" t="s">
        <v>15</v>
      </c>
      <c r="D1447" s="21" t="s">
        <v>111</v>
      </c>
      <c r="E1447" s="20"/>
      <c r="F1447" s="22" t="s">
        <v>622</v>
      </c>
      <c r="G1447" s="252">
        <v>1</v>
      </c>
      <c r="H1447" s="1"/>
      <c r="I1447" s="1">
        <f>COUNTIF(Tabela1[NF],Tabela1[[#This Row],[NF]])</f>
        <v>0</v>
      </c>
      <c r="K1447" s="26">
        <f t="shared" si="12"/>
        <v>46052</v>
      </c>
      <c r="N1447" s="14" t="str" cm="1">
        <f t="array" ref="N1447">_xlfn.XLOOKUP(TRIM(D1447),TRIM(DFC!A:A),DFC!A:A,"NÃO ESTÁ NA DFC")</f>
        <v xml:space="preserve">          TX. BANCÁRIA</v>
      </c>
    </row>
    <row r="1448" spans="1:14" customFormat="1" ht="15" customHeight="1" x14ac:dyDescent="0.3">
      <c r="A1448" s="24"/>
      <c r="B1448" s="21">
        <v>46052</v>
      </c>
      <c r="C1448" s="21" t="s">
        <v>15</v>
      </c>
      <c r="D1448" s="21" t="s">
        <v>111</v>
      </c>
      <c r="E1448" s="20"/>
      <c r="F1448" s="22" t="s">
        <v>622</v>
      </c>
      <c r="G1448" s="252">
        <v>1</v>
      </c>
      <c r="H1448" s="1"/>
      <c r="I1448" s="1">
        <f>COUNTIF(Tabela1[NF],Tabela1[[#This Row],[NF]])</f>
        <v>0</v>
      </c>
      <c r="K1448" s="26">
        <f t="shared" si="12"/>
        <v>46052</v>
      </c>
      <c r="N1448" s="14" t="str" cm="1">
        <f t="array" ref="N1448">_xlfn.XLOOKUP(TRIM(D1448),TRIM(DFC!A:A),DFC!A:A,"NÃO ESTÁ NA DFC")</f>
        <v xml:space="preserve">          TX. BANCÁRIA</v>
      </c>
    </row>
    <row r="1449" spans="1:14" customFormat="1" ht="15" customHeight="1" x14ac:dyDescent="0.3">
      <c r="A1449" s="24"/>
      <c r="B1449" s="21">
        <v>46052</v>
      </c>
      <c r="C1449" s="21" t="s">
        <v>15</v>
      </c>
      <c r="D1449" s="21" t="s">
        <v>111</v>
      </c>
      <c r="E1449" s="20"/>
      <c r="F1449" s="22" t="s">
        <v>622</v>
      </c>
      <c r="G1449" s="252">
        <v>1</v>
      </c>
      <c r="H1449" s="1"/>
      <c r="I1449" s="1">
        <f>COUNTIF(Tabela1[NF],Tabela1[[#This Row],[NF]])</f>
        <v>0</v>
      </c>
      <c r="K1449" s="26">
        <f t="shared" si="12"/>
        <v>46052</v>
      </c>
      <c r="N1449" s="14" t="str" cm="1">
        <f t="array" ref="N1449">_xlfn.XLOOKUP(TRIM(D1449),TRIM(DFC!A:A),DFC!A:A,"NÃO ESTÁ NA DFC")</f>
        <v xml:space="preserve">          TX. BANCÁRIA</v>
      </c>
    </row>
    <row r="1450" spans="1:14" customFormat="1" ht="15" customHeight="1" x14ac:dyDescent="0.3">
      <c r="A1450" s="24"/>
      <c r="B1450" s="21">
        <v>46052</v>
      </c>
      <c r="C1450" s="21" t="s">
        <v>15</v>
      </c>
      <c r="D1450" s="21" t="s">
        <v>111</v>
      </c>
      <c r="E1450" s="20"/>
      <c r="F1450" s="22" t="s">
        <v>622</v>
      </c>
      <c r="G1450" s="252">
        <v>1</v>
      </c>
      <c r="H1450" s="1"/>
      <c r="I1450" s="1">
        <f>COUNTIF(Tabela1[NF],Tabela1[[#This Row],[NF]])</f>
        <v>0</v>
      </c>
      <c r="K1450" s="26">
        <f t="shared" si="12"/>
        <v>46052</v>
      </c>
      <c r="N1450" s="14" t="str" cm="1">
        <f t="array" ref="N1450">_xlfn.XLOOKUP(TRIM(D1450),TRIM(DFC!A:A),DFC!A:A,"NÃO ESTÁ NA DFC")</f>
        <v xml:space="preserve">          TX. BANCÁRIA</v>
      </c>
    </row>
    <row r="1451" spans="1:14" customFormat="1" ht="15" customHeight="1" x14ac:dyDescent="0.3">
      <c r="A1451" s="24"/>
      <c r="B1451" s="21">
        <v>46052</v>
      </c>
      <c r="C1451" s="21" t="s">
        <v>15</v>
      </c>
      <c r="D1451" s="84" t="s">
        <v>305</v>
      </c>
      <c r="E1451" s="20"/>
      <c r="F1451" s="22" t="s">
        <v>467</v>
      </c>
      <c r="G1451" s="252">
        <v>114.59</v>
      </c>
      <c r="H1451" s="1"/>
      <c r="I1451" s="1">
        <f>COUNTIF(Tabela1[NF],Tabela1[[#This Row],[NF]])</f>
        <v>0</v>
      </c>
      <c r="K1451" s="26">
        <f t="shared" si="12"/>
        <v>46052</v>
      </c>
      <c r="N1451" s="14" t="str" cm="1">
        <f t="array" ref="N1451">_xlfn.XLOOKUP(TRIM(D1451),TRIM(DFC!A:A),DFC!A:A,"NÃO ESTÁ NA DFC")</f>
        <v xml:space="preserve">      FRETE ENTRADA</v>
      </c>
    </row>
    <row r="1452" spans="1:14" customFormat="1" ht="15" customHeight="1" x14ac:dyDescent="0.3">
      <c r="A1452" s="24"/>
      <c r="B1452" s="21">
        <v>46052</v>
      </c>
      <c r="C1452" s="21" t="s">
        <v>15</v>
      </c>
      <c r="D1452" s="21" t="s">
        <v>29</v>
      </c>
      <c r="E1452" s="20"/>
      <c r="F1452" s="22" t="s">
        <v>548</v>
      </c>
      <c r="G1452" s="252">
        <v>1368.8</v>
      </c>
      <c r="H1452" s="1"/>
      <c r="I1452" s="1">
        <f>COUNTIF(Tabela1[NF],Tabela1[[#This Row],[NF]])</f>
        <v>0</v>
      </c>
      <c r="K1452" s="26">
        <f t="shared" si="12"/>
        <v>46052</v>
      </c>
      <c r="N1452" s="14" t="str" cm="1">
        <f t="array" ref="N1452">_xlfn.XLOOKUP(TRIM(D1452),TRIM(DFC!A:A),DFC!A:A,"NÃO ESTÁ NA DFC")</f>
        <v xml:space="preserve">      FRETE DE SAÍDA</v>
      </c>
    </row>
    <row r="1453" spans="1:14" customFormat="1" ht="15" customHeight="1" x14ac:dyDescent="0.3">
      <c r="A1453" s="24"/>
      <c r="B1453" s="21">
        <v>46052</v>
      </c>
      <c r="C1453" s="21" t="s">
        <v>15</v>
      </c>
      <c r="D1453" s="21" t="s">
        <v>29</v>
      </c>
      <c r="E1453" s="20"/>
      <c r="F1453" s="22" t="s">
        <v>623</v>
      </c>
      <c r="G1453" s="252">
        <v>104.39</v>
      </c>
      <c r="H1453" s="1"/>
      <c r="I1453" s="1">
        <f>COUNTIF(Tabela1[NF],Tabela1[[#This Row],[NF]])</f>
        <v>0</v>
      </c>
      <c r="K1453" s="26">
        <f t="shared" si="12"/>
        <v>46052</v>
      </c>
      <c r="N1453" s="14" t="str" cm="1">
        <f t="array" ref="N1453">_xlfn.XLOOKUP(TRIM(D1453),TRIM(DFC!A:A),DFC!A:A,"NÃO ESTÁ NA DFC")</f>
        <v xml:space="preserve">      FRETE DE SAÍDA</v>
      </c>
    </row>
    <row r="1454" spans="1:14" customFormat="1" ht="15" customHeight="1" x14ac:dyDescent="0.3">
      <c r="A1454" s="24"/>
      <c r="B1454" s="21">
        <v>46052</v>
      </c>
      <c r="C1454" s="21" t="s">
        <v>15</v>
      </c>
      <c r="D1454" s="21" t="s">
        <v>19</v>
      </c>
      <c r="E1454" s="20"/>
      <c r="F1454" s="22" t="s">
        <v>315</v>
      </c>
      <c r="G1454" s="252">
        <v>7788.61</v>
      </c>
      <c r="H1454" s="1"/>
      <c r="I1454" s="1">
        <f>COUNTIF(Tabela1[NF],Tabela1[[#This Row],[NF]])</f>
        <v>0</v>
      </c>
      <c r="K1454" s="26">
        <f t="shared" si="12"/>
        <v>46052</v>
      </c>
      <c r="N1454" s="14" t="str" cm="1">
        <f t="array" ref="N1454">_xlfn.XLOOKUP(TRIM(D1454),TRIM(DFC!A:A),DFC!A:A,"NÃO ESTÁ NA DFC")</f>
        <v xml:space="preserve">      PEÇAS</v>
      </c>
    </row>
    <row r="1455" spans="1:14" customFormat="1" ht="15" customHeight="1" x14ac:dyDescent="0.3">
      <c r="A1455" s="24"/>
      <c r="B1455" s="21">
        <v>46052</v>
      </c>
      <c r="C1455" s="21" t="s">
        <v>15</v>
      </c>
      <c r="D1455" s="21" t="s">
        <v>19</v>
      </c>
      <c r="E1455" s="20"/>
      <c r="F1455" s="22" t="s">
        <v>301</v>
      </c>
      <c r="G1455" s="252">
        <v>4533.2</v>
      </c>
      <c r="H1455" s="1"/>
      <c r="I1455" s="1">
        <f>COUNTIF(Tabela1[NF],Tabela1[[#This Row],[NF]])</f>
        <v>0</v>
      </c>
      <c r="K1455" s="26">
        <f t="shared" si="12"/>
        <v>46052</v>
      </c>
      <c r="N1455" s="14" t="str" cm="1">
        <f t="array" ref="N1455">_xlfn.XLOOKUP(TRIM(D1455),TRIM(DFC!A:A),DFC!A:A,"NÃO ESTÁ NA DFC")</f>
        <v xml:space="preserve">      PEÇAS</v>
      </c>
    </row>
    <row r="1456" spans="1:14" customFormat="1" ht="15" customHeight="1" x14ac:dyDescent="0.3">
      <c r="A1456" s="24"/>
      <c r="B1456" s="21">
        <v>46052</v>
      </c>
      <c r="C1456" s="21" t="s">
        <v>15</v>
      </c>
      <c r="D1456" s="21" t="s">
        <v>19</v>
      </c>
      <c r="E1456" s="20"/>
      <c r="F1456" s="22" t="s">
        <v>132</v>
      </c>
      <c r="G1456" s="252">
        <v>2057.94</v>
      </c>
      <c r="H1456" s="1"/>
      <c r="I1456" s="1">
        <f>COUNTIF(Tabela1[NF],Tabela1[[#This Row],[NF]])</f>
        <v>0</v>
      </c>
      <c r="K1456" s="26">
        <f t="shared" si="12"/>
        <v>46052</v>
      </c>
      <c r="N1456" s="14" t="str" cm="1">
        <f t="array" ref="N1456">_xlfn.XLOOKUP(TRIM(D1456),TRIM(DFC!A:A),DFC!A:A,"NÃO ESTÁ NA DFC")</f>
        <v xml:space="preserve">      PEÇAS</v>
      </c>
    </row>
    <row r="1457" spans="1:14" customFormat="1" ht="15" customHeight="1" x14ac:dyDescent="0.3">
      <c r="A1457" s="19"/>
      <c r="B1457" s="21">
        <v>46055</v>
      </c>
      <c r="C1457" s="21" t="s">
        <v>15</v>
      </c>
      <c r="D1457" s="21" t="s">
        <v>82</v>
      </c>
      <c r="E1457" s="20"/>
      <c r="F1457" s="22" t="s">
        <v>624</v>
      </c>
      <c r="G1457" s="252">
        <v>350</v>
      </c>
      <c r="H1457" s="19"/>
      <c r="I1457" s="19">
        <f>COUNTIF(Tabela1[NF],Tabela1[[#This Row],[NF]])</f>
        <v>0</v>
      </c>
      <c r="J1457" s="22"/>
      <c r="K1457" s="21">
        <v>46055</v>
      </c>
      <c r="L1457" s="22"/>
      <c r="M1457" s="22"/>
      <c r="N1457" s="14" t="str" cm="1">
        <f t="array" ref="N1457">_xlfn.XLOOKUP(TRIM(D1457),TRIM(DFC!A:A),DFC!A:A,"NÃO ESTÁ NA DFC")</f>
        <v xml:space="preserve">          DIÁRIAS</v>
      </c>
    </row>
    <row r="1458" spans="1:14" customFormat="1" ht="15" customHeight="1" x14ac:dyDescent="0.3">
      <c r="A1458" s="19"/>
      <c r="B1458" s="21">
        <v>46055</v>
      </c>
      <c r="C1458" s="21" t="s">
        <v>15</v>
      </c>
      <c r="D1458" s="21" t="s">
        <v>82</v>
      </c>
      <c r="E1458" s="20"/>
      <c r="F1458" s="22" t="s">
        <v>353</v>
      </c>
      <c r="G1458" s="252">
        <v>425</v>
      </c>
      <c r="H1458" s="19"/>
      <c r="I1458" s="19">
        <f>COUNTIF(Tabela1[NF],Tabela1[[#This Row],[NF]])</f>
        <v>0</v>
      </c>
      <c r="J1458" s="22"/>
      <c r="K1458" s="21">
        <v>46055</v>
      </c>
      <c r="L1458" s="22"/>
      <c r="M1458" s="22"/>
      <c r="N1458" s="14" t="str" cm="1">
        <f t="array" ref="N1458">_xlfn.XLOOKUP(TRIM(D1458),TRIM(DFC!A:A),DFC!A:A,"NÃO ESTÁ NA DFC")</f>
        <v xml:space="preserve">          DIÁRIAS</v>
      </c>
    </row>
    <row r="1459" spans="1:14" customFormat="1" ht="15" customHeight="1" x14ac:dyDescent="0.3">
      <c r="A1459" s="19"/>
      <c r="B1459" s="21">
        <v>46055</v>
      </c>
      <c r="C1459" s="21" t="s">
        <v>15</v>
      </c>
      <c r="D1459" s="21" t="s">
        <v>82</v>
      </c>
      <c r="E1459" s="20"/>
      <c r="F1459" s="22" t="s">
        <v>625</v>
      </c>
      <c r="G1459" s="252">
        <v>400</v>
      </c>
      <c r="H1459" s="19"/>
      <c r="I1459" s="19">
        <f>COUNTIF(Tabela1[NF],Tabela1[[#This Row],[NF]])</f>
        <v>0</v>
      </c>
      <c r="J1459" s="22"/>
      <c r="K1459" s="21">
        <v>46055</v>
      </c>
      <c r="L1459" s="22"/>
      <c r="M1459" s="22"/>
      <c r="N1459" s="14" t="str" cm="1">
        <f t="array" ref="N1459">_xlfn.XLOOKUP(TRIM(D1459),TRIM(DFC!A:A),DFC!A:A,"NÃO ESTÁ NA DFC")</f>
        <v xml:space="preserve">          DIÁRIAS</v>
      </c>
    </row>
    <row r="1460" spans="1:14" customFormat="1" ht="15" customHeight="1" x14ac:dyDescent="0.3">
      <c r="A1460" s="19"/>
      <c r="B1460" s="21">
        <v>46055</v>
      </c>
      <c r="C1460" s="21" t="s">
        <v>15</v>
      </c>
      <c r="D1460" s="21" t="s">
        <v>82</v>
      </c>
      <c r="E1460" s="20"/>
      <c r="F1460" s="22" t="s">
        <v>552</v>
      </c>
      <c r="G1460" s="252">
        <v>300</v>
      </c>
      <c r="H1460" s="19"/>
      <c r="I1460" s="19">
        <f>COUNTIF(Tabela1[NF],Tabela1[[#This Row],[NF]])</f>
        <v>0</v>
      </c>
      <c r="J1460" s="22"/>
      <c r="K1460" s="21">
        <v>46055</v>
      </c>
      <c r="L1460" s="22"/>
      <c r="M1460" s="22"/>
      <c r="N1460" s="14" t="str" cm="1">
        <f t="array" ref="N1460">_xlfn.XLOOKUP(TRIM(D1460),TRIM(DFC!A:A),DFC!A:A,"NÃO ESTÁ NA DFC")</f>
        <v xml:space="preserve">          DIÁRIAS</v>
      </c>
    </row>
    <row r="1461" spans="1:14" customFormat="1" ht="15" customHeight="1" x14ac:dyDescent="0.3">
      <c r="A1461" s="19"/>
      <c r="B1461" s="21">
        <v>46055</v>
      </c>
      <c r="C1461" s="21" t="s">
        <v>15</v>
      </c>
      <c r="D1461" s="21" t="s">
        <v>18</v>
      </c>
      <c r="E1461" s="20"/>
      <c r="F1461" s="22" t="s">
        <v>578</v>
      </c>
      <c r="G1461" s="252">
        <v>655</v>
      </c>
      <c r="H1461" s="19"/>
      <c r="I1461" s="19">
        <f>COUNTIF(Tabela1[NF],Tabela1[[#This Row],[NF]])</f>
        <v>0</v>
      </c>
      <c r="J1461" s="22"/>
      <c r="K1461" s="21">
        <v>46055</v>
      </c>
      <c r="L1461" s="22"/>
      <c r="M1461" s="22"/>
      <c r="N1461" s="14" t="str" cm="1">
        <f t="array" ref="N1461">_xlfn.XLOOKUP(TRIM(D1461),TRIM(DFC!A:A),DFC!A:A,"NÃO ESTÁ NA DFC")</f>
        <v xml:space="preserve">     COMISSÕES E TAXAS DOS MARKETPLACES</v>
      </c>
    </row>
    <row r="1462" spans="1:14" customFormat="1" ht="15" customHeight="1" x14ac:dyDescent="0.3">
      <c r="A1462" s="19"/>
      <c r="B1462" s="21">
        <v>46055</v>
      </c>
      <c r="C1462" s="21" t="s">
        <v>15</v>
      </c>
      <c r="D1462" s="21" t="s">
        <v>111</v>
      </c>
      <c r="E1462" s="20"/>
      <c r="F1462" s="22" t="s">
        <v>626</v>
      </c>
      <c r="G1462" s="252">
        <v>0.15</v>
      </c>
      <c r="H1462" s="19"/>
      <c r="I1462" s="19">
        <f>COUNTIF(Tabela1[NF],Tabela1[[#This Row],[NF]])</f>
        <v>0</v>
      </c>
      <c r="J1462" s="22"/>
      <c r="K1462" s="21">
        <v>46055</v>
      </c>
      <c r="L1462" s="22"/>
      <c r="M1462" s="22"/>
      <c r="N1462" s="14" t="str" cm="1">
        <f t="array" ref="N1462">_xlfn.XLOOKUP(TRIM(D1462),TRIM(DFC!A:A),DFC!A:A,"NÃO ESTÁ NA DFC")</f>
        <v xml:space="preserve">          TX. BANCÁRIA</v>
      </c>
    </row>
    <row r="1463" spans="1:14" customFormat="1" ht="15" customHeight="1" x14ac:dyDescent="0.3">
      <c r="A1463" s="19"/>
      <c r="B1463" s="21">
        <v>46055</v>
      </c>
      <c r="C1463" s="21" t="s">
        <v>15</v>
      </c>
      <c r="D1463" s="21" t="s">
        <v>111</v>
      </c>
      <c r="E1463" s="20"/>
      <c r="F1463" s="22" t="s">
        <v>453</v>
      </c>
      <c r="G1463" s="252">
        <v>0.57999999999999996</v>
      </c>
      <c r="H1463" s="19"/>
      <c r="I1463" s="19">
        <f>COUNTIF(Tabela1[NF],Tabela1[[#This Row],[NF]])</f>
        <v>0</v>
      </c>
      <c r="J1463" s="22"/>
      <c r="K1463" s="21">
        <v>46055</v>
      </c>
      <c r="L1463" s="22"/>
      <c r="M1463" s="22"/>
      <c r="N1463" s="14" t="str" cm="1">
        <f t="array" ref="N1463">_xlfn.XLOOKUP(TRIM(D1463),TRIM(DFC!A:A),DFC!A:A,"NÃO ESTÁ NA DFC")</f>
        <v xml:space="preserve">          TX. BANCÁRIA</v>
      </c>
    </row>
    <row r="1464" spans="1:14" customFormat="1" ht="15" customHeight="1" x14ac:dyDescent="0.3">
      <c r="A1464" s="19"/>
      <c r="B1464" s="21">
        <v>46055</v>
      </c>
      <c r="C1464" s="21" t="s">
        <v>15</v>
      </c>
      <c r="D1464" s="21" t="s">
        <v>111</v>
      </c>
      <c r="E1464" s="20"/>
      <c r="F1464" s="22" t="s">
        <v>627</v>
      </c>
      <c r="G1464" s="252">
        <v>28.08</v>
      </c>
      <c r="H1464" s="19"/>
      <c r="I1464" s="19">
        <f>COUNTIF(Tabela1[NF],Tabela1[[#This Row],[NF]])</f>
        <v>0</v>
      </c>
      <c r="J1464" s="22"/>
      <c r="K1464" s="21">
        <v>46055</v>
      </c>
      <c r="L1464" s="22"/>
      <c r="M1464" s="22"/>
      <c r="N1464" s="14" t="str" cm="1">
        <f t="array" ref="N1464">_xlfn.XLOOKUP(TRIM(D1464),TRIM(DFC!A:A),DFC!A:A,"NÃO ESTÁ NA DFC")</f>
        <v xml:space="preserve">          TX. BANCÁRIA</v>
      </c>
    </row>
    <row r="1465" spans="1:14" customFormat="1" ht="15" customHeight="1" x14ac:dyDescent="0.3">
      <c r="A1465" s="19"/>
      <c r="B1465" s="21">
        <v>46055</v>
      </c>
      <c r="C1465" s="21" t="s">
        <v>15</v>
      </c>
      <c r="D1465" s="21" t="s">
        <v>111</v>
      </c>
      <c r="E1465" s="20"/>
      <c r="F1465" s="22" t="s">
        <v>628</v>
      </c>
      <c r="G1465" s="252">
        <v>20.38</v>
      </c>
      <c r="H1465" s="19"/>
      <c r="I1465" s="19">
        <f>COUNTIF(Tabela1[NF],Tabela1[[#This Row],[NF]])</f>
        <v>0</v>
      </c>
      <c r="J1465" s="22"/>
      <c r="K1465" s="21">
        <v>46055</v>
      </c>
      <c r="L1465" s="22"/>
      <c r="M1465" s="22"/>
      <c r="N1465" s="14" t="str" cm="1">
        <f t="array" ref="N1465">_xlfn.XLOOKUP(TRIM(D1465),TRIM(DFC!A:A),DFC!A:A,"NÃO ESTÁ NA DFC")</f>
        <v xml:space="preserve">          TX. BANCÁRIA</v>
      </c>
    </row>
    <row r="1466" spans="1:14" customFormat="1" ht="15" customHeight="1" x14ac:dyDescent="0.3">
      <c r="A1466" s="19"/>
      <c r="B1466" s="21">
        <v>46055</v>
      </c>
      <c r="C1466" s="21" t="s">
        <v>15</v>
      </c>
      <c r="D1466" s="21" t="s">
        <v>111</v>
      </c>
      <c r="E1466" s="20"/>
      <c r="F1466" s="22" t="s">
        <v>559</v>
      </c>
      <c r="G1466" s="252">
        <v>49.02</v>
      </c>
      <c r="H1466" s="19"/>
      <c r="I1466" s="19">
        <f>COUNTIF(Tabela1[NF],Tabela1[[#This Row],[NF]])</f>
        <v>0</v>
      </c>
      <c r="J1466" s="22"/>
      <c r="K1466" s="21">
        <v>46055</v>
      </c>
      <c r="L1466" s="22"/>
      <c r="M1466" s="22"/>
      <c r="N1466" s="14" t="str" cm="1">
        <f t="array" ref="N1466">_xlfn.XLOOKUP(TRIM(D1466),TRIM(DFC!A:A),DFC!A:A,"NÃO ESTÁ NA DFC")</f>
        <v xml:space="preserve">          TX. BANCÁRIA</v>
      </c>
    </row>
    <row r="1467" spans="1:14" customFormat="1" ht="15" customHeight="1" x14ac:dyDescent="0.3">
      <c r="A1467" s="19"/>
      <c r="B1467" s="21">
        <v>46056</v>
      </c>
      <c r="C1467" s="21" t="s">
        <v>15</v>
      </c>
      <c r="D1467" s="21" t="s">
        <v>29</v>
      </c>
      <c r="E1467" s="20"/>
      <c r="F1467" s="22" t="s">
        <v>168</v>
      </c>
      <c r="G1467" s="252">
        <v>65</v>
      </c>
      <c r="H1467" s="19"/>
      <c r="I1467" s="19">
        <f>COUNTIF(Tabela1[NF],Tabela1[[#This Row],[NF]])</f>
        <v>0</v>
      </c>
      <c r="J1467" s="22"/>
      <c r="K1467" s="21">
        <v>46056</v>
      </c>
      <c r="L1467" s="22"/>
      <c r="M1467" s="22"/>
      <c r="N1467" s="14" t="str" cm="1">
        <f t="array" ref="N1467">_xlfn.XLOOKUP(TRIM(D1467),TRIM(DFC!A:A),DFC!A:A,"NÃO ESTÁ NA DFC")</f>
        <v xml:space="preserve">      FRETE DE SAÍDA</v>
      </c>
    </row>
    <row r="1468" spans="1:14" customFormat="1" ht="15" customHeight="1" x14ac:dyDescent="0.3">
      <c r="A1468" s="19"/>
      <c r="B1468" s="21">
        <v>46056</v>
      </c>
      <c r="C1468" s="21" t="s">
        <v>15</v>
      </c>
      <c r="D1468" s="21" t="s">
        <v>29</v>
      </c>
      <c r="E1468" s="20"/>
      <c r="F1468" s="22" t="s">
        <v>168</v>
      </c>
      <c r="G1468" s="252">
        <v>100</v>
      </c>
      <c r="H1468" s="19"/>
      <c r="I1468" s="19">
        <f>COUNTIF(Tabela1[NF],Tabela1[[#This Row],[NF]])</f>
        <v>0</v>
      </c>
      <c r="J1468" s="22"/>
      <c r="K1468" s="21">
        <v>46056</v>
      </c>
      <c r="L1468" s="22"/>
      <c r="M1468" s="22"/>
      <c r="N1468" s="14" t="str" cm="1">
        <f t="array" ref="N1468">_xlfn.XLOOKUP(TRIM(D1468),TRIM(DFC!A:A),DFC!A:A,"NÃO ESTÁ NA DFC")</f>
        <v xml:space="preserve">      FRETE DE SAÍDA</v>
      </c>
    </row>
    <row r="1469" spans="1:14" customFormat="1" ht="15" customHeight="1" x14ac:dyDescent="0.3">
      <c r="A1469" s="19"/>
      <c r="B1469" s="21">
        <v>46056</v>
      </c>
      <c r="C1469" s="21" t="s">
        <v>15</v>
      </c>
      <c r="D1469" s="21" t="s">
        <v>29</v>
      </c>
      <c r="E1469" s="20"/>
      <c r="F1469" s="22" t="s">
        <v>168</v>
      </c>
      <c r="G1469" s="252">
        <v>134.9</v>
      </c>
      <c r="H1469" s="19"/>
      <c r="I1469" s="19">
        <f>COUNTIF(Tabela1[NF],Tabela1[[#This Row],[NF]])</f>
        <v>0</v>
      </c>
      <c r="J1469" s="22"/>
      <c r="K1469" s="21">
        <v>46056</v>
      </c>
      <c r="L1469" s="22"/>
      <c r="M1469" s="22"/>
      <c r="N1469" s="14" t="str" cm="1">
        <f t="array" ref="N1469">_xlfn.XLOOKUP(TRIM(D1469),TRIM(DFC!A:A),DFC!A:A,"NÃO ESTÁ NA DFC")</f>
        <v xml:space="preserve">      FRETE DE SAÍDA</v>
      </c>
    </row>
    <row r="1470" spans="1:14" customFormat="1" ht="15" customHeight="1" x14ac:dyDescent="0.3">
      <c r="A1470" s="19"/>
      <c r="B1470" s="21">
        <v>46056</v>
      </c>
      <c r="C1470" s="21" t="s">
        <v>15</v>
      </c>
      <c r="D1470" s="21" t="s">
        <v>29</v>
      </c>
      <c r="E1470" s="20"/>
      <c r="F1470" s="22" t="s">
        <v>168</v>
      </c>
      <c r="G1470" s="252">
        <v>65</v>
      </c>
      <c r="H1470" s="19"/>
      <c r="I1470" s="19">
        <f>COUNTIF(Tabela1[NF],Tabela1[[#This Row],[NF]])</f>
        <v>0</v>
      </c>
      <c r="J1470" s="22"/>
      <c r="K1470" s="21">
        <v>46056</v>
      </c>
      <c r="L1470" s="22"/>
      <c r="M1470" s="22"/>
      <c r="N1470" s="14" t="str" cm="1">
        <f t="array" ref="N1470">_xlfn.XLOOKUP(TRIM(D1470),TRIM(DFC!A:A),DFC!A:A,"NÃO ESTÁ NA DFC")</f>
        <v xml:space="preserve">      FRETE DE SAÍDA</v>
      </c>
    </row>
    <row r="1471" spans="1:14" customFormat="1" ht="15" customHeight="1" x14ac:dyDescent="0.3">
      <c r="A1471" s="19"/>
      <c r="B1471" s="21">
        <v>46056</v>
      </c>
      <c r="C1471" s="21" t="s">
        <v>15</v>
      </c>
      <c r="D1471" s="21" t="s">
        <v>29</v>
      </c>
      <c r="E1471" s="20"/>
      <c r="F1471" s="22" t="s">
        <v>294</v>
      </c>
      <c r="G1471" s="252">
        <v>120</v>
      </c>
      <c r="H1471" s="19"/>
      <c r="I1471" s="19">
        <f>COUNTIF(Tabela1[NF],Tabela1[[#This Row],[NF]])</f>
        <v>0</v>
      </c>
      <c r="J1471" s="22"/>
      <c r="K1471" s="21">
        <v>46056</v>
      </c>
      <c r="L1471" s="22"/>
      <c r="M1471" s="22"/>
      <c r="N1471" s="14" t="str" cm="1">
        <f t="array" ref="N1471">_xlfn.XLOOKUP(TRIM(D1471),TRIM(DFC!A:A),DFC!A:A,"NÃO ESTÁ NA DFC")</f>
        <v xml:space="preserve">      FRETE DE SAÍDA</v>
      </c>
    </row>
    <row r="1472" spans="1:14" customFormat="1" ht="15" customHeight="1" x14ac:dyDescent="0.3">
      <c r="A1472" s="19"/>
      <c r="B1472" s="21">
        <v>46056</v>
      </c>
      <c r="C1472" s="21" t="s">
        <v>15</v>
      </c>
      <c r="D1472" s="21" t="s">
        <v>29</v>
      </c>
      <c r="E1472" s="20"/>
      <c r="F1472" s="22" t="s">
        <v>168</v>
      </c>
      <c r="G1472" s="252">
        <v>590</v>
      </c>
      <c r="H1472" s="19"/>
      <c r="I1472" s="19">
        <f>COUNTIF(Tabela1[NF],Tabela1[[#This Row],[NF]])</f>
        <v>0</v>
      </c>
      <c r="J1472" s="22"/>
      <c r="K1472" s="21">
        <v>46056</v>
      </c>
      <c r="L1472" s="22"/>
      <c r="M1472" s="22"/>
      <c r="N1472" s="14" t="str" cm="1">
        <f t="array" ref="N1472">_xlfn.XLOOKUP(TRIM(D1472),TRIM(DFC!A:A),DFC!A:A,"NÃO ESTÁ NA DFC")</f>
        <v xml:space="preserve">      FRETE DE SAÍDA</v>
      </c>
    </row>
    <row r="1473" spans="1:14" customFormat="1" ht="15" customHeight="1" x14ac:dyDescent="0.3">
      <c r="A1473" s="19"/>
      <c r="B1473" s="21">
        <v>46056</v>
      </c>
      <c r="C1473" s="21" t="s">
        <v>15</v>
      </c>
      <c r="D1473" s="21" t="s">
        <v>29</v>
      </c>
      <c r="E1473" s="20"/>
      <c r="F1473" s="22" t="s">
        <v>450</v>
      </c>
      <c r="G1473" s="252">
        <v>1860</v>
      </c>
      <c r="H1473" s="19"/>
      <c r="I1473" s="19">
        <f>COUNTIF(Tabela1[NF],Tabela1[[#This Row],[NF]])</f>
        <v>0</v>
      </c>
      <c r="J1473" s="22"/>
      <c r="K1473" s="21">
        <v>46056</v>
      </c>
      <c r="L1473" s="22"/>
      <c r="M1473" s="22"/>
      <c r="N1473" s="14" t="str" cm="1">
        <f t="array" ref="N1473">_xlfn.XLOOKUP(TRIM(D1473),TRIM(DFC!A:A),DFC!A:A,"NÃO ESTÁ NA DFC")</f>
        <v xml:space="preserve">      FRETE DE SAÍDA</v>
      </c>
    </row>
    <row r="1474" spans="1:14" customFormat="1" ht="15" customHeight="1" x14ac:dyDescent="0.3">
      <c r="A1474" s="19"/>
      <c r="B1474" s="21">
        <v>46056</v>
      </c>
      <c r="C1474" s="21" t="s">
        <v>15</v>
      </c>
      <c r="D1474" s="21" t="s">
        <v>29</v>
      </c>
      <c r="E1474" s="20"/>
      <c r="F1474" s="22" t="s">
        <v>168</v>
      </c>
      <c r="G1474" s="252">
        <v>154.24</v>
      </c>
      <c r="H1474" s="19"/>
      <c r="I1474" s="19">
        <f>COUNTIF(Tabela1[NF],Tabela1[[#This Row],[NF]])</f>
        <v>0</v>
      </c>
      <c r="J1474" s="22"/>
      <c r="K1474" s="21">
        <v>46056</v>
      </c>
      <c r="L1474" s="22"/>
      <c r="M1474" s="22"/>
      <c r="N1474" s="14" t="str" cm="1">
        <f t="array" ref="N1474">_xlfn.XLOOKUP(TRIM(D1474),TRIM(DFC!A:A),DFC!A:A,"NÃO ESTÁ NA DFC")</f>
        <v xml:space="preserve">      FRETE DE SAÍDA</v>
      </c>
    </row>
    <row r="1475" spans="1:14" customFormat="1" ht="15" customHeight="1" x14ac:dyDescent="0.3">
      <c r="A1475" s="19"/>
      <c r="B1475" s="21">
        <v>46056</v>
      </c>
      <c r="C1475" s="21" t="s">
        <v>15</v>
      </c>
      <c r="D1475" s="21" t="s">
        <v>29</v>
      </c>
      <c r="E1475" s="20"/>
      <c r="F1475" s="22" t="s">
        <v>168</v>
      </c>
      <c r="G1475" s="252">
        <v>906.46</v>
      </c>
      <c r="H1475" s="19"/>
      <c r="I1475" s="19">
        <f>COUNTIF(Tabela1[NF],Tabela1[[#This Row],[NF]])</f>
        <v>0</v>
      </c>
      <c r="J1475" s="22"/>
      <c r="K1475" s="21">
        <v>46056</v>
      </c>
      <c r="L1475" s="22"/>
      <c r="M1475" s="22"/>
      <c r="N1475" s="14" t="str" cm="1">
        <f t="array" ref="N1475">_xlfn.XLOOKUP(TRIM(D1475),TRIM(DFC!A:A),DFC!A:A,"NÃO ESTÁ NA DFC")</f>
        <v xml:space="preserve">      FRETE DE SAÍDA</v>
      </c>
    </row>
    <row r="1476" spans="1:14" customFormat="1" ht="15" customHeight="1" x14ac:dyDescent="0.3">
      <c r="A1476" s="19"/>
      <c r="B1476" s="21">
        <v>46056</v>
      </c>
      <c r="C1476" s="21" t="s">
        <v>15</v>
      </c>
      <c r="D1476" s="21" t="s">
        <v>29</v>
      </c>
      <c r="E1476" s="20"/>
      <c r="F1476" s="22" t="s">
        <v>168</v>
      </c>
      <c r="G1476" s="252">
        <v>65</v>
      </c>
      <c r="H1476" s="19"/>
      <c r="I1476" s="19">
        <f>COUNTIF(Tabela1[NF],Tabela1[[#This Row],[NF]])</f>
        <v>0</v>
      </c>
      <c r="J1476" s="22"/>
      <c r="K1476" s="21">
        <v>46056</v>
      </c>
      <c r="L1476" s="22"/>
      <c r="M1476" s="22"/>
      <c r="N1476" s="14" t="str" cm="1">
        <f t="array" ref="N1476">_xlfn.XLOOKUP(TRIM(D1476),TRIM(DFC!A:A),DFC!A:A,"NÃO ESTÁ NA DFC")</f>
        <v xml:space="preserve">      FRETE DE SAÍDA</v>
      </c>
    </row>
    <row r="1477" spans="1:14" customFormat="1" ht="15" customHeight="1" x14ac:dyDescent="0.3">
      <c r="A1477" s="19"/>
      <c r="B1477" s="21">
        <v>46056</v>
      </c>
      <c r="C1477" s="21" t="s">
        <v>15</v>
      </c>
      <c r="D1477" s="21" t="s">
        <v>19</v>
      </c>
      <c r="E1477" s="20"/>
      <c r="F1477" s="22" t="s">
        <v>315</v>
      </c>
      <c r="G1477" s="252">
        <v>8291.52</v>
      </c>
      <c r="H1477" s="19"/>
      <c r="I1477" s="19">
        <f>COUNTIF(Tabela1[NF],Tabela1[[#This Row],[NF]])</f>
        <v>0</v>
      </c>
      <c r="J1477" s="22"/>
      <c r="K1477" s="21">
        <v>46056</v>
      </c>
      <c r="L1477" s="22"/>
      <c r="M1477" s="22"/>
      <c r="N1477" s="14" t="str" cm="1">
        <f t="array" ref="N1477">_xlfn.XLOOKUP(TRIM(D1477),TRIM(DFC!A:A),DFC!A:A,"NÃO ESTÁ NA DFC")</f>
        <v xml:space="preserve">      PEÇAS</v>
      </c>
    </row>
    <row r="1478" spans="1:14" customFormat="1" ht="15" customHeight="1" x14ac:dyDescent="0.3">
      <c r="A1478" s="19"/>
      <c r="B1478" s="21">
        <v>46056</v>
      </c>
      <c r="C1478" s="21" t="s">
        <v>15</v>
      </c>
      <c r="D1478" s="21" t="s">
        <v>19</v>
      </c>
      <c r="E1478" s="20"/>
      <c r="F1478" s="22" t="s">
        <v>228</v>
      </c>
      <c r="G1478" s="252">
        <v>3650.66</v>
      </c>
      <c r="H1478" s="19"/>
      <c r="I1478" s="19">
        <f>COUNTIF(Tabela1[NF],Tabela1[[#This Row],[NF]])</f>
        <v>0</v>
      </c>
      <c r="J1478" s="22"/>
      <c r="K1478" s="21">
        <v>46056</v>
      </c>
      <c r="L1478" s="22"/>
      <c r="M1478" s="22"/>
      <c r="N1478" s="14" t="str" cm="1">
        <f t="array" ref="N1478">_xlfn.XLOOKUP(TRIM(D1478),TRIM(DFC!A:A),DFC!A:A,"NÃO ESTÁ NA DFC")</f>
        <v xml:space="preserve">      PEÇAS</v>
      </c>
    </row>
    <row r="1479" spans="1:14" customFormat="1" ht="15" customHeight="1" x14ac:dyDescent="0.3">
      <c r="A1479" s="19"/>
      <c r="B1479" s="21">
        <v>46056</v>
      </c>
      <c r="C1479" s="21" t="s">
        <v>15</v>
      </c>
      <c r="D1479" s="21" t="s">
        <v>19</v>
      </c>
      <c r="E1479" s="20"/>
      <c r="F1479" s="22" t="s">
        <v>315</v>
      </c>
      <c r="G1479" s="252">
        <v>512.49</v>
      </c>
      <c r="H1479" s="19"/>
      <c r="I1479" s="19">
        <f>COUNTIF(Tabela1[NF],Tabela1[[#This Row],[NF]])</f>
        <v>0</v>
      </c>
      <c r="J1479" s="22"/>
      <c r="K1479" s="21">
        <v>46056</v>
      </c>
      <c r="L1479" s="22"/>
      <c r="M1479" s="22"/>
      <c r="N1479" s="14" t="str" cm="1">
        <f t="array" ref="N1479">_xlfn.XLOOKUP(TRIM(D1479),TRIM(DFC!A:A),DFC!A:A,"NÃO ESTÁ NA DFC")</f>
        <v xml:space="preserve">      PEÇAS</v>
      </c>
    </row>
    <row r="1480" spans="1:14" customFormat="1" ht="15" customHeight="1" x14ac:dyDescent="0.3">
      <c r="A1480" s="19"/>
      <c r="B1480" s="21">
        <v>46056</v>
      </c>
      <c r="C1480" s="21" t="s">
        <v>15</v>
      </c>
      <c r="D1480" s="21" t="s">
        <v>19</v>
      </c>
      <c r="E1480" s="20"/>
      <c r="F1480" s="22" t="s">
        <v>315</v>
      </c>
      <c r="G1480" s="252">
        <v>3023.75</v>
      </c>
      <c r="H1480" s="19"/>
      <c r="I1480" s="19">
        <f>COUNTIF(Tabela1[NF],Tabela1[[#This Row],[NF]])</f>
        <v>0</v>
      </c>
      <c r="J1480" s="22"/>
      <c r="K1480" s="21">
        <v>46056</v>
      </c>
      <c r="L1480" s="22"/>
      <c r="M1480" s="22"/>
      <c r="N1480" s="14" t="str" cm="1">
        <f t="array" ref="N1480">_xlfn.XLOOKUP(TRIM(D1480),TRIM(DFC!A:A),DFC!A:A,"NÃO ESTÁ NA DFC")</f>
        <v xml:space="preserve">      PEÇAS</v>
      </c>
    </row>
    <row r="1481" spans="1:14" customFormat="1" ht="15" customHeight="1" x14ac:dyDescent="0.3">
      <c r="A1481" s="19"/>
      <c r="B1481" s="21">
        <v>46056</v>
      </c>
      <c r="C1481" s="21" t="s">
        <v>15</v>
      </c>
      <c r="D1481" s="21" t="s">
        <v>19</v>
      </c>
      <c r="E1481" s="20"/>
      <c r="F1481" s="22" t="s">
        <v>297</v>
      </c>
      <c r="G1481" s="252">
        <v>1161.1300000000001</v>
      </c>
      <c r="H1481" s="19"/>
      <c r="I1481" s="19">
        <f>COUNTIF(Tabela1[NF],Tabela1[[#This Row],[NF]])</f>
        <v>0</v>
      </c>
      <c r="J1481" s="22"/>
      <c r="K1481" s="21">
        <v>46056</v>
      </c>
      <c r="L1481" s="22"/>
      <c r="M1481" s="22"/>
      <c r="N1481" s="14" t="str" cm="1">
        <f t="array" ref="N1481">_xlfn.XLOOKUP(TRIM(D1481),TRIM(DFC!A:A),DFC!A:A,"NÃO ESTÁ NA DFC")</f>
        <v xml:space="preserve">      PEÇAS</v>
      </c>
    </row>
    <row r="1482" spans="1:14" customFormat="1" ht="15" customHeight="1" x14ac:dyDescent="0.3">
      <c r="A1482" s="19"/>
      <c r="B1482" s="21">
        <v>46056</v>
      </c>
      <c r="C1482" s="21" t="s">
        <v>15</v>
      </c>
      <c r="D1482" s="21" t="s">
        <v>19</v>
      </c>
      <c r="E1482" s="20"/>
      <c r="F1482" s="22" t="s">
        <v>228</v>
      </c>
      <c r="G1482" s="252">
        <v>2978.25</v>
      </c>
      <c r="H1482" s="19"/>
      <c r="I1482" s="19">
        <f>COUNTIF(Tabela1[NF],Tabela1[[#This Row],[NF]])</f>
        <v>0</v>
      </c>
      <c r="J1482" s="22"/>
      <c r="K1482" s="21">
        <v>46056</v>
      </c>
      <c r="L1482" s="22"/>
      <c r="M1482" s="22"/>
      <c r="N1482" s="14" t="str" cm="1">
        <f t="array" ref="N1482">_xlfn.XLOOKUP(TRIM(D1482),TRIM(DFC!A:A),DFC!A:A,"NÃO ESTÁ NA DFC")</f>
        <v xml:space="preserve">      PEÇAS</v>
      </c>
    </row>
    <row r="1483" spans="1:14" customFormat="1" ht="15" customHeight="1" x14ac:dyDescent="0.3">
      <c r="A1483" s="19"/>
      <c r="B1483" s="21">
        <v>46056</v>
      </c>
      <c r="C1483" s="21" t="s">
        <v>15</v>
      </c>
      <c r="D1483" s="21" t="s">
        <v>19</v>
      </c>
      <c r="E1483" s="20"/>
      <c r="F1483" s="22" t="s">
        <v>301</v>
      </c>
      <c r="G1483" s="252">
        <v>1744.43</v>
      </c>
      <c r="H1483" s="19"/>
      <c r="I1483" s="19">
        <f>COUNTIF(Tabela1[NF],Tabela1[[#This Row],[NF]])</f>
        <v>0</v>
      </c>
      <c r="J1483" s="22"/>
      <c r="K1483" s="21">
        <v>46056</v>
      </c>
      <c r="L1483" s="22"/>
      <c r="M1483" s="22"/>
      <c r="N1483" s="14" t="str" cm="1">
        <f t="array" ref="N1483">_xlfn.XLOOKUP(TRIM(D1483),TRIM(DFC!A:A),DFC!A:A,"NÃO ESTÁ NA DFC")</f>
        <v xml:space="preserve">      PEÇAS</v>
      </c>
    </row>
    <row r="1484" spans="1:14" customFormat="1" ht="15" customHeight="1" x14ac:dyDescent="0.3">
      <c r="A1484" s="19"/>
      <c r="B1484" s="21">
        <v>46056</v>
      </c>
      <c r="C1484" s="21" t="s">
        <v>15</v>
      </c>
      <c r="D1484" s="21" t="s">
        <v>19</v>
      </c>
      <c r="E1484" s="20"/>
      <c r="F1484" s="22" t="s">
        <v>315</v>
      </c>
      <c r="G1484" s="252">
        <v>1537.5</v>
      </c>
      <c r="H1484" s="19"/>
      <c r="I1484" s="19">
        <f>COUNTIF(Tabela1[NF],Tabela1[[#This Row],[NF]])</f>
        <v>0</v>
      </c>
      <c r="J1484" s="22"/>
      <c r="K1484" s="21">
        <v>46056</v>
      </c>
      <c r="L1484" s="22"/>
      <c r="M1484" s="22"/>
      <c r="N1484" s="14" t="str" cm="1">
        <f t="array" ref="N1484">_xlfn.XLOOKUP(TRIM(D1484),TRIM(DFC!A:A),DFC!A:A,"NÃO ESTÁ NA DFC")</f>
        <v xml:space="preserve">      PEÇAS</v>
      </c>
    </row>
    <row r="1485" spans="1:14" customFormat="1" ht="15" customHeight="1" x14ac:dyDescent="0.3">
      <c r="A1485" s="19"/>
      <c r="B1485" s="21">
        <v>46056</v>
      </c>
      <c r="C1485" s="21" t="s">
        <v>15</v>
      </c>
      <c r="D1485" s="21" t="s">
        <v>19</v>
      </c>
      <c r="E1485" s="20"/>
      <c r="F1485" s="22" t="s">
        <v>315</v>
      </c>
      <c r="G1485" s="252">
        <v>1007.92</v>
      </c>
      <c r="H1485" s="19"/>
      <c r="I1485" s="19">
        <f>COUNTIF(Tabela1[NF],Tabela1[[#This Row],[NF]])</f>
        <v>0</v>
      </c>
      <c r="J1485" s="22"/>
      <c r="K1485" s="21">
        <v>46056</v>
      </c>
      <c r="L1485" s="22"/>
      <c r="M1485" s="22"/>
      <c r="N1485" s="14" t="str" cm="1">
        <f t="array" ref="N1485">_xlfn.XLOOKUP(TRIM(D1485),TRIM(DFC!A:A),DFC!A:A,"NÃO ESTÁ NA DFC")</f>
        <v xml:space="preserve">      PEÇAS</v>
      </c>
    </row>
    <row r="1486" spans="1:14" customFormat="1" ht="15" customHeight="1" x14ac:dyDescent="0.3">
      <c r="A1486" s="19"/>
      <c r="B1486" s="21">
        <v>46056</v>
      </c>
      <c r="C1486" s="21" t="s">
        <v>15</v>
      </c>
      <c r="D1486" s="21" t="s">
        <v>19</v>
      </c>
      <c r="E1486" s="20"/>
      <c r="F1486" s="22" t="s">
        <v>315</v>
      </c>
      <c r="G1486" s="252">
        <v>583.65</v>
      </c>
      <c r="H1486" s="19"/>
      <c r="I1486" s="19">
        <f>COUNTIF(Tabela1[NF],Tabela1[[#This Row],[NF]])</f>
        <v>0</v>
      </c>
      <c r="J1486" s="22"/>
      <c r="K1486" s="21">
        <v>46056</v>
      </c>
      <c r="L1486" s="22"/>
      <c r="M1486" s="22"/>
      <c r="N1486" s="14" t="str" cm="1">
        <f t="array" ref="N1486">_xlfn.XLOOKUP(TRIM(D1486),TRIM(DFC!A:A),DFC!A:A,"NÃO ESTÁ NA DFC")</f>
        <v xml:space="preserve">      PEÇAS</v>
      </c>
    </row>
    <row r="1487" spans="1:14" customFormat="1" ht="15" customHeight="1" x14ac:dyDescent="0.3">
      <c r="A1487" s="19"/>
      <c r="B1487" s="21">
        <v>46056</v>
      </c>
      <c r="C1487" s="21" t="s">
        <v>15</v>
      </c>
      <c r="D1487" s="21" t="s">
        <v>19</v>
      </c>
      <c r="E1487" s="20"/>
      <c r="F1487" s="22" t="s">
        <v>315</v>
      </c>
      <c r="G1487" s="252">
        <v>1750.92</v>
      </c>
      <c r="H1487" s="19"/>
      <c r="I1487" s="19">
        <f>COUNTIF(Tabela1[NF],Tabela1[[#This Row],[NF]])</f>
        <v>0</v>
      </c>
      <c r="J1487" s="22"/>
      <c r="K1487" s="21">
        <v>46056</v>
      </c>
      <c r="L1487" s="22"/>
      <c r="M1487" s="22"/>
      <c r="N1487" s="14" t="str" cm="1">
        <f t="array" ref="N1487">_xlfn.XLOOKUP(TRIM(D1487),TRIM(DFC!A:A),DFC!A:A,"NÃO ESTÁ NA DFC")</f>
        <v xml:space="preserve">      PEÇAS</v>
      </c>
    </row>
    <row r="1488" spans="1:14" customFormat="1" ht="15" customHeight="1" x14ac:dyDescent="0.3">
      <c r="A1488" s="19"/>
      <c r="B1488" s="21">
        <v>46056</v>
      </c>
      <c r="C1488" s="21" t="s">
        <v>15</v>
      </c>
      <c r="D1488" s="21" t="s">
        <v>19</v>
      </c>
      <c r="E1488" s="20"/>
      <c r="F1488" s="22" t="s">
        <v>455</v>
      </c>
      <c r="G1488" s="252">
        <v>6344.97</v>
      </c>
      <c r="H1488" s="19"/>
      <c r="I1488" s="19">
        <f>COUNTIF(Tabela1[NF],Tabela1[[#This Row],[NF]])</f>
        <v>0</v>
      </c>
      <c r="J1488" s="22"/>
      <c r="K1488" s="21">
        <v>46056</v>
      </c>
      <c r="L1488" s="22"/>
      <c r="M1488" s="22"/>
      <c r="N1488" s="14" t="str" cm="1">
        <f t="array" ref="N1488">_xlfn.XLOOKUP(TRIM(D1488),TRIM(DFC!A:A),DFC!A:A,"NÃO ESTÁ NA DFC")</f>
        <v xml:space="preserve">      PEÇAS</v>
      </c>
    </row>
    <row r="1489" spans="1:14" customFormat="1" ht="15" customHeight="1" x14ac:dyDescent="0.3">
      <c r="A1489" s="19"/>
      <c r="B1489" s="21">
        <v>46056</v>
      </c>
      <c r="C1489" s="21" t="s">
        <v>15</v>
      </c>
      <c r="D1489" s="21" t="s">
        <v>19</v>
      </c>
      <c r="E1489" s="20"/>
      <c r="F1489" s="22" t="s">
        <v>228</v>
      </c>
      <c r="G1489" s="252">
        <v>19606.169999999998</v>
      </c>
      <c r="H1489" s="19"/>
      <c r="I1489" s="19">
        <f>COUNTIF(Tabela1[NF],Tabela1[[#This Row],[NF]])</f>
        <v>0</v>
      </c>
      <c r="J1489" s="22"/>
      <c r="K1489" s="21">
        <v>46056</v>
      </c>
      <c r="L1489" s="22"/>
      <c r="M1489" s="22"/>
      <c r="N1489" s="14" t="str" cm="1">
        <f t="array" ref="N1489">_xlfn.XLOOKUP(TRIM(D1489),TRIM(DFC!A:A),DFC!A:A,"NÃO ESTÁ NA DFC")</f>
        <v xml:space="preserve">      PEÇAS</v>
      </c>
    </row>
    <row r="1490" spans="1:14" customFormat="1" ht="15" customHeight="1" x14ac:dyDescent="0.3">
      <c r="A1490" s="19"/>
      <c r="B1490" s="21">
        <v>46057</v>
      </c>
      <c r="C1490" s="21" t="s">
        <v>15</v>
      </c>
      <c r="D1490" s="21" t="s">
        <v>82</v>
      </c>
      <c r="E1490" s="20"/>
      <c r="F1490" s="22" t="s">
        <v>629</v>
      </c>
      <c r="G1490" s="252">
        <v>400</v>
      </c>
      <c r="H1490" s="19"/>
      <c r="I1490" s="19">
        <f>COUNTIF(Tabela1[NF],Tabela1[[#This Row],[NF]])</f>
        <v>0</v>
      </c>
      <c r="J1490" s="22"/>
      <c r="K1490" s="21">
        <v>46057</v>
      </c>
      <c r="L1490" s="22"/>
      <c r="M1490" s="22"/>
      <c r="N1490" s="14" t="str" cm="1">
        <f t="array" ref="N1490">_xlfn.XLOOKUP(TRIM(D1490),TRIM(DFC!A:A),DFC!A:A,"NÃO ESTÁ NA DFC")</f>
        <v xml:space="preserve">          DIÁRIAS</v>
      </c>
    </row>
    <row r="1491" spans="1:14" customFormat="1" ht="15" customHeight="1" x14ac:dyDescent="0.3">
      <c r="A1491" s="19"/>
      <c r="B1491" s="21">
        <v>46057</v>
      </c>
      <c r="C1491" s="21" t="s">
        <v>15</v>
      </c>
      <c r="D1491" s="21" t="s">
        <v>82</v>
      </c>
      <c r="E1491" s="20" t="s">
        <v>164</v>
      </c>
      <c r="F1491" s="22" t="s">
        <v>411</v>
      </c>
      <c r="G1491" s="252">
        <v>320</v>
      </c>
      <c r="H1491" s="19"/>
      <c r="I1491" s="19">
        <f>COUNTIF(Tabela1[NF],Tabela1[[#This Row],[NF]])</f>
        <v>0</v>
      </c>
      <c r="J1491" s="22"/>
      <c r="K1491" s="21">
        <v>46057</v>
      </c>
      <c r="L1491" s="22"/>
      <c r="M1491" s="22"/>
      <c r="N1491" s="14" t="str" cm="1">
        <f t="array" ref="N1491">_xlfn.XLOOKUP(TRIM(D1491),TRIM(DFC!A:A),DFC!A:A,"NÃO ESTÁ NA DFC")</f>
        <v xml:space="preserve">          DIÁRIAS</v>
      </c>
    </row>
    <row r="1492" spans="1:14" customFormat="1" ht="15" customHeight="1" x14ac:dyDescent="0.3">
      <c r="A1492" s="19"/>
      <c r="B1492" s="21">
        <v>46057</v>
      </c>
      <c r="C1492" s="21" t="s">
        <v>15</v>
      </c>
      <c r="D1492" s="21" t="s">
        <v>19</v>
      </c>
      <c r="E1492" s="20"/>
      <c r="F1492" s="22" t="s">
        <v>297</v>
      </c>
      <c r="G1492" s="252">
        <v>9736</v>
      </c>
      <c r="H1492" s="19"/>
      <c r="I1492" s="19">
        <f>COUNTIF(Tabela1[NF],Tabela1[[#This Row],[NF]])</f>
        <v>0</v>
      </c>
      <c r="J1492" s="22"/>
      <c r="K1492" s="21">
        <v>46057</v>
      </c>
      <c r="L1492" s="22"/>
      <c r="M1492" s="22"/>
      <c r="N1492" s="14" t="str" cm="1">
        <f t="array" ref="N1492">_xlfn.XLOOKUP(TRIM(D1492),TRIM(DFC!A:A),DFC!A:A,"NÃO ESTÁ NA DFC")</f>
        <v xml:space="preserve">      PEÇAS</v>
      </c>
    </row>
    <row r="1493" spans="1:14" customFormat="1" ht="15" customHeight="1" x14ac:dyDescent="0.3">
      <c r="A1493" s="19"/>
      <c r="B1493" s="21">
        <v>46057</v>
      </c>
      <c r="C1493" s="21" t="s">
        <v>15</v>
      </c>
      <c r="D1493" s="21" t="s">
        <v>19</v>
      </c>
      <c r="E1493" s="20"/>
      <c r="F1493" s="22" t="s">
        <v>301</v>
      </c>
      <c r="G1493" s="252">
        <v>2046.31</v>
      </c>
      <c r="H1493" s="19"/>
      <c r="I1493" s="19">
        <f>COUNTIF(Tabela1[NF],Tabela1[[#This Row],[NF]])</f>
        <v>0</v>
      </c>
      <c r="J1493" s="22"/>
      <c r="K1493" s="21">
        <v>46057</v>
      </c>
      <c r="L1493" s="22"/>
      <c r="M1493" s="22"/>
      <c r="N1493" s="14" t="str" cm="1">
        <f t="array" ref="N1493">_xlfn.XLOOKUP(TRIM(D1493),TRIM(DFC!A:A),DFC!A:A,"NÃO ESTÁ NA DFC")</f>
        <v xml:space="preserve">      PEÇAS</v>
      </c>
    </row>
    <row r="1494" spans="1:14" customFormat="1" ht="15" customHeight="1" x14ac:dyDescent="0.3">
      <c r="A1494" s="19"/>
      <c r="B1494" s="21">
        <v>46057</v>
      </c>
      <c r="C1494" s="21" t="s">
        <v>15</v>
      </c>
      <c r="D1494" s="21" t="s">
        <v>19</v>
      </c>
      <c r="E1494" s="20"/>
      <c r="F1494" s="22" t="s">
        <v>132</v>
      </c>
      <c r="G1494" s="252">
        <v>502</v>
      </c>
      <c r="H1494" s="19"/>
      <c r="I1494" s="19">
        <f>COUNTIF(Tabela1[NF],Tabela1[[#This Row],[NF]])</f>
        <v>0</v>
      </c>
      <c r="J1494" s="22"/>
      <c r="K1494" s="21">
        <v>46057</v>
      </c>
      <c r="L1494" s="22"/>
      <c r="M1494" s="22"/>
      <c r="N1494" s="14" t="str" cm="1">
        <f t="array" ref="N1494">_xlfn.XLOOKUP(TRIM(D1494),TRIM(DFC!A:A),DFC!A:A,"NÃO ESTÁ NA DFC")</f>
        <v xml:space="preserve">      PEÇAS</v>
      </c>
    </row>
    <row r="1495" spans="1:14" customFormat="1" ht="15" customHeight="1" x14ac:dyDescent="0.3">
      <c r="A1495" s="19"/>
      <c r="B1495" s="21">
        <v>46057</v>
      </c>
      <c r="C1495" s="21" t="s">
        <v>15</v>
      </c>
      <c r="D1495" s="21" t="s">
        <v>19</v>
      </c>
      <c r="E1495" s="20"/>
      <c r="F1495" s="22" t="s">
        <v>228</v>
      </c>
      <c r="G1495" s="252">
        <v>730.52</v>
      </c>
      <c r="H1495" s="19"/>
      <c r="I1495" s="19">
        <f>COUNTIF(Tabela1[NF],Tabela1[[#This Row],[NF]])</f>
        <v>0</v>
      </c>
      <c r="J1495" s="22"/>
      <c r="K1495" s="21">
        <v>46057</v>
      </c>
      <c r="L1495" s="22"/>
      <c r="M1495" s="22"/>
      <c r="N1495" s="14" t="str" cm="1">
        <f t="array" ref="N1495">_xlfn.XLOOKUP(TRIM(D1495),TRIM(DFC!A:A),DFC!A:A,"NÃO ESTÁ NA DFC")</f>
        <v xml:space="preserve">      PEÇAS</v>
      </c>
    </row>
    <row r="1496" spans="1:14" customFormat="1" ht="15" customHeight="1" x14ac:dyDescent="0.3">
      <c r="A1496" s="19"/>
      <c r="B1496" s="21">
        <v>46057</v>
      </c>
      <c r="C1496" s="21" t="s">
        <v>15</v>
      </c>
      <c r="D1496" s="21" t="s">
        <v>19</v>
      </c>
      <c r="E1496" s="20"/>
      <c r="F1496" s="22" t="s">
        <v>228</v>
      </c>
      <c r="G1496" s="252">
        <v>1975.91</v>
      </c>
      <c r="H1496" s="19"/>
      <c r="I1496" s="19">
        <f>COUNTIF(Tabela1[NF],Tabela1[[#This Row],[NF]])</f>
        <v>0</v>
      </c>
      <c r="J1496" s="22"/>
      <c r="K1496" s="21">
        <v>46057</v>
      </c>
      <c r="L1496" s="22"/>
      <c r="M1496" s="22"/>
      <c r="N1496" s="14" t="str" cm="1">
        <f t="array" ref="N1496">_xlfn.XLOOKUP(TRIM(D1496),TRIM(DFC!A:A),DFC!A:A,"NÃO ESTÁ NA DFC")</f>
        <v xml:space="preserve">      PEÇAS</v>
      </c>
    </row>
    <row r="1497" spans="1:14" customFormat="1" ht="15" customHeight="1" x14ac:dyDescent="0.3">
      <c r="A1497" s="19"/>
      <c r="B1497" s="21">
        <v>46057</v>
      </c>
      <c r="C1497" s="21" t="s">
        <v>15</v>
      </c>
      <c r="D1497" s="21" t="s">
        <v>19</v>
      </c>
      <c r="E1497" s="20"/>
      <c r="F1497" s="22" t="s">
        <v>301</v>
      </c>
      <c r="G1497" s="252">
        <v>1483.71</v>
      </c>
      <c r="H1497" s="19"/>
      <c r="I1497" s="19">
        <f>COUNTIF(Tabela1[NF],Tabela1[[#This Row],[NF]])</f>
        <v>0</v>
      </c>
      <c r="J1497" s="22"/>
      <c r="K1497" s="21">
        <v>46057</v>
      </c>
      <c r="L1497" s="22"/>
      <c r="M1497" s="22"/>
      <c r="N1497" s="14" t="str" cm="1">
        <f t="array" ref="N1497">_xlfn.XLOOKUP(TRIM(D1497),TRIM(DFC!A:A),DFC!A:A,"NÃO ESTÁ NA DFC")</f>
        <v xml:space="preserve">      PEÇAS</v>
      </c>
    </row>
    <row r="1498" spans="1:14" customFormat="1" ht="15" customHeight="1" x14ac:dyDescent="0.3">
      <c r="A1498" s="19"/>
      <c r="B1498" s="21">
        <v>46057</v>
      </c>
      <c r="C1498" s="21" t="s">
        <v>15</v>
      </c>
      <c r="D1498" s="21" t="s">
        <v>154</v>
      </c>
      <c r="E1498" s="20"/>
      <c r="F1498" s="22" t="s">
        <v>302</v>
      </c>
      <c r="G1498" s="252">
        <v>3629.93</v>
      </c>
      <c r="H1498" s="19"/>
      <c r="I1498" s="19">
        <f>COUNTIF(Tabela1[NF],Tabela1[[#This Row],[NF]])</f>
        <v>0</v>
      </c>
      <c r="J1498" s="22"/>
      <c r="K1498" s="21">
        <v>46057</v>
      </c>
      <c r="L1498" s="22"/>
      <c r="M1498" s="22"/>
      <c r="N1498" s="14" t="str" cm="1">
        <f t="array" ref="N1498">_xlfn.XLOOKUP(TRIM(D1498),TRIM(DFC!A:A),DFC!A:A,"NÃO ESTÁ NA DFC")</f>
        <v xml:space="preserve">      EMBALAGENS</v>
      </c>
    </row>
    <row r="1499" spans="1:14" customFormat="1" ht="15" customHeight="1" x14ac:dyDescent="0.3">
      <c r="A1499" s="19"/>
      <c r="B1499" s="21">
        <v>46057</v>
      </c>
      <c r="C1499" s="21" t="s">
        <v>15</v>
      </c>
      <c r="D1499" s="21" t="s">
        <v>154</v>
      </c>
      <c r="E1499" s="20"/>
      <c r="F1499" s="22" t="s">
        <v>515</v>
      </c>
      <c r="G1499" s="252">
        <v>130.22</v>
      </c>
      <c r="H1499" s="19"/>
      <c r="I1499" s="19">
        <f>COUNTIF(Tabela1[NF],Tabela1[[#This Row],[NF]])</f>
        <v>0</v>
      </c>
      <c r="J1499" s="22"/>
      <c r="K1499" s="21">
        <v>46057</v>
      </c>
      <c r="L1499" s="22"/>
      <c r="M1499" s="22"/>
      <c r="N1499" s="14" t="str" cm="1">
        <f t="array" ref="N1499">_xlfn.XLOOKUP(TRIM(D1499),TRIM(DFC!A:A),DFC!A:A,"NÃO ESTÁ NA DFC")</f>
        <v xml:space="preserve">      EMBALAGENS</v>
      </c>
    </row>
    <row r="1500" spans="1:14" customFormat="1" ht="15" customHeight="1" x14ac:dyDescent="0.3">
      <c r="A1500" s="19"/>
      <c r="B1500" s="21">
        <v>46057</v>
      </c>
      <c r="C1500" s="21" t="s">
        <v>15</v>
      </c>
      <c r="D1500" s="21" t="s">
        <v>19</v>
      </c>
      <c r="E1500" s="20"/>
      <c r="F1500" s="22" t="s">
        <v>303</v>
      </c>
      <c r="G1500" s="252">
        <v>549.30999999999995</v>
      </c>
      <c r="H1500" s="19"/>
      <c r="I1500" s="19">
        <f>COUNTIF(Tabela1[NF],Tabela1[[#This Row],[NF]])</f>
        <v>0</v>
      </c>
      <c r="J1500" s="22"/>
      <c r="K1500" s="21">
        <v>46057</v>
      </c>
      <c r="L1500" s="22"/>
      <c r="M1500" s="22"/>
      <c r="N1500" s="14" t="str" cm="1">
        <f t="array" ref="N1500">_xlfn.XLOOKUP(TRIM(D1500),TRIM(DFC!A:A),DFC!A:A,"NÃO ESTÁ NA DFC")</f>
        <v xml:space="preserve">      PEÇAS</v>
      </c>
    </row>
    <row r="1501" spans="1:14" customFormat="1" ht="15" customHeight="1" x14ac:dyDescent="0.3">
      <c r="A1501" s="19"/>
      <c r="B1501" s="21">
        <v>46058</v>
      </c>
      <c r="C1501" s="21" t="s">
        <v>15</v>
      </c>
      <c r="D1501" s="21" t="s">
        <v>19</v>
      </c>
      <c r="E1501" s="20"/>
      <c r="F1501" s="22" t="s">
        <v>300</v>
      </c>
      <c r="G1501" s="252">
        <v>8966.5</v>
      </c>
      <c r="H1501" s="19"/>
      <c r="I1501" s="19">
        <f>COUNTIF(Tabela1[NF],Tabela1[[#This Row],[NF]])</f>
        <v>0</v>
      </c>
      <c r="J1501" s="22"/>
      <c r="K1501" s="21">
        <v>46058</v>
      </c>
      <c r="L1501" s="22"/>
      <c r="M1501" s="22"/>
      <c r="N1501" s="14" t="str" cm="1">
        <f t="array" ref="N1501">_xlfn.XLOOKUP(TRIM(D1501),TRIM(DFC!A:A),DFC!A:A,"NÃO ESTÁ NA DFC")</f>
        <v xml:space="preserve">      PEÇAS</v>
      </c>
    </row>
    <row r="1502" spans="1:14" customFormat="1" ht="15" customHeight="1" x14ac:dyDescent="0.3">
      <c r="A1502" s="19"/>
      <c r="B1502" s="21">
        <v>46058</v>
      </c>
      <c r="C1502" s="21" t="s">
        <v>15</v>
      </c>
      <c r="D1502" s="21" t="s">
        <v>19</v>
      </c>
      <c r="E1502" s="20"/>
      <c r="F1502" s="22" t="s">
        <v>310</v>
      </c>
      <c r="G1502" s="252">
        <v>7897.76</v>
      </c>
      <c r="H1502" s="19"/>
      <c r="I1502" s="19">
        <f>COUNTIF(Tabela1[NF],Tabela1[[#This Row],[NF]])</f>
        <v>0</v>
      </c>
      <c r="J1502" s="22"/>
      <c r="K1502" s="21">
        <v>46058</v>
      </c>
      <c r="L1502" s="22"/>
      <c r="M1502" s="22"/>
      <c r="N1502" s="14" t="str" cm="1">
        <f t="array" ref="N1502">_xlfn.XLOOKUP(TRIM(D1502),TRIM(DFC!A:A),DFC!A:A,"NÃO ESTÁ NA DFC")</f>
        <v xml:space="preserve">      PEÇAS</v>
      </c>
    </row>
    <row r="1503" spans="1:14" customFormat="1" ht="15" customHeight="1" x14ac:dyDescent="0.3">
      <c r="A1503" s="19"/>
      <c r="B1503" s="21">
        <v>46058</v>
      </c>
      <c r="C1503" s="21" t="s">
        <v>15</v>
      </c>
      <c r="D1503" s="21" t="s">
        <v>19</v>
      </c>
      <c r="E1503" s="20"/>
      <c r="F1503" s="22" t="s">
        <v>301</v>
      </c>
      <c r="G1503" s="252">
        <v>2924.54</v>
      </c>
      <c r="H1503" s="19"/>
      <c r="I1503" s="19">
        <f>COUNTIF(Tabela1[NF],Tabela1[[#This Row],[NF]])</f>
        <v>0</v>
      </c>
      <c r="J1503" s="22"/>
      <c r="K1503" s="21">
        <v>46058</v>
      </c>
      <c r="L1503" s="22"/>
      <c r="M1503" s="22"/>
      <c r="N1503" s="14" t="str" cm="1">
        <f t="array" ref="N1503">_xlfn.XLOOKUP(TRIM(D1503),TRIM(DFC!A:A),DFC!A:A,"NÃO ESTÁ NA DFC")</f>
        <v xml:space="preserve">      PEÇAS</v>
      </c>
    </row>
    <row r="1504" spans="1:14" customFormat="1" ht="15" customHeight="1" x14ac:dyDescent="0.3">
      <c r="A1504" s="19"/>
      <c r="B1504" s="21">
        <v>46058</v>
      </c>
      <c r="C1504" s="21" t="s">
        <v>15</v>
      </c>
      <c r="D1504" s="21" t="s">
        <v>154</v>
      </c>
      <c r="E1504" s="20"/>
      <c r="F1504" s="22" t="s">
        <v>303</v>
      </c>
      <c r="G1504" s="252">
        <v>711.29</v>
      </c>
      <c r="H1504" s="19"/>
      <c r="I1504" s="19">
        <f>COUNTIF(Tabela1[NF],Tabela1[[#This Row],[NF]])</f>
        <v>0</v>
      </c>
      <c r="J1504" s="22"/>
      <c r="K1504" s="21">
        <v>46058</v>
      </c>
      <c r="L1504" s="22"/>
      <c r="M1504" s="22"/>
      <c r="N1504" s="14" t="str" cm="1">
        <f t="array" ref="N1504">_xlfn.XLOOKUP(TRIM(D1504),TRIM(DFC!A:A),DFC!A:A,"NÃO ESTÁ NA DFC")</f>
        <v xml:space="preserve">      EMBALAGENS</v>
      </c>
    </row>
    <row r="1505" spans="1:14" customFormat="1" ht="15" customHeight="1" x14ac:dyDescent="0.3">
      <c r="A1505" s="19"/>
      <c r="B1505" s="21">
        <v>46058</v>
      </c>
      <c r="C1505" s="21" t="s">
        <v>15</v>
      </c>
      <c r="D1505" s="21" t="s">
        <v>19</v>
      </c>
      <c r="E1505" s="20"/>
      <c r="F1505" s="22" t="s">
        <v>132</v>
      </c>
      <c r="G1505" s="252">
        <v>5906.8</v>
      </c>
      <c r="H1505" s="19"/>
      <c r="I1505" s="19">
        <f>COUNTIF(Tabela1[NF],Tabela1[[#This Row],[NF]])</f>
        <v>0</v>
      </c>
      <c r="J1505" s="22"/>
      <c r="K1505" s="21">
        <v>46058</v>
      </c>
      <c r="L1505" s="22"/>
      <c r="M1505" s="22"/>
      <c r="N1505" s="14" t="str" cm="1">
        <f t="array" ref="N1505">_xlfn.XLOOKUP(TRIM(D1505),TRIM(DFC!A:A),DFC!A:A,"NÃO ESTÁ NA DFC")</f>
        <v xml:space="preserve">      PEÇAS</v>
      </c>
    </row>
    <row r="1506" spans="1:14" customFormat="1" ht="15" customHeight="1" x14ac:dyDescent="0.3">
      <c r="A1506" s="19"/>
      <c r="B1506" s="21">
        <v>46059</v>
      </c>
      <c r="C1506" s="21" t="s">
        <v>15</v>
      </c>
      <c r="D1506" s="21" t="s">
        <v>19</v>
      </c>
      <c r="E1506" s="20"/>
      <c r="F1506" s="22" t="s">
        <v>310</v>
      </c>
      <c r="G1506" s="252">
        <v>29854</v>
      </c>
      <c r="H1506" s="19"/>
      <c r="I1506" s="19">
        <f>COUNTIF(Tabela1[NF],Tabela1[[#This Row],[NF]])</f>
        <v>0</v>
      </c>
      <c r="J1506" s="22"/>
      <c r="K1506" s="21">
        <v>46059</v>
      </c>
      <c r="L1506" s="22"/>
      <c r="M1506" s="22"/>
      <c r="N1506" s="14" t="str" cm="1">
        <f t="array" ref="N1506">_xlfn.XLOOKUP(TRIM(D1506),TRIM(DFC!A:A),DFC!A:A,"NÃO ESTÁ NA DFC")</f>
        <v xml:space="preserve">      PEÇAS</v>
      </c>
    </row>
    <row r="1507" spans="1:14" customFormat="1" ht="15" customHeight="1" x14ac:dyDescent="0.3">
      <c r="A1507" s="19"/>
      <c r="B1507" s="21">
        <v>46059</v>
      </c>
      <c r="C1507" s="21" t="s">
        <v>15</v>
      </c>
      <c r="D1507" s="21" t="s">
        <v>19</v>
      </c>
      <c r="E1507" s="20"/>
      <c r="F1507" s="22" t="s">
        <v>310</v>
      </c>
      <c r="G1507" s="252">
        <v>4370</v>
      </c>
      <c r="H1507" s="19"/>
      <c r="I1507" s="19">
        <f>COUNTIF(Tabela1[NF],Tabela1[[#This Row],[NF]])</f>
        <v>0</v>
      </c>
      <c r="J1507" s="22"/>
      <c r="K1507" s="21">
        <v>46059</v>
      </c>
      <c r="L1507" s="22"/>
      <c r="M1507" s="22"/>
      <c r="N1507" s="14" t="str" cm="1">
        <f t="array" ref="N1507">_xlfn.XLOOKUP(TRIM(D1507),TRIM(DFC!A:A),DFC!A:A,"NÃO ESTÁ NA DFC")</f>
        <v xml:space="preserve">      PEÇAS</v>
      </c>
    </row>
    <row r="1508" spans="1:14" customFormat="1" ht="15" customHeight="1" x14ac:dyDescent="0.3">
      <c r="A1508" s="19"/>
      <c r="B1508" s="21">
        <v>46059</v>
      </c>
      <c r="C1508" s="21" t="s">
        <v>15</v>
      </c>
      <c r="D1508" s="21" t="s">
        <v>19</v>
      </c>
      <c r="E1508" s="20"/>
      <c r="F1508" s="22" t="s">
        <v>228</v>
      </c>
      <c r="G1508" s="252">
        <v>2299.89</v>
      </c>
      <c r="H1508" s="19"/>
      <c r="I1508" s="19">
        <f>COUNTIF(Tabela1[NF],Tabela1[[#This Row],[NF]])</f>
        <v>0</v>
      </c>
      <c r="J1508" s="22"/>
      <c r="K1508" s="21">
        <v>46059</v>
      </c>
      <c r="L1508" s="22"/>
      <c r="M1508" s="22"/>
      <c r="N1508" s="14" t="str" cm="1">
        <f t="array" ref="N1508">_xlfn.XLOOKUP(TRIM(D1508),TRIM(DFC!A:A),DFC!A:A,"NÃO ESTÁ NA DFC")</f>
        <v xml:space="preserve">      PEÇAS</v>
      </c>
    </row>
    <row r="1509" spans="1:14" customFormat="1" ht="15" customHeight="1" x14ac:dyDescent="0.3">
      <c r="A1509" s="19"/>
      <c r="B1509" s="21">
        <v>46059</v>
      </c>
      <c r="C1509" s="21" t="s">
        <v>15</v>
      </c>
      <c r="D1509" s="21" t="s">
        <v>19</v>
      </c>
      <c r="E1509" s="20"/>
      <c r="F1509" s="22" t="s">
        <v>228</v>
      </c>
      <c r="G1509" s="252">
        <v>5968.72</v>
      </c>
      <c r="H1509" s="19"/>
      <c r="I1509" s="19">
        <f>COUNTIF(Tabela1[NF],Tabela1[[#This Row],[NF]])</f>
        <v>0</v>
      </c>
      <c r="J1509" s="22"/>
      <c r="K1509" s="21">
        <v>46059</v>
      </c>
      <c r="L1509" s="22"/>
      <c r="M1509" s="22"/>
      <c r="N1509" s="14" t="str" cm="1">
        <f t="array" ref="N1509">_xlfn.XLOOKUP(TRIM(D1509),TRIM(DFC!A:A),DFC!A:A,"NÃO ESTÁ NA DFC")</f>
        <v xml:space="preserve">      PEÇAS</v>
      </c>
    </row>
    <row r="1510" spans="1:14" customFormat="1" ht="15" customHeight="1" x14ac:dyDescent="0.3">
      <c r="A1510" s="19"/>
      <c r="B1510" s="21">
        <v>46059</v>
      </c>
      <c r="C1510" s="21" t="s">
        <v>15</v>
      </c>
      <c r="D1510" s="21" t="s">
        <v>19</v>
      </c>
      <c r="E1510" s="20"/>
      <c r="F1510" s="22" t="s">
        <v>132</v>
      </c>
      <c r="G1510" s="252">
        <v>559</v>
      </c>
      <c r="H1510" s="19"/>
      <c r="I1510" s="19">
        <f>COUNTIF(Tabela1[NF],Tabela1[[#This Row],[NF]])</f>
        <v>0</v>
      </c>
      <c r="J1510" s="22"/>
      <c r="K1510" s="21">
        <v>46059</v>
      </c>
      <c r="L1510" s="22"/>
      <c r="M1510" s="22"/>
      <c r="N1510" s="14" t="str" cm="1">
        <f t="array" ref="N1510">_xlfn.XLOOKUP(TRIM(D1510),TRIM(DFC!A:A),DFC!A:A,"NÃO ESTÁ NA DFC")</f>
        <v xml:space="preserve">      PEÇAS</v>
      </c>
    </row>
    <row r="1511" spans="1:14" customFormat="1" ht="15" customHeight="1" x14ac:dyDescent="0.3">
      <c r="A1511" s="19"/>
      <c r="B1511" s="21">
        <v>46059</v>
      </c>
      <c r="C1511" s="21" t="s">
        <v>15</v>
      </c>
      <c r="D1511" s="21" t="s">
        <v>19</v>
      </c>
      <c r="E1511" s="20"/>
      <c r="F1511" s="22" t="s">
        <v>329</v>
      </c>
      <c r="G1511" s="252">
        <v>308</v>
      </c>
      <c r="H1511" s="19"/>
      <c r="I1511" s="19">
        <f>COUNTIF(Tabela1[NF],Tabela1[[#This Row],[NF]])</f>
        <v>0</v>
      </c>
      <c r="J1511" s="22"/>
      <c r="K1511" s="21">
        <v>46059</v>
      </c>
      <c r="L1511" s="22"/>
      <c r="M1511" s="22"/>
      <c r="N1511" s="14" t="str" cm="1">
        <f t="array" ref="N1511">_xlfn.XLOOKUP(TRIM(D1511),TRIM(DFC!A:A),DFC!A:A,"NÃO ESTÁ NA DFC")</f>
        <v xml:space="preserve">      PEÇAS</v>
      </c>
    </row>
    <row r="1512" spans="1:14" customFormat="1" ht="15" customHeight="1" x14ac:dyDescent="0.3">
      <c r="A1512" s="19"/>
      <c r="B1512" s="21">
        <v>46059</v>
      </c>
      <c r="C1512" s="21" t="s">
        <v>15</v>
      </c>
      <c r="D1512" s="21" t="s">
        <v>215</v>
      </c>
      <c r="E1512" s="20" t="s">
        <v>630</v>
      </c>
      <c r="F1512" s="22" t="s">
        <v>381</v>
      </c>
      <c r="G1512" s="252">
        <v>2600</v>
      </c>
      <c r="H1512" s="19"/>
      <c r="I1512" s="19">
        <f>COUNTIF(Tabela1[NF],Tabela1[[#This Row],[NF]])</f>
        <v>0</v>
      </c>
      <c r="J1512" s="22"/>
      <c r="K1512" s="21">
        <v>46059</v>
      </c>
      <c r="L1512" s="22"/>
      <c r="M1512" s="22"/>
      <c r="N1512" s="14" t="str" cm="1">
        <f t="array" ref="N1512">_xlfn.XLOOKUP(TRIM(D1512),TRIM(DFC!A:A),DFC!A:A,"NÃO ESTÁ NA DFC")</f>
        <v xml:space="preserve">         DESIGNER GRAFICO</v>
      </c>
    </row>
    <row r="1513" spans="1:14" customFormat="1" ht="15" customHeight="1" x14ac:dyDescent="0.3">
      <c r="A1513" s="19"/>
      <c r="B1513" s="21">
        <v>46059</v>
      </c>
      <c r="C1513" s="21" t="s">
        <v>15</v>
      </c>
      <c r="D1513" s="21" t="s">
        <v>19</v>
      </c>
      <c r="E1513" s="20"/>
      <c r="F1513" s="22" t="s">
        <v>228</v>
      </c>
      <c r="G1513" s="252">
        <v>1326.5</v>
      </c>
      <c r="H1513" s="19"/>
      <c r="I1513" s="19">
        <f>COUNTIF(Tabela1[NF],Tabela1[[#This Row],[NF]])</f>
        <v>0</v>
      </c>
      <c r="J1513" s="22"/>
      <c r="K1513" s="21">
        <v>46059</v>
      </c>
      <c r="L1513" s="22"/>
      <c r="M1513" s="22"/>
      <c r="N1513" s="14" t="str" cm="1">
        <f t="array" ref="N1513">_xlfn.XLOOKUP(TRIM(D1513),TRIM(DFC!A:A),DFC!A:A,"NÃO ESTÁ NA DFC")</f>
        <v xml:space="preserve">      PEÇAS</v>
      </c>
    </row>
    <row r="1514" spans="1:14" customFormat="1" ht="15" customHeight="1" x14ac:dyDescent="0.3">
      <c r="A1514" s="19"/>
      <c r="B1514" s="21">
        <v>46059</v>
      </c>
      <c r="C1514" s="21" t="s">
        <v>15</v>
      </c>
      <c r="D1514" s="21" t="s">
        <v>19</v>
      </c>
      <c r="E1514" s="20"/>
      <c r="F1514" s="22" t="s">
        <v>228</v>
      </c>
      <c r="G1514" s="252">
        <v>3024.68</v>
      </c>
      <c r="H1514" s="19"/>
      <c r="I1514" s="19">
        <f>COUNTIF(Tabela1[NF],Tabela1[[#This Row],[NF]])</f>
        <v>0</v>
      </c>
      <c r="J1514" s="22"/>
      <c r="K1514" s="21">
        <v>46059</v>
      </c>
      <c r="L1514" s="22"/>
      <c r="M1514" s="22"/>
      <c r="N1514" s="14" t="str" cm="1">
        <f t="array" ref="N1514">_xlfn.XLOOKUP(TRIM(D1514),TRIM(DFC!A:A),DFC!A:A,"NÃO ESTÁ NA DFC")</f>
        <v xml:space="preserve">      PEÇAS</v>
      </c>
    </row>
    <row r="1515" spans="1:14" customFormat="1" ht="15" customHeight="1" x14ac:dyDescent="0.3">
      <c r="A1515" s="19"/>
      <c r="B1515" s="21">
        <v>46059</v>
      </c>
      <c r="C1515" s="21" t="s">
        <v>15</v>
      </c>
      <c r="D1515" s="21" t="s">
        <v>19</v>
      </c>
      <c r="E1515" s="20"/>
      <c r="F1515" s="22" t="s">
        <v>24</v>
      </c>
      <c r="G1515" s="252">
        <v>1971.94</v>
      </c>
      <c r="H1515" s="19"/>
      <c r="I1515" s="19">
        <f>COUNTIF(Tabela1[NF],Tabela1[[#This Row],[NF]])</f>
        <v>0</v>
      </c>
      <c r="J1515" s="22"/>
      <c r="K1515" s="21">
        <v>46059</v>
      </c>
      <c r="L1515" s="22"/>
      <c r="M1515" s="22"/>
      <c r="N1515" s="14" t="str" cm="1">
        <f t="array" ref="N1515">_xlfn.XLOOKUP(TRIM(D1515),TRIM(DFC!A:A),DFC!A:A,"NÃO ESTÁ NA DFC")</f>
        <v xml:space="preserve">      PEÇAS</v>
      </c>
    </row>
    <row r="1516" spans="1:14" customFormat="1" ht="15" customHeight="1" x14ac:dyDescent="0.3">
      <c r="A1516" s="19"/>
      <c r="B1516" s="21">
        <v>46059</v>
      </c>
      <c r="C1516" s="21" t="s">
        <v>15</v>
      </c>
      <c r="D1516" s="21" t="s">
        <v>19</v>
      </c>
      <c r="E1516" s="20"/>
      <c r="F1516" s="22" t="s">
        <v>304</v>
      </c>
      <c r="G1516" s="252">
        <v>2459.5100000000002</v>
      </c>
      <c r="H1516" s="19"/>
      <c r="I1516" s="19">
        <f>COUNTIF(Tabela1[NF],Tabela1[[#This Row],[NF]])</f>
        <v>0</v>
      </c>
      <c r="J1516" s="22"/>
      <c r="K1516" s="21">
        <v>46059</v>
      </c>
      <c r="L1516" s="22"/>
      <c r="M1516" s="22"/>
      <c r="N1516" s="14" t="str" cm="1">
        <f t="array" ref="N1516">_xlfn.XLOOKUP(TRIM(D1516),TRIM(DFC!A:A),DFC!A:A,"NÃO ESTÁ NA DFC")</f>
        <v xml:space="preserve">      PEÇAS</v>
      </c>
    </row>
    <row r="1517" spans="1:14" customFormat="1" ht="15" customHeight="1" x14ac:dyDescent="0.3">
      <c r="A1517" s="19"/>
      <c r="B1517" s="21">
        <v>46059</v>
      </c>
      <c r="C1517" s="21" t="s">
        <v>15</v>
      </c>
      <c r="D1517" s="21" t="s">
        <v>19</v>
      </c>
      <c r="E1517" s="20"/>
      <c r="F1517" s="22" t="s">
        <v>297</v>
      </c>
      <c r="G1517" s="252">
        <v>7423.05</v>
      </c>
      <c r="H1517" s="19"/>
      <c r="I1517" s="19">
        <f>COUNTIF(Tabela1[NF],Tabela1[[#This Row],[NF]])</f>
        <v>0</v>
      </c>
      <c r="J1517" s="22"/>
      <c r="K1517" s="21">
        <v>46059</v>
      </c>
      <c r="L1517" s="22"/>
      <c r="M1517" s="22"/>
      <c r="N1517" s="14" t="str" cm="1">
        <f t="array" ref="N1517">_xlfn.XLOOKUP(TRIM(D1517),TRIM(DFC!A:A),DFC!A:A,"NÃO ESTÁ NA DFC")</f>
        <v xml:space="preserve">      PEÇAS</v>
      </c>
    </row>
    <row r="1518" spans="1:14" customFormat="1" ht="15" customHeight="1" x14ac:dyDescent="0.3">
      <c r="A1518" s="19"/>
      <c r="B1518" s="21">
        <v>46059</v>
      </c>
      <c r="C1518" s="21" t="s">
        <v>15</v>
      </c>
      <c r="D1518" s="21" t="s">
        <v>29</v>
      </c>
      <c r="E1518" s="20"/>
      <c r="F1518" s="22" t="s">
        <v>149</v>
      </c>
      <c r="G1518" s="252">
        <v>3701.95</v>
      </c>
      <c r="H1518" s="19"/>
      <c r="I1518" s="19">
        <f>COUNTIF(Tabela1[NF],Tabela1[[#This Row],[NF]])</f>
        <v>0</v>
      </c>
      <c r="J1518" s="22"/>
      <c r="K1518" s="21">
        <v>46059</v>
      </c>
      <c r="L1518" s="22"/>
      <c r="M1518" s="22"/>
      <c r="N1518" s="14" t="str" cm="1">
        <f t="array" ref="N1518">_xlfn.XLOOKUP(TRIM(D1518),TRIM(DFC!A:A),DFC!A:A,"NÃO ESTÁ NA DFC")</f>
        <v xml:space="preserve">      FRETE DE SAÍDA</v>
      </c>
    </row>
    <row r="1519" spans="1:14" customFormat="1" ht="15" customHeight="1" x14ac:dyDescent="0.3">
      <c r="A1519" s="19"/>
      <c r="B1519" s="21">
        <v>46059</v>
      </c>
      <c r="C1519" s="21" t="s">
        <v>15</v>
      </c>
      <c r="D1519" s="21" t="s">
        <v>60</v>
      </c>
      <c r="E1519" s="20" t="s">
        <v>631</v>
      </c>
      <c r="F1519" s="22" t="s">
        <v>147</v>
      </c>
      <c r="G1519" s="252">
        <v>417.94</v>
      </c>
      <c r="H1519" s="19"/>
      <c r="I1519" s="19">
        <f>COUNTIF(Tabela1[NF],Tabela1[[#This Row],[NF]])</f>
        <v>0</v>
      </c>
      <c r="J1519" s="22"/>
      <c r="K1519" s="21">
        <v>46059</v>
      </c>
      <c r="L1519" s="22"/>
      <c r="M1519" s="22"/>
      <c r="N1519" s="14" t="str" cm="1">
        <f t="array" ref="N1519">_xlfn.XLOOKUP(TRIM(D1519),TRIM(DFC!A:A),DFC!A:A,"NÃO ESTÁ NA DFC")</f>
        <v xml:space="preserve">          ALUGUEL</v>
      </c>
    </row>
    <row r="1520" spans="1:14" customFormat="1" ht="15" customHeight="1" x14ac:dyDescent="0.3">
      <c r="A1520" s="19"/>
      <c r="B1520" s="21">
        <v>46059</v>
      </c>
      <c r="C1520" s="21" t="s">
        <v>15</v>
      </c>
      <c r="D1520" s="21" t="s">
        <v>19</v>
      </c>
      <c r="E1520" s="20"/>
      <c r="F1520" s="22" t="s">
        <v>301</v>
      </c>
      <c r="G1520" s="252">
        <v>5560.16</v>
      </c>
      <c r="H1520" s="19"/>
      <c r="I1520" s="19">
        <f>COUNTIF(Tabela1[NF],Tabela1[[#This Row],[NF]])</f>
        <v>0</v>
      </c>
      <c r="J1520" s="22"/>
      <c r="K1520" s="21">
        <v>46059</v>
      </c>
      <c r="L1520" s="22"/>
      <c r="M1520" s="22"/>
      <c r="N1520" s="14" t="str" cm="1">
        <f t="array" ref="N1520">_xlfn.XLOOKUP(TRIM(D1520),TRIM(DFC!A:A),DFC!A:A,"NÃO ESTÁ NA DFC")</f>
        <v xml:space="preserve">      PEÇAS</v>
      </c>
    </row>
    <row r="1521" spans="1:14" customFormat="1" ht="15" customHeight="1" x14ac:dyDescent="0.3">
      <c r="A1521" s="19"/>
      <c r="B1521" s="21">
        <v>46059</v>
      </c>
      <c r="C1521" s="21" t="s">
        <v>15</v>
      </c>
      <c r="D1521" s="21" t="s">
        <v>154</v>
      </c>
      <c r="E1521" s="20"/>
      <c r="F1521" s="22" t="s">
        <v>621</v>
      </c>
      <c r="G1521" s="252">
        <v>2011.28</v>
      </c>
      <c r="H1521" s="19"/>
      <c r="I1521" s="19">
        <f>COUNTIF(Tabela1[NF],Tabela1[[#This Row],[NF]])</f>
        <v>0</v>
      </c>
      <c r="J1521" s="22"/>
      <c r="K1521" s="21">
        <v>46059</v>
      </c>
      <c r="L1521" s="22"/>
      <c r="M1521" s="22"/>
      <c r="N1521" s="14" t="str" cm="1">
        <f t="array" ref="N1521">_xlfn.XLOOKUP(TRIM(D1521),TRIM(DFC!A:A),DFC!A:A,"NÃO ESTÁ NA DFC")</f>
        <v xml:space="preserve">      EMBALAGENS</v>
      </c>
    </row>
    <row r="1522" spans="1:14" customFormat="1" ht="15" customHeight="1" x14ac:dyDescent="0.3">
      <c r="A1522" s="19"/>
      <c r="B1522" s="21">
        <v>46059</v>
      </c>
      <c r="C1522" s="21" t="s">
        <v>15</v>
      </c>
      <c r="D1522" s="21" t="s">
        <v>127</v>
      </c>
      <c r="E1522" s="20"/>
      <c r="F1522" s="22" t="s">
        <v>153</v>
      </c>
      <c r="G1522" s="252">
        <v>156.66999999999999</v>
      </c>
      <c r="H1522" s="19"/>
      <c r="I1522" s="19">
        <f>COUNTIF(Tabela1[NF],Tabela1[[#This Row],[NF]])</f>
        <v>0</v>
      </c>
      <c r="J1522" s="22"/>
      <c r="K1522" s="21">
        <v>46059</v>
      </c>
      <c r="L1522" s="22"/>
      <c r="M1522" s="22"/>
      <c r="N1522" s="14" t="str" cm="1">
        <f t="array" ref="N1522">_xlfn.XLOOKUP(TRIM(D1522),TRIM(DFC!A:A),DFC!A:A,"NÃO ESTÁ NA DFC")</f>
        <v xml:space="preserve">          SERVIÇOS DE SEGURANÇA</v>
      </c>
    </row>
    <row r="1523" spans="1:14" customFormat="1" ht="15" customHeight="1" x14ac:dyDescent="0.3">
      <c r="A1523" s="19"/>
      <c r="B1523" s="21">
        <v>46059</v>
      </c>
      <c r="C1523" s="21" t="s">
        <v>15</v>
      </c>
      <c r="D1523" s="21" t="s">
        <v>117</v>
      </c>
      <c r="E1523" s="20"/>
      <c r="F1523" s="22" t="s">
        <v>116</v>
      </c>
      <c r="G1523" s="252">
        <v>349.37</v>
      </c>
      <c r="H1523" s="19"/>
      <c r="I1523" s="19">
        <f>COUNTIF(Tabela1[NF],Tabela1[[#This Row],[NF]])</f>
        <v>0</v>
      </c>
      <c r="J1523" s="22"/>
      <c r="K1523" s="21">
        <v>46059</v>
      </c>
      <c r="L1523" s="22"/>
      <c r="M1523" s="22"/>
      <c r="N1523" s="14" t="str" cm="1">
        <f t="array" ref="N1523">_xlfn.XLOOKUP(TRIM(D1523),TRIM(DFC!A:A),DFC!A:A,"NÃO ESTÁ NA DFC")</f>
        <v xml:space="preserve">          SALÁRIOS</v>
      </c>
    </row>
    <row r="1524" spans="1:14" customFormat="1" ht="15" customHeight="1" x14ac:dyDescent="0.3">
      <c r="A1524" s="19"/>
      <c r="B1524" s="21">
        <v>46059</v>
      </c>
      <c r="C1524" s="21" t="s">
        <v>15</v>
      </c>
      <c r="D1524" s="21" t="s">
        <v>117</v>
      </c>
      <c r="E1524" s="20"/>
      <c r="F1524" s="22" t="s">
        <v>581</v>
      </c>
      <c r="G1524" s="252">
        <v>926.89</v>
      </c>
      <c r="H1524" s="19"/>
      <c r="I1524" s="19">
        <f>COUNTIF(Tabela1[NF],Tabela1[[#This Row],[NF]])</f>
        <v>0</v>
      </c>
      <c r="J1524" s="22"/>
      <c r="K1524" s="21">
        <v>46059</v>
      </c>
      <c r="L1524" s="22"/>
      <c r="M1524" s="22"/>
      <c r="N1524" s="14" t="str" cm="1">
        <f t="array" ref="N1524">_xlfn.XLOOKUP(TRIM(D1524),TRIM(DFC!A:A),DFC!A:A,"NÃO ESTÁ NA DFC")</f>
        <v xml:space="preserve">          SALÁRIOS</v>
      </c>
    </row>
    <row r="1525" spans="1:14" customFormat="1" ht="15" customHeight="1" x14ac:dyDescent="0.3">
      <c r="A1525" s="19"/>
      <c r="B1525" s="21">
        <v>46059</v>
      </c>
      <c r="C1525" s="21" t="s">
        <v>15</v>
      </c>
      <c r="D1525" s="21" t="s">
        <v>117</v>
      </c>
      <c r="E1525" s="20"/>
      <c r="F1525" s="22" t="s">
        <v>319</v>
      </c>
      <c r="G1525" s="252">
        <v>1534.42</v>
      </c>
      <c r="H1525" s="19"/>
      <c r="I1525" s="19">
        <f>COUNTIF(Tabela1[NF],Tabela1[[#This Row],[NF]])</f>
        <v>0</v>
      </c>
      <c r="J1525" s="22"/>
      <c r="K1525" s="21">
        <v>46059</v>
      </c>
      <c r="L1525" s="22"/>
      <c r="M1525" s="22"/>
      <c r="N1525" s="14" t="str" cm="1">
        <f t="array" ref="N1525">_xlfn.XLOOKUP(TRIM(D1525),TRIM(DFC!A:A),DFC!A:A,"NÃO ESTÁ NA DFC")</f>
        <v xml:space="preserve">          SALÁRIOS</v>
      </c>
    </row>
    <row r="1526" spans="1:14" customFormat="1" ht="15" customHeight="1" x14ac:dyDescent="0.3">
      <c r="A1526" s="19"/>
      <c r="B1526" s="21">
        <v>46059</v>
      </c>
      <c r="C1526" s="21" t="s">
        <v>15</v>
      </c>
      <c r="D1526" s="21" t="s">
        <v>117</v>
      </c>
      <c r="E1526" s="20"/>
      <c r="F1526" s="22" t="s">
        <v>320</v>
      </c>
      <c r="G1526" s="252">
        <v>1391.55</v>
      </c>
      <c r="H1526" s="19"/>
      <c r="I1526" s="19">
        <f>COUNTIF(Tabela1[NF],Tabela1[[#This Row],[NF]])</f>
        <v>0</v>
      </c>
      <c r="J1526" s="22"/>
      <c r="K1526" s="21">
        <v>46059</v>
      </c>
      <c r="L1526" s="22"/>
      <c r="M1526" s="22"/>
      <c r="N1526" s="14" t="str" cm="1">
        <f t="array" ref="N1526">_xlfn.XLOOKUP(TRIM(D1526),TRIM(DFC!A:A),DFC!A:A,"NÃO ESTÁ NA DFC")</f>
        <v xml:space="preserve">          SALÁRIOS</v>
      </c>
    </row>
    <row r="1527" spans="1:14" customFormat="1" ht="15" customHeight="1" x14ac:dyDescent="0.3">
      <c r="A1527" s="19"/>
      <c r="B1527" s="21">
        <v>46059</v>
      </c>
      <c r="C1527" s="21" t="s">
        <v>15</v>
      </c>
      <c r="D1527" s="21" t="s">
        <v>117</v>
      </c>
      <c r="E1527" s="20"/>
      <c r="F1527" s="22" t="s">
        <v>595</v>
      </c>
      <c r="G1527" s="252">
        <v>409.47</v>
      </c>
      <c r="H1527" s="19"/>
      <c r="I1527" s="19">
        <f>COUNTIF(Tabela1[NF],Tabela1[[#This Row],[NF]])</f>
        <v>0</v>
      </c>
      <c r="J1527" s="22"/>
      <c r="K1527" s="21">
        <v>46059</v>
      </c>
      <c r="L1527" s="22"/>
      <c r="M1527" s="22"/>
      <c r="N1527" s="14" t="str" cm="1">
        <f t="array" ref="N1527">_xlfn.XLOOKUP(TRIM(D1527),TRIM(DFC!A:A),DFC!A:A,"NÃO ESTÁ NA DFC")</f>
        <v xml:space="preserve">          SALÁRIOS</v>
      </c>
    </row>
    <row r="1528" spans="1:14" customFormat="1" ht="15" customHeight="1" x14ac:dyDescent="0.3">
      <c r="A1528" s="19"/>
      <c r="B1528" s="21">
        <v>46059</v>
      </c>
      <c r="C1528" s="21" t="s">
        <v>15</v>
      </c>
      <c r="D1528" s="21" t="s">
        <v>117</v>
      </c>
      <c r="E1528" s="20"/>
      <c r="F1528" s="22" t="s">
        <v>327</v>
      </c>
      <c r="G1528" s="252">
        <v>1989.8</v>
      </c>
      <c r="H1528" s="19"/>
      <c r="I1528" s="19">
        <f>COUNTIF(Tabela1[NF],Tabela1[[#This Row],[NF]])</f>
        <v>0</v>
      </c>
      <c r="J1528" s="22"/>
      <c r="K1528" s="21">
        <v>46059</v>
      </c>
      <c r="L1528" s="22"/>
      <c r="M1528" s="22"/>
      <c r="N1528" s="14" t="str" cm="1">
        <f t="array" ref="N1528">_xlfn.XLOOKUP(TRIM(D1528),TRIM(DFC!A:A),DFC!A:A,"NÃO ESTÁ NA DFC")</f>
        <v xml:space="preserve">          SALÁRIOS</v>
      </c>
    </row>
    <row r="1529" spans="1:14" customFormat="1" ht="15" customHeight="1" x14ac:dyDescent="0.3">
      <c r="A1529" s="19"/>
      <c r="B1529" s="21">
        <v>46059</v>
      </c>
      <c r="C1529" s="21" t="s">
        <v>15</v>
      </c>
      <c r="D1529" s="21" t="s">
        <v>117</v>
      </c>
      <c r="E1529" s="20"/>
      <c r="F1529" s="22" t="s">
        <v>322</v>
      </c>
      <c r="G1529" s="252">
        <v>1719.64</v>
      </c>
      <c r="H1529" s="19"/>
      <c r="I1529" s="19">
        <f>COUNTIF(Tabela1[NF],Tabela1[[#This Row],[NF]])</f>
        <v>0</v>
      </c>
      <c r="J1529" s="22"/>
      <c r="K1529" s="21">
        <v>46059</v>
      </c>
      <c r="L1529" s="22"/>
      <c r="M1529" s="22"/>
      <c r="N1529" s="14" t="str" cm="1">
        <f t="array" ref="N1529">_xlfn.XLOOKUP(TRIM(D1529),TRIM(DFC!A:A),DFC!A:A,"NÃO ESTÁ NA DFC")</f>
        <v xml:space="preserve">          SALÁRIOS</v>
      </c>
    </row>
    <row r="1530" spans="1:14" customFormat="1" ht="15" customHeight="1" x14ac:dyDescent="0.3">
      <c r="A1530" s="19"/>
      <c r="B1530" s="21">
        <v>46059</v>
      </c>
      <c r="C1530" s="21" t="s">
        <v>15</v>
      </c>
      <c r="D1530" s="21" t="s">
        <v>117</v>
      </c>
      <c r="E1530" s="20"/>
      <c r="F1530" s="22" t="s">
        <v>326</v>
      </c>
      <c r="G1530" s="252">
        <v>2498.5</v>
      </c>
      <c r="H1530" s="19"/>
      <c r="I1530" s="19">
        <f>COUNTIF(Tabela1[NF],Tabela1[[#This Row],[NF]])</f>
        <v>0</v>
      </c>
      <c r="J1530" s="22"/>
      <c r="K1530" s="21">
        <v>46059</v>
      </c>
      <c r="L1530" s="22"/>
      <c r="M1530" s="22"/>
      <c r="N1530" s="14" t="str" cm="1">
        <f t="array" ref="N1530">_xlfn.XLOOKUP(TRIM(D1530),TRIM(DFC!A:A),DFC!A:A,"NÃO ESTÁ NA DFC")</f>
        <v xml:space="preserve">          SALÁRIOS</v>
      </c>
    </row>
    <row r="1531" spans="1:14" customFormat="1" ht="15" customHeight="1" x14ac:dyDescent="0.3">
      <c r="A1531" s="19"/>
      <c r="B1531" s="21">
        <v>46059</v>
      </c>
      <c r="C1531" s="21" t="s">
        <v>15</v>
      </c>
      <c r="D1531" s="21" t="s">
        <v>117</v>
      </c>
      <c r="E1531" s="20"/>
      <c r="F1531" s="22" t="s">
        <v>632</v>
      </c>
      <c r="G1531" s="252">
        <v>511.71</v>
      </c>
      <c r="H1531" s="19"/>
      <c r="I1531" s="19">
        <f>COUNTIF(Tabela1[NF],Tabela1[[#This Row],[NF]])</f>
        <v>0</v>
      </c>
      <c r="J1531" s="22"/>
      <c r="K1531" s="21">
        <v>46059</v>
      </c>
      <c r="L1531" s="22"/>
      <c r="M1531" s="22"/>
      <c r="N1531" s="14" t="str" cm="1">
        <f t="array" ref="N1531">_xlfn.XLOOKUP(TRIM(D1531),TRIM(DFC!A:A),DFC!A:A,"NÃO ESTÁ NA DFC")</f>
        <v xml:space="preserve">          SALÁRIOS</v>
      </c>
    </row>
    <row r="1532" spans="1:14" customFormat="1" ht="15" customHeight="1" x14ac:dyDescent="0.3">
      <c r="A1532" s="19"/>
      <c r="B1532" s="21">
        <v>46059</v>
      </c>
      <c r="C1532" s="21" t="s">
        <v>15</v>
      </c>
      <c r="D1532" s="21" t="s">
        <v>40</v>
      </c>
      <c r="E1532" s="20" t="s">
        <v>633</v>
      </c>
      <c r="F1532" s="22" t="s">
        <v>634</v>
      </c>
      <c r="G1532" s="252">
        <v>1400</v>
      </c>
      <c r="H1532" s="19"/>
      <c r="I1532" s="19">
        <f>COUNTIF(Tabela1[NF],Tabela1[[#This Row],[NF]])</f>
        <v>0</v>
      </c>
      <c r="J1532" s="22"/>
      <c r="K1532" s="21">
        <v>46059</v>
      </c>
      <c r="L1532" s="22"/>
      <c r="M1532" s="22"/>
      <c r="N1532" s="14" t="str" cm="1">
        <f t="array" ref="N1532">_xlfn.XLOOKUP(TRIM(D1532),TRIM(DFC!A:A),DFC!A:A,"NÃO ESTÁ NA DFC")</f>
        <v xml:space="preserve">         SERVIÇO TERCEIRIZADO</v>
      </c>
    </row>
    <row r="1533" spans="1:14" customFormat="1" ht="15" customHeight="1" x14ac:dyDescent="0.3">
      <c r="A1533" s="19"/>
      <c r="B1533" s="21">
        <v>46059</v>
      </c>
      <c r="C1533" s="21" t="s">
        <v>15</v>
      </c>
      <c r="D1533" s="21" t="s">
        <v>82</v>
      </c>
      <c r="E1533" s="20" t="s">
        <v>164</v>
      </c>
      <c r="F1533" s="22" t="s">
        <v>411</v>
      </c>
      <c r="G1533" s="252">
        <v>160</v>
      </c>
      <c r="H1533" s="19"/>
      <c r="I1533" s="19">
        <f>COUNTIF(Tabela1[NF],Tabela1[[#This Row],[NF]])</f>
        <v>0</v>
      </c>
      <c r="J1533" s="22"/>
      <c r="K1533" s="21">
        <v>46059</v>
      </c>
      <c r="L1533" s="22"/>
      <c r="M1533" s="22"/>
      <c r="N1533" s="14" t="str" cm="1">
        <f t="array" ref="N1533">_xlfn.XLOOKUP(TRIM(D1533),TRIM(DFC!A:A),DFC!A:A,"NÃO ESTÁ NA DFC")</f>
        <v xml:space="preserve">          DIÁRIAS</v>
      </c>
    </row>
    <row r="1534" spans="1:14" customFormat="1" ht="15" customHeight="1" x14ac:dyDescent="0.3">
      <c r="A1534" s="19"/>
      <c r="B1534" s="21">
        <v>46059</v>
      </c>
      <c r="C1534" s="21" t="s">
        <v>15</v>
      </c>
      <c r="D1534" s="21" t="s">
        <v>156</v>
      </c>
      <c r="E1534" s="20" t="s">
        <v>597</v>
      </c>
      <c r="F1534" s="22" t="s">
        <v>314</v>
      </c>
      <c r="G1534" s="252">
        <v>4437.5</v>
      </c>
      <c r="H1534" s="19"/>
      <c r="I1534" s="19">
        <f>COUNTIF(Tabela1[NF],Tabela1[[#This Row],[NF]])</f>
        <v>0</v>
      </c>
      <c r="J1534" s="22"/>
      <c r="K1534" s="21">
        <v>46059</v>
      </c>
      <c r="L1534" s="22"/>
      <c r="M1534" s="22"/>
      <c r="N1534" s="14" t="str" cm="1">
        <f t="array" ref="N1534">_xlfn.XLOOKUP(TRIM(D1534),TRIM(DFC!A:A),DFC!A:A,"NÃO ESTÁ NA DFC")</f>
        <v xml:space="preserve">      MONTAGEM DE RODAS</v>
      </c>
    </row>
    <row r="1535" spans="1:14" customFormat="1" ht="15" customHeight="1" x14ac:dyDescent="0.3">
      <c r="A1535" s="19"/>
      <c r="B1535" s="21">
        <v>46062</v>
      </c>
      <c r="C1535" s="21" t="s">
        <v>15</v>
      </c>
      <c r="D1535" s="21" t="s">
        <v>117</v>
      </c>
      <c r="E1535" s="20"/>
      <c r="F1535" s="22" t="s">
        <v>326</v>
      </c>
      <c r="G1535" s="252">
        <v>118.05</v>
      </c>
      <c r="H1535" s="19"/>
      <c r="I1535" s="19">
        <f>COUNTIF(Tabela1[NF],Tabela1[[#This Row],[NF]])</f>
        <v>0</v>
      </c>
      <c r="J1535" s="22"/>
      <c r="K1535" s="21">
        <v>46062</v>
      </c>
      <c r="L1535" s="22"/>
      <c r="M1535" s="22"/>
      <c r="N1535" s="14" t="str" cm="1">
        <f t="array" ref="N1535">_xlfn.XLOOKUP(TRIM(D1535),TRIM(DFC!A:A),DFC!A:A,"NÃO ESTÁ NA DFC")</f>
        <v xml:space="preserve">          SALÁRIOS</v>
      </c>
    </row>
    <row r="1536" spans="1:14" customFormat="1" ht="15" customHeight="1" x14ac:dyDescent="0.3">
      <c r="A1536" s="19"/>
      <c r="B1536" s="21">
        <v>46062</v>
      </c>
      <c r="C1536" s="21" t="s">
        <v>15</v>
      </c>
      <c r="D1536" s="21" t="s">
        <v>19</v>
      </c>
      <c r="E1536" s="20" t="s">
        <v>635</v>
      </c>
      <c r="F1536" s="22" t="s">
        <v>161</v>
      </c>
      <c r="G1536" s="252">
        <v>1440</v>
      </c>
      <c r="H1536" s="19"/>
      <c r="I1536" s="19">
        <f>COUNTIF(Tabela1[NF],Tabela1[[#This Row],[NF]])</f>
        <v>0</v>
      </c>
      <c r="J1536" s="22"/>
      <c r="K1536" s="21">
        <v>46062</v>
      </c>
      <c r="L1536" s="22"/>
      <c r="M1536" s="22"/>
      <c r="N1536" s="14" t="str" cm="1">
        <f t="array" ref="N1536">_xlfn.XLOOKUP(TRIM(D1536),TRIM(DFC!A:A),DFC!A:A,"NÃO ESTÁ NA DFC")</f>
        <v xml:space="preserve">      PEÇAS</v>
      </c>
    </row>
    <row r="1537" spans="1:14" customFormat="1" ht="15" customHeight="1" x14ac:dyDescent="0.3">
      <c r="A1537" s="19"/>
      <c r="B1537" s="21">
        <v>46062</v>
      </c>
      <c r="C1537" s="21" t="s">
        <v>15</v>
      </c>
      <c r="D1537" s="21" t="s">
        <v>19</v>
      </c>
      <c r="E1537" s="20" t="s">
        <v>573</v>
      </c>
      <c r="F1537" s="22" t="s">
        <v>574</v>
      </c>
      <c r="G1537" s="252">
        <v>3250</v>
      </c>
      <c r="H1537" s="19"/>
      <c r="I1537" s="19">
        <f>COUNTIF(Tabela1[NF],Tabela1[[#This Row],[NF]])</f>
        <v>0</v>
      </c>
      <c r="J1537" s="22"/>
      <c r="K1537" s="21">
        <v>46062</v>
      </c>
      <c r="L1537" s="22"/>
      <c r="M1537" s="22"/>
      <c r="N1537" s="14" t="str" cm="1">
        <f t="array" ref="N1537">_xlfn.XLOOKUP(TRIM(D1537),TRIM(DFC!A:A),DFC!A:A,"NÃO ESTÁ NA DFC")</f>
        <v xml:space="preserve">      PEÇAS</v>
      </c>
    </row>
    <row r="1538" spans="1:14" customFormat="1" ht="15" customHeight="1" x14ac:dyDescent="0.3">
      <c r="A1538" s="19"/>
      <c r="B1538" s="21">
        <v>46062</v>
      </c>
      <c r="C1538" s="21" t="s">
        <v>15</v>
      </c>
      <c r="D1538" s="21" t="s">
        <v>82</v>
      </c>
      <c r="E1538" s="20"/>
      <c r="F1538" s="22" t="s">
        <v>624</v>
      </c>
      <c r="G1538" s="252">
        <v>500</v>
      </c>
      <c r="H1538" s="19"/>
      <c r="I1538" s="19">
        <f>COUNTIF(Tabela1[NF],Tabela1[[#This Row],[NF]])</f>
        <v>0</v>
      </c>
      <c r="J1538" s="22"/>
      <c r="K1538" s="21">
        <v>46062</v>
      </c>
      <c r="L1538" s="22"/>
      <c r="M1538" s="22"/>
      <c r="N1538" s="14" t="str" cm="1">
        <f t="array" ref="N1538">_xlfn.XLOOKUP(TRIM(D1538),TRIM(DFC!A:A),DFC!A:A,"NÃO ESTÁ NA DFC")</f>
        <v xml:space="preserve">          DIÁRIAS</v>
      </c>
    </row>
    <row r="1539" spans="1:14" customFormat="1" ht="15" customHeight="1" x14ac:dyDescent="0.3">
      <c r="A1539" s="19"/>
      <c r="B1539" s="21">
        <v>46062</v>
      </c>
      <c r="C1539" s="21" t="s">
        <v>15</v>
      </c>
      <c r="D1539" s="21" t="s">
        <v>43</v>
      </c>
      <c r="E1539" s="20" t="s">
        <v>636</v>
      </c>
      <c r="F1539" s="22" t="s">
        <v>474</v>
      </c>
      <c r="G1539" s="252">
        <v>2000</v>
      </c>
      <c r="H1539" s="19"/>
      <c r="I1539" s="19">
        <f>COUNTIF(Tabela1[NF],Tabela1[[#This Row],[NF]])</f>
        <v>0</v>
      </c>
      <c r="J1539" s="22"/>
      <c r="K1539" s="21">
        <v>46062</v>
      </c>
      <c r="L1539" s="22"/>
      <c r="M1539" s="22"/>
      <c r="N1539" s="14" t="str" cm="1">
        <f t="array" ref="N1539">_xlfn.XLOOKUP(TRIM(D1539),TRIM(DFC!A:A),DFC!A:A,"NÃO ESTÁ NA DFC")</f>
        <v xml:space="preserve">          TRABALHISTA</v>
      </c>
    </row>
    <row r="1540" spans="1:14" customFormat="1" ht="15" customHeight="1" x14ac:dyDescent="0.3">
      <c r="A1540" s="19"/>
      <c r="B1540" s="21">
        <v>46062</v>
      </c>
      <c r="C1540" s="21" t="s">
        <v>15</v>
      </c>
      <c r="D1540" s="21" t="s">
        <v>82</v>
      </c>
      <c r="E1540" s="20"/>
      <c r="F1540" s="22" t="s">
        <v>353</v>
      </c>
      <c r="G1540" s="252">
        <v>200</v>
      </c>
      <c r="H1540" s="19"/>
      <c r="I1540" s="19">
        <f>COUNTIF(Tabela1[NF],Tabela1[[#This Row],[NF]])</f>
        <v>0</v>
      </c>
      <c r="J1540" s="22"/>
      <c r="K1540" s="21">
        <v>46062</v>
      </c>
      <c r="L1540" s="22"/>
      <c r="M1540" s="22"/>
      <c r="N1540" s="14" t="str" cm="1">
        <f t="array" ref="N1540">_xlfn.XLOOKUP(TRIM(D1540),TRIM(DFC!A:A),DFC!A:A,"NÃO ESTÁ NA DFC")</f>
        <v xml:space="preserve">          DIÁRIAS</v>
      </c>
    </row>
    <row r="1541" spans="1:14" customFormat="1" ht="15" customHeight="1" x14ac:dyDescent="0.3">
      <c r="A1541" s="19"/>
      <c r="B1541" s="21">
        <v>46062</v>
      </c>
      <c r="C1541" s="21" t="s">
        <v>15</v>
      </c>
      <c r="D1541" s="21" t="s">
        <v>117</v>
      </c>
      <c r="E1541" s="20"/>
      <c r="F1541" s="22" t="s">
        <v>637</v>
      </c>
      <c r="G1541" s="252">
        <v>1599.99</v>
      </c>
      <c r="H1541" s="19"/>
      <c r="I1541" s="19">
        <f>COUNTIF(Tabela1[NF],Tabela1[[#This Row],[NF]])</f>
        <v>0</v>
      </c>
      <c r="J1541" s="22"/>
      <c r="K1541" s="21">
        <v>46062</v>
      </c>
      <c r="L1541" s="22"/>
      <c r="M1541" s="22"/>
      <c r="N1541" s="14" t="str" cm="1">
        <f t="array" ref="N1541">_xlfn.XLOOKUP(TRIM(D1541),TRIM(DFC!A:A),DFC!A:A,"NÃO ESTÁ NA DFC")</f>
        <v xml:space="preserve">          SALÁRIOS</v>
      </c>
    </row>
    <row r="1542" spans="1:14" customFormat="1" ht="15" customHeight="1" x14ac:dyDescent="0.3">
      <c r="A1542" s="19"/>
      <c r="B1542" s="21">
        <v>46062</v>
      </c>
      <c r="C1542" s="21" t="s">
        <v>15</v>
      </c>
      <c r="D1542" s="21" t="s">
        <v>40</v>
      </c>
      <c r="E1542" s="20" t="s">
        <v>638</v>
      </c>
      <c r="F1542" s="22" t="s">
        <v>296</v>
      </c>
      <c r="G1542" s="252">
        <v>1118</v>
      </c>
      <c r="H1542" s="19"/>
      <c r="I1542" s="19">
        <f>COUNTIF(Tabela1[NF],Tabela1[[#This Row],[NF]])</f>
        <v>0</v>
      </c>
      <c r="J1542" s="22"/>
      <c r="K1542" s="21">
        <v>46062</v>
      </c>
      <c r="L1542" s="22"/>
      <c r="M1542" s="22"/>
      <c r="N1542" s="14" t="str" cm="1">
        <f t="array" ref="N1542">_xlfn.XLOOKUP(TRIM(D1542),TRIM(DFC!A:A),DFC!A:A,"NÃO ESTÁ NA DFC")</f>
        <v xml:space="preserve">         SERVIÇO TERCEIRIZADO</v>
      </c>
    </row>
    <row r="1543" spans="1:14" customFormat="1" ht="15" customHeight="1" x14ac:dyDescent="0.3">
      <c r="A1543" s="19"/>
      <c r="B1543" s="21">
        <v>46062</v>
      </c>
      <c r="C1543" s="21" t="s">
        <v>15</v>
      </c>
      <c r="D1543" s="21" t="s">
        <v>40</v>
      </c>
      <c r="E1543" s="20" t="s">
        <v>639</v>
      </c>
      <c r="F1543" s="22" t="s">
        <v>522</v>
      </c>
      <c r="G1543" s="252">
        <v>4837</v>
      </c>
      <c r="H1543" s="19"/>
      <c r="I1543" s="19">
        <f>COUNTIF(Tabela1[NF],Tabela1[[#This Row],[NF]])</f>
        <v>0</v>
      </c>
      <c r="J1543" s="22"/>
      <c r="K1543" s="21">
        <v>46062</v>
      </c>
      <c r="L1543" s="22"/>
      <c r="M1543" s="22"/>
      <c r="N1543" s="14" t="str" cm="1">
        <f t="array" ref="N1543">_xlfn.XLOOKUP(TRIM(D1543),TRIM(DFC!A:A),DFC!A:A,"NÃO ESTÁ NA DFC")</f>
        <v xml:space="preserve">         SERVIÇO TERCEIRIZADO</v>
      </c>
    </row>
    <row r="1544" spans="1:14" customFormat="1" ht="15" customHeight="1" x14ac:dyDescent="0.3">
      <c r="A1544" s="19"/>
      <c r="B1544" s="21">
        <v>46062</v>
      </c>
      <c r="C1544" s="21" t="s">
        <v>15</v>
      </c>
      <c r="D1544" s="21" t="s">
        <v>137</v>
      </c>
      <c r="E1544" s="20"/>
      <c r="F1544" s="22" t="s">
        <v>323</v>
      </c>
      <c r="G1544" s="252">
        <v>1120</v>
      </c>
      <c r="H1544" s="19"/>
      <c r="I1544" s="19">
        <f>COUNTIF(Tabela1[NF],Tabela1[[#This Row],[NF]])</f>
        <v>0</v>
      </c>
      <c r="J1544" s="22"/>
      <c r="K1544" s="21">
        <v>46062</v>
      </c>
      <c r="L1544" s="22"/>
      <c r="M1544" s="22"/>
      <c r="N1544" s="14" t="str" cm="1">
        <f t="array" ref="N1544">_xlfn.XLOOKUP(TRIM(D1544),TRIM(DFC!A:A),DFC!A:A,"NÃO ESTÁ NA DFC")</f>
        <v xml:space="preserve">          TICKET ALIMENTAÇÃO</v>
      </c>
    </row>
    <row r="1545" spans="1:14" customFormat="1" ht="15" customHeight="1" x14ac:dyDescent="0.3">
      <c r="A1545" s="19"/>
      <c r="B1545" s="21">
        <v>46062</v>
      </c>
      <c r="C1545" s="21" t="s">
        <v>15</v>
      </c>
      <c r="D1545" s="21" t="s">
        <v>137</v>
      </c>
      <c r="E1545" s="20"/>
      <c r="F1545" s="22" t="s">
        <v>327</v>
      </c>
      <c r="G1545" s="252">
        <v>280</v>
      </c>
      <c r="H1545" s="19"/>
      <c r="I1545" s="19">
        <f>COUNTIF(Tabela1[NF],Tabela1[[#This Row],[NF]])</f>
        <v>0</v>
      </c>
      <c r="J1545" s="22"/>
      <c r="K1545" s="21">
        <v>46062</v>
      </c>
      <c r="L1545" s="22"/>
      <c r="M1545" s="22"/>
      <c r="N1545" s="14" t="str" cm="1">
        <f t="array" ref="N1545">_xlfn.XLOOKUP(TRIM(D1545),TRIM(DFC!A:A),DFC!A:A,"NÃO ESTÁ NA DFC")</f>
        <v xml:space="preserve">          TICKET ALIMENTAÇÃO</v>
      </c>
    </row>
    <row r="1546" spans="1:14" customFormat="1" ht="15" customHeight="1" x14ac:dyDescent="0.3">
      <c r="A1546" s="19"/>
      <c r="B1546" s="21">
        <v>46062</v>
      </c>
      <c r="C1546" s="21" t="s">
        <v>15</v>
      </c>
      <c r="D1546" s="21" t="s">
        <v>98</v>
      </c>
      <c r="E1546" s="20"/>
      <c r="F1546" s="22" t="s">
        <v>640</v>
      </c>
      <c r="G1546" s="252">
        <v>50</v>
      </c>
      <c r="H1546" s="19"/>
      <c r="I1546" s="19">
        <f>COUNTIF(Tabela1[NF],Tabela1[[#This Row],[NF]])</f>
        <v>0</v>
      </c>
      <c r="J1546" s="22"/>
      <c r="K1546" s="21">
        <v>46062</v>
      </c>
      <c r="L1546" s="22"/>
      <c r="M1546" s="22"/>
      <c r="N1546" s="14" t="str" cm="1">
        <f t="array" ref="N1546">_xlfn.XLOOKUP(TRIM(D1546),TRIM(DFC!A:A),DFC!A:A,"NÃO ESTÁ NA DFC")</f>
        <v xml:space="preserve">     REEMBOLSO SAC</v>
      </c>
    </row>
    <row r="1547" spans="1:14" customFormat="1" ht="15" customHeight="1" x14ac:dyDescent="0.3">
      <c r="A1547" s="19"/>
      <c r="B1547" s="21">
        <v>46062</v>
      </c>
      <c r="C1547" s="21" t="s">
        <v>15</v>
      </c>
      <c r="D1547" s="21" t="s">
        <v>98</v>
      </c>
      <c r="E1547" s="20"/>
      <c r="F1547" s="22" t="s">
        <v>641</v>
      </c>
      <c r="G1547" s="252">
        <v>65</v>
      </c>
      <c r="H1547" s="19"/>
      <c r="I1547" s="19">
        <f>COUNTIF(Tabela1[NF],Tabela1[[#This Row],[NF]])</f>
        <v>0</v>
      </c>
      <c r="J1547" s="22"/>
      <c r="K1547" s="21">
        <v>46062</v>
      </c>
      <c r="L1547" s="22"/>
      <c r="M1547" s="22"/>
      <c r="N1547" s="14" t="str" cm="1">
        <f t="array" ref="N1547">_xlfn.XLOOKUP(TRIM(D1547),TRIM(DFC!A:A),DFC!A:A,"NÃO ESTÁ NA DFC")</f>
        <v xml:space="preserve">     REEMBOLSO SAC</v>
      </c>
    </row>
    <row r="1548" spans="1:14" customFormat="1" ht="15" customHeight="1" x14ac:dyDescent="0.3">
      <c r="A1548" s="19"/>
      <c r="B1548" s="21">
        <v>46062</v>
      </c>
      <c r="C1548" s="21" t="s">
        <v>15</v>
      </c>
      <c r="D1548" s="21" t="s">
        <v>98</v>
      </c>
      <c r="E1548" s="20"/>
      <c r="F1548" s="22" t="s">
        <v>642</v>
      </c>
      <c r="G1548" s="252">
        <v>20</v>
      </c>
      <c r="H1548" s="19"/>
      <c r="I1548" s="19">
        <f>COUNTIF(Tabela1[NF],Tabela1[[#This Row],[NF]])</f>
        <v>0</v>
      </c>
      <c r="J1548" s="22"/>
      <c r="K1548" s="21">
        <v>46062</v>
      </c>
      <c r="L1548" s="22"/>
      <c r="M1548" s="22"/>
      <c r="N1548" s="14" t="str" cm="1">
        <f t="array" ref="N1548">_xlfn.XLOOKUP(TRIM(D1548),TRIM(DFC!A:A),DFC!A:A,"NÃO ESTÁ NA DFC")</f>
        <v xml:space="preserve">     REEMBOLSO SAC</v>
      </c>
    </row>
    <row r="1549" spans="1:14" customFormat="1" ht="15" customHeight="1" x14ac:dyDescent="0.3">
      <c r="A1549" s="19"/>
      <c r="B1549" s="21">
        <v>46062</v>
      </c>
      <c r="C1549" s="21" t="s">
        <v>15</v>
      </c>
      <c r="D1549" s="21" t="s">
        <v>82</v>
      </c>
      <c r="E1549" s="20"/>
      <c r="F1549" s="22" t="s">
        <v>643</v>
      </c>
      <c r="G1549" s="252">
        <v>404.19</v>
      </c>
      <c r="H1549" s="19"/>
      <c r="I1549" s="19">
        <f>COUNTIF(Tabela1[NF],Tabela1[[#This Row],[NF]])</f>
        <v>0</v>
      </c>
      <c r="J1549" s="22"/>
      <c r="K1549" s="21">
        <v>46062</v>
      </c>
      <c r="L1549" s="22"/>
      <c r="M1549" s="22"/>
      <c r="N1549" s="14" t="str" cm="1">
        <f t="array" ref="N1549">_xlfn.XLOOKUP(TRIM(D1549),TRIM(DFC!A:A),DFC!A:A,"NÃO ESTÁ NA DFC")</f>
        <v xml:space="preserve">          DIÁRIAS</v>
      </c>
    </row>
    <row r="1550" spans="1:14" customFormat="1" ht="15" customHeight="1" x14ac:dyDescent="0.3">
      <c r="A1550" s="19"/>
      <c r="B1550" s="21">
        <v>46062</v>
      </c>
      <c r="C1550" s="21" t="s">
        <v>15</v>
      </c>
      <c r="D1550" s="21" t="s">
        <v>19</v>
      </c>
      <c r="E1550" s="20"/>
      <c r="F1550" s="22" t="s">
        <v>315</v>
      </c>
      <c r="G1550" s="252">
        <v>5015.0200000000004</v>
      </c>
      <c r="H1550" s="19"/>
      <c r="I1550" s="19">
        <f>COUNTIF(Tabela1[NF],Tabela1[[#This Row],[NF]])</f>
        <v>0</v>
      </c>
      <c r="J1550" s="22"/>
      <c r="K1550" s="21">
        <v>46062</v>
      </c>
      <c r="L1550" s="22"/>
      <c r="M1550" s="22"/>
      <c r="N1550" s="14" t="str" cm="1">
        <f t="array" ref="N1550">_xlfn.XLOOKUP(TRIM(D1550),TRIM(DFC!A:A),DFC!A:A,"NÃO ESTÁ NA DFC")</f>
        <v xml:space="preserve">      PEÇAS</v>
      </c>
    </row>
    <row r="1551" spans="1:14" customFormat="1" ht="15" customHeight="1" x14ac:dyDescent="0.3">
      <c r="A1551" s="19"/>
      <c r="B1551" s="21">
        <v>46062</v>
      </c>
      <c r="C1551" s="21" t="s">
        <v>15</v>
      </c>
      <c r="D1551" s="21" t="s">
        <v>37</v>
      </c>
      <c r="E1551" s="20"/>
      <c r="F1551" s="22" t="s">
        <v>341</v>
      </c>
      <c r="G1551" s="252">
        <v>45.8</v>
      </c>
      <c r="H1551" s="19"/>
      <c r="I1551" s="19">
        <f>COUNTIF(Tabela1[NF],Tabela1[[#This Row],[NF]])</f>
        <v>0</v>
      </c>
      <c r="J1551" s="22"/>
      <c r="K1551" s="21">
        <v>46062</v>
      </c>
      <c r="L1551" s="22"/>
      <c r="M1551" s="22"/>
      <c r="N1551" s="14" t="str" cm="1">
        <f t="array" ref="N1551">_xlfn.XLOOKUP(TRIM(D1551),TRIM(DFC!A:A),DFC!A:A,"NÃO ESTÁ NA DFC")</f>
        <v xml:space="preserve">          MATERIAL DE ESCRITÓRIO</v>
      </c>
    </row>
    <row r="1552" spans="1:14" customFormat="1" ht="15" customHeight="1" x14ac:dyDescent="0.3">
      <c r="A1552" s="19"/>
      <c r="B1552" s="21">
        <v>46062</v>
      </c>
      <c r="C1552" s="21" t="s">
        <v>15</v>
      </c>
      <c r="D1552" s="21" t="s">
        <v>19</v>
      </c>
      <c r="E1552" s="20"/>
      <c r="F1552" s="22" t="s">
        <v>228</v>
      </c>
      <c r="G1552" s="252">
        <v>5461.91</v>
      </c>
      <c r="H1552" s="19"/>
      <c r="I1552" s="19">
        <f>COUNTIF(Tabela1[NF],Tabela1[[#This Row],[NF]])</f>
        <v>0</v>
      </c>
      <c r="J1552" s="22"/>
      <c r="K1552" s="21">
        <v>46062</v>
      </c>
      <c r="L1552" s="22"/>
      <c r="M1552" s="22"/>
      <c r="N1552" s="14" t="str" cm="1">
        <f t="array" ref="N1552">_xlfn.XLOOKUP(TRIM(D1552),TRIM(DFC!A:A),DFC!A:A,"NÃO ESTÁ NA DFC")</f>
        <v xml:space="preserve">      PEÇAS</v>
      </c>
    </row>
    <row r="1553" spans="1:14" customFormat="1" ht="15" customHeight="1" x14ac:dyDescent="0.3">
      <c r="A1553" s="19"/>
      <c r="B1553" s="21">
        <v>46062</v>
      </c>
      <c r="C1553" s="21" t="s">
        <v>15</v>
      </c>
      <c r="D1553" s="21" t="s">
        <v>19</v>
      </c>
      <c r="E1553" s="20"/>
      <c r="F1553" s="22" t="s">
        <v>228</v>
      </c>
      <c r="G1553" s="252">
        <v>3464.23</v>
      </c>
      <c r="H1553" s="19"/>
      <c r="I1553" s="19">
        <f>COUNTIF(Tabela1[NF],Tabela1[[#This Row],[NF]])</f>
        <v>0</v>
      </c>
      <c r="J1553" s="22"/>
      <c r="K1553" s="21">
        <v>46062</v>
      </c>
      <c r="L1553" s="22"/>
      <c r="M1553" s="22"/>
      <c r="N1553" s="14" t="str" cm="1">
        <f t="array" ref="N1553">_xlfn.XLOOKUP(TRIM(D1553),TRIM(DFC!A:A),DFC!A:A,"NÃO ESTÁ NA DFC")</f>
        <v xml:space="preserve">      PEÇAS</v>
      </c>
    </row>
    <row r="1554" spans="1:14" customFormat="1" ht="15" customHeight="1" x14ac:dyDescent="0.3">
      <c r="A1554" s="19"/>
      <c r="B1554" s="21">
        <v>46062</v>
      </c>
      <c r="C1554" s="21" t="s">
        <v>15</v>
      </c>
      <c r="D1554" s="21" t="s">
        <v>19</v>
      </c>
      <c r="E1554" s="20"/>
      <c r="F1554" s="22" t="s">
        <v>315</v>
      </c>
      <c r="G1554" s="252">
        <v>1671.68</v>
      </c>
      <c r="H1554" s="19"/>
      <c r="I1554" s="19">
        <f>COUNTIF(Tabela1[NF],Tabela1[[#This Row],[NF]])</f>
        <v>0</v>
      </c>
      <c r="J1554" s="22"/>
      <c r="K1554" s="21">
        <v>46062</v>
      </c>
      <c r="L1554" s="22"/>
      <c r="M1554" s="22"/>
      <c r="N1554" s="14" t="str" cm="1">
        <f t="array" ref="N1554">_xlfn.XLOOKUP(TRIM(D1554),TRIM(DFC!A:A),DFC!A:A,"NÃO ESTÁ NA DFC")</f>
        <v xml:space="preserve">      PEÇAS</v>
      </c>
    </row>
    <row r="1555" spans="1:14" customFormat="1" ht="15" customHeight="1" x14ac:dyDescent="0.3">
      <c r="A1555" s="19"/>
      <c r="B1555" s="21">
        <v>46062</v>
      </c>
      <c r="C1555" s="21" t="s">
        <v>15</v>
      </c>
      <c r="D1555" s="21" t="s">
        <v>19</v>
      </c>
      <c r="E1555" s="20"/>
      <c r="F1555" s="22" t="s">
        <v>405</v>
      </c>
      <c r="G1555" s="252">
        <v>2950</v>
      </c>
      <c r="H1555" s="19"/>
      <c r="I1555" s="19">
        <f>COUNTIF(Tabela1[NF],Tabela1[[#This Row],[NF]])</f>
        <v>0</v>
      </c>
      <c r="J1555" s="22"/>
      <c r="K1555" s="21">
        <v>46062</v>
      </c>
      <c r="L1555" s="22"/>
      <c r="M1555" s="22"/>
      <c r="N1555" s="14" t="str" cm="1">
        <f t="array" ref="N1555">_xlfn.XLOOKUP(TRIM(D1555),TRIM(DFC!A:A),DFC!A:A,"NÃO ESTÁ NA DFC")</f>
        <v xml:space="preserve">      PEÇAS</v>
      </c>
    </row>
    <row r="1556" spans="1:14" customFormat="1" ht="15" customHeight="1" x14ac:dyDescent="0.3">
      <c r="A1556" s="19"/>
      <c r="B1556" s="21">
        <v>46062</v>
      </c>
      <c r="C1556" s="21" t="s">
        <v>15</v>
      </c>
      <c r="D1556" s="21" t="s">
        <v>19</v>
      </c>
      <c r="E1556" s="20"/>
      <c r="F1556" s="22" t="s">
        <v>405</v>
      </c>
      <c r="G1556" s="252">
        <v>983.34</v>
      </c>
      <c r="H1556" s="19"/>
      <c r="I1556" s="19">
        <f>COUNTIF(Tabela1[NF],Tabela1[[#This Row],[NF]])</f>
        <v>0</v>
      </c>
      <c r="J1556" s="22"/>
      <c r="K1556" s="21">
        <v>46062</v>
      </c>
      <c r="L1556" s="22"/>
      <c r="M1556" s="22"/>
      <c r="N1556" s="14" t="str" cm="1">
        <f t="array" ref="N1556">_xlfn.XLOOKUP(TRIM(D1556),TRIM(DFC!A:A),DFC!A:A,"NÃO ESTÁ NA DFC")</f>
        <v xml:space="preserve">      PEÇAS</v>
      </c>
    </row>
    <row r="1557" spans="1:14" customFormat="1" ht="15" customHeight="1" x14ac:dyDescent="0.3">
      <c r="A1557" s="19"/>
      <c r="B1557" s="21">
        <v>46062</v>
      </c>
      <c r="C1557" s="21" t="s">
        <v>15</v>
      </c>
      <c r="D1557" s="21" t="s">
        <v>19</v>
      </c>
      <c r="E1557" s="20"/>
      <c r="F1557" s="22" t="s">
        <v>297</v>
      </c>
      <c r="G1557" s="252">
        <v>1858.72</v>
      </c>
      <c r="H1557" s="19"/>
      <c r="I1557" s="19">
        <f>COUNTIF(Tabela1[NF],Tabela1[[#This Row],[NF]])</f>
        <v>0</v>
      </c>
      <c r="J1557" s="22"/>
      <c r="K1557" s="21">
        <v>46062</v>
      </c>
      <c r="L1557" s="22"/>
      <c r="M1557" s="22"/>
      <c r="N1557" s="14" t="str" cm="1">
        <f t="array" ref="N1557">_xlfn.XLOOKUP(TRIM(D1557),TRIM(DFC!A:A),DFC!A:A,"NÃO ESTÁ NA DFC")</f>
        <v xml:space="preserve">      PEÇAS</v>
      </c>
    </row>
    <row r="1558" spans="1:14" customFormat="1" ht="15" customHeight="1" x14ac:dyDescent="0.3">
      <c r="A1558" s="19"/>
      <c r="B1558" s="21">
        <v>46062</v>
      </c>
      <c r="C1558" s="21" t="s">
        <v>15</v>
      </c>
      <c r="D1558" s="21" t="s">
        <v>19</v>
      </c>
      <c r="E1558" s="20"/>
      <c r="F1558" s="22" t="s">
        <v>228</v>
      </c>
      <c r="G1558" s="252">
        <v>1522.4</v>
      </c>
      <c r="H1558" s="19"/>
      <c r="I1558" s="19">
        <f>COUNTIF(Tabela1[NF],Tabela1[[#This Row],[NF]])</f>
        <v>0</v>
      </c>
      <c r="J1558" s="22"/>
      <c r="K1558" s="21">
        <v>46062</v>
      </c>
      <c r="L1558" s="22"/>
      <c r="M1558" s="22"/>
      <c r="N1558" s="14" t="str" cm="1">
        <f t="array" ref="N1558">_xlfn.XLOOKUP(TRIM(D1558),TRIM(DFC!A:A),DFC!A:A,"NÃO ESTÁ NA DFC")</f>
        <v xml:space="preserve">      PEÇAS</v>
      </c>
    </row>
    <row r="1559" spans="1:14" customFormat="1" ht="15" customHeight="1" x14ac:dyDescent="0.3">
      <c r="A1559" s="19"/>
      <c r="B1559" s="21">
        <v>46062</v>
      </c>
      <c r="C1559" s="21" t="s">
        <v>15</v>
      </c>
      <c r="D1559" s="21" t="s">
        <v>19</v>
      </c>
      <c r="E1559" s="20"/>
      <c r="F1559" s="22" t="s">
        <v>132</v>
      </c>
      <c r="G1559" s="252">
        <v>2233.25</v>
      </c>
      <c r="H1559" s="19"/>
      <c r="I1559" s="19">
        <f>COUNTIF(Tabela1[NF],Tabela1[[#This Row],[NF]])</f>
        <v>0</v>
      </c>
      <c r="J1559" s="22"/>
      <c r="K1559" s="21">
        <v>46062</v>
      </c>
      <c r="L1559" s="22"/>
      <c r="M1559" s="22"/>
      <c r="N1559" s="14" t="str" cm="1">
        <f t="array" ref="N1559">_xlfn.XLOOKUP(TRIM(D1559),TRIM(DFC!A:A),DFC!A:A,"NÃO ESTÁ NA DFC")</f>
        <v xml:space="preserve">      PEÇAS</v>
      </c>
    </row>
    <row r="1560" spans="1:14" customFormat="1" ht="15" customHeight="1" x14ac:dyDescent="0.3">
      <c r="A1560" s="19"/>
      <c r="B1560" s="21">
        <v>46062</v>
      </c>
      <c r="C1560" s="21" t="s">
        <v>15</v>
      </c>
      <c r="D1560" s="21" t="s">
        <v>19</v>
      </c>
      <c r="E1560" s="20"/>
      <c r="F1560" s="22" t="s">
        <v>297</v>
      </c>
      <c r="G1560" s="252">
        <v>1179.05</v>
      </c>
      <c r="H1560" s="19"/>
      <c r="I1560" s="19">
        <f>COUNTIF(Tabela1[NF],Tabela1[[#This Row],[NF]])</f>
        <v>0</v>
      </c>
      <c r="J1560" s="22"/>
      <c r="K1560" s="21">
        <v>46062</v>
      </c>
      <c r="L1560" s="22"/>
      <c r="M1560" s="22"/>
      <c r="N1560" s="14" t="str" cm="1">
        <f t="array" ref="N1560">_xlfn.XLOOKUP(TRIM(D1560),TRIM(DFC!A:A),DFC!A:A,"NÃO ESTÁ NA DFC")</f>
        <v xml:space="preserve">      PEÇAS</v>
      </c>
    </row>
    <row r="1561" spans="1:14" customFormat="1" ht="15" customHeight="1" x14ac:dyDescent="0.3">
      <c r="A1561" s="19"/>
      <c r="B1561" s="21">
        <v>46062</v>
      </c>
      <c r="C1561" s="21" t="s">
        <v>15</v>
      </c>
      <c r="D1561" s="21" t="s">
        <v>19</v>
      </c>
      <c r="E1561" s="20"/>
      <c r="F1561" s="22" t="s">
        <v>343</v>
      </c>
      <c r="G1561" s="252">
        <v>888.36</v>
      </c>
      <c r="H1561" s="19"/>
      <c r="I1561" s="19">
        <f>COUNTIF(Tabela1[NF],Tabela1[[#This Row],[NF]])</f>
        <v>0</v>
      </c>
      <c r="J1561" s="22"/>
      <c r="K1561" s="21">
        <v>46062</v>
      </c>
      <c r="L1561" s="22"/>
      <c r="M1561" s="22"/>
      <c r="N1561" s="14" t="str" cm="1">
        <f t="array" ref="N1561">_xlfn.XLOOKUP(TRIM(D1561),TRIM(DFC!A:A),DFC!A:A,"NÃO ESTÁ NA DFC")</f>
        <v xml:space="preserve">      PEÇAS</v>
      </c>
    </row>
    <row r="1562" spans="1:14" customFormat="1" ht="15" customHeight="1" x14ac:dyDescent="0.3">
      <c r="A1562" s="19"/>
      <c r="B1562" s="21">
        <v>46062</v>
      </c>
      <c r="C1562" s="21" t="s">
        <v>15</v>
      </c>
      <c r="D1562" s="21" t="s">
        <v>154</v>
      </c>
      <c r="E1562" s="20"/>
      <c r="F1562" s="22" t="s">
        <v>302</v>
      </c>
      <c r="G1562" s="252">
        <v>2959.83</v>
      </c>
      <c r="H1562" s="19"/>
      <c r="I1562" s="19">
        <f>COUNTIF(Tabela1[NF],Tabela1[[#This Row],[NF]])</f>
        <v>0</v>
      </c>
      <c r="J1562" s="22"/>
      <c r="K1562" s="21">
        <v>46062</v>
      </c>
      <c r="L1562" s="22"/>
      <c r="M1562" s="22"/>
      <c r="N1562" s="14" t="str" cm="1">
        <f t="array" ref="N1562">_xlfn.XLOOKUP(TRIM(D1562),TRIM(DFC!A:A),DFC!A:A,"NÃO ESTÁ NA DFC")</f>
        <v xml:space="preserve">      EMBALAGENS</v>
      </c>
    </row>
    <row r="1563" spans="1:14" customFormat="1" ht="15" customHeight="1" x14ac:dyDescent="0.3">
      <c r="A1563" s="19"/>
      <c r="B1563" s="21">
        <v>46062</v>
      </c>
      <c r="C1563" s="21" t="s">
        <v>15</v>
      </c>
      <c r="D1563" s="21" t="s">
        <v>19</v>
      </c>
      <c r="E1563" s="20"/>
      <c r="F1563" s="22" t="s">
        <v>228</v>
      </c>
      <c r="G1563" s="252">
        <v>1688.5</v>
      </c>
      <c r="H1563" s="19"/>
      <c r="I1563" s="19">
        <f>COUNTIF(Tabela1[NF],Tabela1[[#This Row],[NF]])</f>
        <v>0</v>
      </c>
      <c r="J1563" s="22"/>
      <c r="K1563" s="21">
        <v>46062</v>
      </c>
      <c r="L1563" s="22"/>
      <c r="M1563" s="22"/>
      <c r="N1563" s="14" t="str" cm="1">
        <f t="array" ref="N1563">_xlfn.XLOOKUP(TRIM(D1563),TRIM(DFC!A:A),DFC!A:A,"NÃO ESTÁ NA DFC")</f>
        <v xml:space="preserve">      PEÇAS</v>
      </c>
    </row>
    <row r="1564" spans="1:14" customFormat="1" ht="15" customHeight="1" x14ac:dyDescent="0.3">
      <c r="A1564" s="19"/>
      <c r="B1564" s="21">
        <v>46062</v>
      </c>
      <c r="C1564" s="21" t="s">
        <v>15</v>
      </c>
      <c r="D1564" s="21" t="s">
        <v>19</v>
      </c>
      <c r="E1564" s="20"/>
      <c r="F1564" s="22" t="s">
        <v>382</v>
      </c>
      <c r="G1564" s="252">
        <v>2970</v>
      </c>
      <c r="H1564" s="19"/>
      <c r="I1564" s="19">
        <f>COUNTIF(Tabela1[NF],Tabela1[[#This Row],[NF]])</f>
        <v>0</v>
      </c>
      <c r="J1564" s="22"/>
      <c r="K1564" s="21">
        <v>46062</v>
      </c>
      <c r="L1564" s="22"/>
      <c r="M1564" s="22"/>
      <c r="N1564" s="14" t="str" cm="1">
        <f t="array" ref="N1564">_xlfn.XLOOKUP(TRIM(D1564),TRIM(DFC!A:A),DFC!A:A,"NÃO ESTÁ NA DFC")</f>
        <v xml:space="preserve">      PEÇAS</v>
      </c>
    </row>
    <row r="1565" spans="1:14" customFormat="1" ht="15" customHeight="1" x14ac:dyDescent="0.3">
      <c r="A1565" s="19"/>
      <c r="B1565" s="21">
        <v>46062</v>
      </c>
      <c r="C1565" s="21" t="s">
        <v>15</v>
      </c>
      <c r="D1565" s="21" t="s">
        <v>19</v>
      </c>
      <c r="E1565" s="20"/>
      <c r="F1565" s="22" t="s">
        <v>30</v>
      </c>
      <c r="G1565" s="252">
        <v>36819</v>
      </c>
      <c r="H1565" s="19"/>
      <c r="I1565" s="19">
        <f>COUNTIF(Tabela1[NF],Tabela1[[#This Row],[NF]])</f>
        <v>0</v>
      </c>
      <c r="J1565" s="22"/>
      <c r="K1565" s="21">
        <v>46062</v>
      </c>
      <c r="L1565" s="22"/>
      <c r="M1565" s="22"/>
      <c r="N1565" s="14" t="str" cm="1">
        <f t="array" ref="N1565">_xlfn.XLOOKUP(TRIM(D1565),TRIM(DFC!A:A),DFC!A:A,"NÃO ESTÁ NA DFC")</f>
        <v xml:space="preserve">      PEÇAS</v>
      </c>
    </row>
    <row r="1566" spans="1:14" customFormat="1" ht="15" customHeight="1" x14ac:dyDescent="0.3">
      <c r="A1566" s="19"/>
      <c r="B1566" s="21">
        <v>46063</v>
      </c>
      <c r="C1566" s="21" t="s">
        <v>15</v>
      </c>
      <c r="D1566" s="21" t="s">
        <v>123</v>
      </c>
      <c r="E1566" s="20"/>
      <c r="F1566" s="22" t="s">
        <v>338</v>
      </c>
      <c r="G1566" s="252">
        <v>165.2</v>
      </c>
      <c r="H1566" s="19"/>
      <c r="I1566" s="19">
        <f>COUNTIF(Tabela1[NF],Tabela1[[#This Row],[NF]])</f>
        <v>0</v>
      </c>
      <c r="J1566" s="22"/>
      <c r="K1566" s="21">
        <v>46063</v>
      </c>
      <c r="L1566" s="22"/>
      <c r="M1566" s="22"/>
      <c r="N1566" s="14" t="str" cm="1">
        <f t="array" ref="N1566">_xlfn.XLOOKUP(TRIM(D1566),TRIM(DFC!A:A),DFC!A:A,"NÃO ESTÁ NA DFC")</f>
        <v xml:space="preserve">          SEGURO DE VIDA</v>
      </c>
    </row>
    <row r="1567" spans="1:14" customFormat="1" ht="15" customHeight="1" x14ac:dyDescent="0.3">
      <c r="A1567" s="19"/>
      <c r="B1567" s="21">
        <v>46063</v>
      </c>
      <c r="C1567" s="21" t="s">
        <v>15</v>
      </c>
      <c r="D1567" s="21" t="s">
        <v>40</v>
      </c>
      <c r="E1567" s="20" t="s">
        <v>181</v>
      </c>
      <c r="F1567" s="22" t="s">
        <v>342</v>
      </c>
      <c r="G1567" s="252">
        <v>120</v>
      </c>
      <c r="H1567" s="19"/>
      <c r="I1567" s="19">
        <f>COUNTIF(Tabela1[NF],Tabela1[[#This Row],[NF]])</f>
        <v>0</v>
      </c>
      <c r="J1567" s="22"/>
      <c r="K1567" s="21">
        <v>46063</v>
      </c>
      <c r="L1567" s="22"/>
      <c r="M1567" s="22"/>
      <c r="N1567" s="14" t="str" cm="1">
        <f t="array" ref="N1567">_xlfn.XLOOKUP(TRIM(D1567),TRIM(DFC!A:A),DFC!A:A,"NÃO ESTÁ NA DFC")</f>
        <v xml:space="preserve">         SERVIÇO TERCEIRIZADO</v>
      </c>
    </row>
    <row r="1568" spans="1:14" customFormat="1" ht="15" customHeight="1" x14ac:dyDescent="0.3">
      <c r="A1568" s="19"/>
      <c r="B1568" s="21">
        <v>46063</v>
      </c>
      <c r="C1568" s="21" t="s">
        <v>15</v>
      </c>
      <c r="D1568" s="21" t="s">
        <v>19</v>
      </c>
      <c r="E1568" s="20"/>
      <c r="F1568" s="22" t="s">
        <v>228</v>
      </c>
      <c r="G1568" s="252">
        <v>6543.04</v>
      </c>
      <c r="H1568" s="19"/>
      <c r="I1568" s="19">
        <f>COUNTIF(Tabela1[NF],Tabela1[[#This Row],[NF]])</f>
        <v>0</v>
      </c>
      <c r="J1568" s="22"/>
      <c r="K1568" s="21">
        <v>46063</v>
      </c>
      <c r="L1568" s="22"/>
      <c r="M1568" s="22"/>
      <c r="N1568" s="14" t="str" cm="1">
        <f t="array" ref="N1568">_xlfn.XLOOKUP(TRIM(D1568),TRIM(DFC!A:A),DFC!A:A,"NÃO ESTÁ NA DFC")</f>
        <v xml:space="preserve">      PEÇAS</v>
      </c>
    </row>
    <row r="1569" spans="1:14" customFormat="1" ht="15" customHeight="1" x14ac:dyDescent="0.3">
      <c r="A1569" s="19"/>
      <c r="B1569" s="21">
        <v>46063</v>
      </c>
      <c r="C1569" s="21" t="s">
        <v>15</v>
      </c>
      <c r="D1569" s="21" t="s">
        <v>19</v>
      </c>
      <c r="E1569" s="20"/>
      <c r="F1569" s="22" t="s">
        <v>300</v>
      </c>
      <c r="G1569" s="252">
        <v>1754.14</v>
      </c>
      <c r="H1569" s="19"/>
      <c r="I1569" s="19">
        <f>COUNTIF(Tabela1[NF],Tabela1[[#This Row],[NF]])</f>
        <v>0</v>
      </c>
      <c r="J1569" s="22"/>
      <c r="K1569" s="21">
        <v>46063</v>
      </c>
      <c r="L1569" s="22"/>
      <c r="M1569" s="22"/>
      <c r="N1569" s="14" t="str" cm="1">
        <f t="array" ref="N1569">_xlfn.XLOOKUP(TRIM(D1569),TRIM(DFC!A:A),DFC!A:A,"NÃO ESTÁ NA DFC")</f>
        <v xml:space="preserve">      PEÇAS</v>
      </c>
    </row>
    <row r="1570" spans="1:14" customFormat="1" ht="15" customHeight="1" x14ac:dyDescent="0.3">
      <c r="A1570" s="19"/>
      <c r="B1570" s="21">
        <v>46063</v>
      </c>
      <c r="C1570" s="21" t="s">
        <v>15</v>
      </c>
      <c r="D1570" s="21" t="s">
        <v>154</v>
      </c>
      <c r="E1570" s="20"/>
      <c r="F1570" s="22" t="s">
        <v>394</v>
      </c>
      <c r="G1570" s="252">
        <v>1084.1199999999999</v>
      </c>
      <c r="H1570" s="19"/>
      <c r="I1570" s="19">
        <f>COUNTIF(Tabela1[NF],Tabela1[[#This Row],[NF]])</f>
        <v>0</v>
      </c>
      <c r="J1570" s="22"/>
      <c r="K1570" s="21">
        <v>46063</v>
      </c>
      <c r="L1570" s="22"/>
      <c r="M1570" s="22"/>
      <c r="N1570" s="14" t="str" cm="1">
        <f t="array" ref="N1570">_xlfn.XLOOKUP(TRIM(D1570),TRIM(DFC!A:A),DFC!A:A,"NÃO ESTÁ NA DFC")</f>
        <v xml:space="preserve">      EMBALAGENS</v>
      </c>
    </row>
    <row r="1571" spans="1:14" customFormat="1" ht="15" customHeight="1" x14ac:dyDescent="0.3">
      <c r="A1571" s="19"/>
      <c r="B1571" s="21">
        <v>46063</v>
      </c>
      <c r="C1571" s="21" t="s">
        <v>15</v>
      </c>
      <c r="D1571" s="21" t="s">
        <v>19</v>
      </c>
      <c r="E1571" s="20"/>
      <c r="F1571" s="22" t="s">
        <v>195</v>
      </c>
      <c r="G1571" s="252">
        <v>719.8</v>
      </c>
      <c r="H1571" s="19"/>
      <c r="I1571" s="19">
        <f>COUNTIF(Tabela1[NF],Tabela1[[#This Row],[NF]])</f>
        <v>0</v>
      </c>
      <c r="J1571" s="22"/>
      <c r="K1571" s="21">
        <v>46063</v>
      </c>
      <c r="L1571" s="22"/>
      <c r="M1571" s="22"/>
      <c r="N1571" s="14" t="str" cm="1">
        <f t="array" ref="N1571">_xlfn.XLOOKUP(TRIM(D1571),TRIM(DFC!A:A),DFC!A:A,"NÃO ESTÁ NA DFC")</f>
        <v xml:space="preserve">      PEÇAS</v>
      </c>
    </row>
    <row r="1572" spans="1:14" customFormat="1" ht="15" customHeight="1" x14ac:dyDescent="0.3">
      <c r="A1572" s="19"/>
      <c r="B1572" s="21">
        <v>46063</v>
      </c>
      <c r="C1572" s="21" t="s">
        <v>15</v>
      </c>
      <c r="D1572" s="21" t="s">
        <v>19</v>
      </c>
      <c r="E1572" s="20"/>
      <c r="F1572" s="22" t="s">
        <v>186</v>
      </c>
      <c r="G1572" s="252">
        <v>649.4</v>
      </c>
      <c r="H1572" s="19"/>
      <c r="I1572" s="19">
        <f>COUNTIF(Tabela1[NF],Tabela1[[#This Row],[NF]])</f>
        <v>0</v>
      </c>
      <c r="J1572" s="22"/>
      <c r="K1572" s="21">
        <v>46063</v>
      </c>
      <c r="L1572" s="22"/>
      <c r="M1572" s="22"/>
      <c r="N1572" s="14" t="str" cm="1">
        <f t="array" ref="N1572">_xlfn.XLOOKUP(TRIM(D1572),TRIM(DFC!A:A),DFC!A:A,"NÃO ESTÁ NA DFC")</f>
        <v xml:space="preserve">      PEÇAS</v>
      </c>
    </row>
    <row r="1573" spans="1:14" customFormat="1" ht="15" customHeight="1" x14ac:dyDescent="0.3">
      <c r="A1573" s="19"/>
      <c r="B1573" s="21">
        <v>46063</v>
      </c>
      <c r="C1573" s="21" t="s">
        <v>15</v>
      </c>
      <c r="D1573" s="21" t="s">
        <v>28</v>
      </c>
      <c r="E1573" s="20"/>
      <c r="F1573" s="22" t="s">
        <v>187</v>
      </c>
      <c r="G1573" s="252">
        <v>250</v>
      </c>
      <c r="H1573" s="19"/>
      <c r="I1573" s="19">
        <f>COUNTIF(Tabela1[NF],Tabela1[[#This Row],[NF]])</f>
        <v>0</v>
      </c>
      <c r="J1573" s="22"/>
      <c r="K1573" s="21">
        <v>46063</v>
      </c>
      <c r="L1573" s="22"/>
      <c r="M1573" s="22"/>
      <c r="N1573" s="14" t="str" cm="1">
        <f t="array" ref="N1573">_xlfn.XLOOKUP(TRIM(D1573),TRIM(DFC!A:A),DFC!A:A,"NÃO ESTÁ NA DFC")</f>
        <v xml:space="preserve">          FERRAMENTAS PARA MANUTENÇÃO</v>
      </c>
    </row>
    <row r="1574" spans="1:14" customFormat="1" ht="15" customHeight="1" x14ac:dyDescent="0.3">
      <c r="A1574" s="19"/>
      <c r="B1574" s="21">
        <v>46063</v>
      </c>
      <c r="C1574" s="21" t="s">
        <v>15</v>
      </c>
      <c r="D1574" s="21" t="s">
        <v>644</v>
      </c>
      <c r="E1574" s="20"/>
      <c r="F1574" s="22" t="s">
        <v>645</v>
      </c>
      <c r="G1574" s="252">
        <v>498</v>
      </c>
      <c r="H1574" s="19"/>
      <c r="I1574" s="19">
        <f>COUNTIF(Tabela1[NF],Tabela1[[#This Row],[NF]])</f>
        <v>0</v>
      </c>
      <c r="J1574" s="22"/>
      <c r="K1574" s="21">
        <v>46063</v>
      </c>
      <c r="L1574" s="22"/>
      <c r="M1574" s="22"/>
      <c r="N1574" s="14" t="str" cm="1">
        <f t="array" ref="N1574">_xlfn.XLOOKUP(TRIM(D1574),TRIM(DFC!A:A),DFC!A:A,"NÃO ESTÁ NA DFC")</f>
        <v xml:space="preserve">         MARCAS E PATENTES</v>
      </c>
    </row>
    <row r="1575" spans="1:14" customFormat="1" ht="15" customHeight="1" x14ac:dyDescent="0.3">
      <c r="A1575" s="19"/>
      <c r="B1575" s="21">
        <v>46063</v>
      </c>
      <c r="C1575" s="21" t="s">
        <v>15</v>
      </c>
      <c r="D1575" s="21" t="s">
        <v>644</v>
      </c>
      <c r="E1575" s="20"/>
      <c r="F1575" s="22" t="s">
        <v>645</v>
      </c>
      <c r="G1575" s="252">
        <v>498</v>
      </c>
      <c r="H1575" s="19"/>
      <c r="I1575" s="19">
        <f>COUNTIF(Tabela1[NF],Tabela1[[#This Row],[NF]])</f>
        <v>0</v>
      </c>
      <c r="J1575" s="22"/>
      <c r="K1575" s="21">
        <v>46063</v>
      </c>
      <c r="L1575" s="22"/>
      <c r="M1575" s="22"/>
      <c r="N1575" s="14" t="str" cm="1">
        <f t="array" ref="N1575">_xlfn.XLOOKUP(TRIM(D1575),TRIM(DFC!A:A),DFC!A:A,"NÃO ESTÁ NA DFC")</f>
        <v xml:space="preserve">         MARCAS E PATENTES</v>
      </c>
    </row>
    <row r="1576" spans="1:14" customFormat="1" ht="15" customHeight="1" x14ac:dyDescent="0.3">
      <c r="A1576" s="19"/>
      <c r="B1576" s="21">
        <v>46063</v>
      </c>
      <c r="C1576" s="21" t="s">
        <v>15</v>
      </c>
      <c r="D1576" s="21" t="s">
        <v>27</v>
      </c>
      <c r="E1576" s="20"/>
      <c r="F1576" s="22" t="s">
        <v>227</v>
      </c>
      <c r="G1576" s="252">
        <v>2235.36</v>
      </c>
      <c r="H1576" s="19"/>
      <c r="I1576" s="19">
        <f>COUNTIF(Tabela1[NF],Tabela1[[#This Row],[NF]])</f>
        <v>0</v>
      </c>
      <c r="J1576" s="22"/>
      <c r="K1576" s="21">
        <v>46063</v>
      </c>
      <c r="L1576" s="22"/>
      <c r="M1576" s="22"/>
      <c r="N1576" s="14" t="str" cm="1">
        <f t="array" ref="N1576">_xlfn.XLOOKUP(TRIM(D1576),TRIM(DFC!A:A),DFC!A:A,"NÃO ESTÁ NA DFC")</f>
        <v xml:space="preserve">         ERP</v>
      </c>
    </row>
    <row r="1577" spans="1:14" customFormat="1" ht="15" customHeight="1" x14ac:dyDescent="0.3">
      <c r="A1577" s="19"/>
      <c r="B1577" s="21">
        <v>46063</v>
      </c>
      <c r="C1577" s="21" t="s">
        <v>15</v>
      </c>
      <c r="D1577" s="21" t="s">
        <v>156</v>
      </c>
      <c r="E1577" s="20" t="s">
        <v>597</v>
      </c>
      <c r="F1577" s="22" t="s">
        <v>314</v>
      </c>
      <c r="G1577" s="252">
        <v>3875</v>
      </c>
      <c r="H1577" s="19"/>
      <c r="I1577" s="19">
        <f>COUNTIF(Tabela1[NF],Tabela1[[#This Row],[NF]])</f>
        <v>0</v>
      </c>
      <c r="J1577" s="22"/>
      <c r="K1577" s="21">
        <v>46063</v>
      </c>
      <c r="L1577" s="22"/>
      <c r="M1577" s="22"/>
      <c r="N1577" s="14" t="str" cm="1">
        <f t="array" ref="N1577">_xlfn.XLOOKUP(TRIM(D1577),TRIM(DFC!A:A),DFC!A:A,"NÃO ESTÁ NA DFC")</f>
        <v xml:space="preserve">      MONTAGEM DE RODAS</v>
      </c>
    </row>
    <row r="1578" spans="1:14" customFormat="1" ht="15" customHeight="1" x14ac:dyDescent="0.3">
      <c r="A1578" s="19"/>
      <c r="B1578" s="21">
        <v>46063</v>
      </c>
      <c r="C1578" s="21" t="s">
        <v>15</v>
      </c>
      <c r="D1578" s="21" t="s">
        <v>111</v>
      </c>
      <c r="E1578" s="20"/>
      <c r="F1578" s="22" t="s">
        <v>339</v>
      </c>
      <c r="G1578" s="252">
        <v>53.76</v>
      </c>
      <c r="H1578" s="19"/>
      <c r="I1578" s="19">
        <f>COUNTIF(Tabela1[NF],Tabela1[[#This Row],[NF]])</f>
        <v>0</v>
      </c>
      <c r="J1578" s="22"/>
      <c r="K1578" s="21">
        <v>46063</v>
      </c>
      <c r="L1578" s="22"/>
      <c r="M1578" s="22"/>
      <c r="N1578" s="14" t="str" cm="1">
        <f t="array" ref="N1578">_xlfn.XLOOKUP(TRIM(D1578),TRIM(DFC!A:A),DFC!A:A,"NÃO ESTÁ NA DFC")</f>
        <v xml:space="preserve">          TX. BANCÁRIA</v>
      </c>
    </row>
    <row r="1579" spans="1:14" customFormat="1" ht="15" customHeight="1" x14ac:dyDescent="0.3">
      <c r="A1579" s="19"/>
      <c r="B1579" s="21">
        <v>46063</v>
      </c>
      <c r="C1579" s="21" t="s">
        <v>15</v>
      </c>
      <c r="D1579" s="21" t="s">
        <v>43</v>
      </c>
      <c r="E1579" s="20" t="s">
        <v>646</v>
      </c>
      <c r="F1579" s="22" t="s">
        <v>647</v>
      </c>
      <c r="G1579" s="252">
        <v>1000</v>
      </c>
      <c r="H1579" s="19"/>
      <c r="I1579" s="19">
        <f>COUNTIF(Tabela1[NF],Tabela1[[#This Row],[NF]])</f>
        <v>0</v>
      </c>
      <c r="J1579" s="22"/>
      <c r="K1579" s="21">
        <v>46063</v>
      </c>
      <c r="L1579" s="22"/>
      <c r="M1579" s="22"/>
      <c r="N1579" s="14" t="str" cm="1">
        <f t="array" ref="N1579">_xlfn.XLOOKUP(TRIM(D1579),TRIM(DFC!A:A),DFC!A:A,"NÃO ESTÁ NA DFC")</f>
        <v xml:space="preserve">          TRABALHISTA</v>
      </c>
    </row>
    <row r="1580" spans="1:14" customFormat="1" ht="15" customHeight="1" x14ac:dyDescent="0.3">
      <c r="A1580" s="19"/>
      <c r="B1580" s="21">
        <v>46063</v>
      </c>
      <c r="C1580" s="21" t="s">
        <v>15</v>
      </c>
      <c r="D1580" s="21" t="s">
        <v>19</v>
      </c>
      <c r="E1580" s="20" t="s">
        <v>583</v>
      </c>
      <c r="F1580" s="22" t="s">
        <v>585</v>
      </c>
      <c r="G1580" s="252">
        <v>17252.62</v>
      </c>
      <c r="H1580" s="19"/>
      <c r="I1580" s="19">
        <f>COUNTIF(Tabela1[NF],Tabela1[[#This Row],[NF]])</f>
        <v>0</v>
      </c>
      <c r="J1580" s="22"/>
      <c r="K1580" s="21">
        <v>46063</v>
      </c>
      <c r="L1580" s="22"/>
      <c r="M1580" s="22"/>
      <c r="N1580" s="14" t="str" cm="1">
        <f t="array" ref="N1580">_xlfn.XLOOKUP(TRIM(D1580),TRIM(DFC!A:A),DFC!A:A,"NÃO ESTÁ NA DFC")</f>
        <v xml:space="preserve">      PEÇAS</v>
      </c>
    </row>
    <row r="1581" spans="1:14" customFormat="1" ht="15" customHeight="1" x14ac:dyDescent="0.3">
      <c r="A1581" s="19"/>
      <c r="B1581" s="21">
        <v>46063</v>
      </c>
      <c r="C1581" s="21" t="s">
        <v>15</v>
      </c>
      <c r="D1581" s="21" t="s">
        <v>111</v>
      </c>
      <c r="E1581" s="20"/>
      <c r="F1581" s="22" t="s">
        <v>648</v>
      </c>
      <c r="G1581" s="252">
        <v>32</v>
      </c>
      <c r="H1581" s="19"/>
      <c r="I1581" s="19">
        <f>COUNTIF(Tabela1[NF],Tabela1[[#This Row],[NF]])</f>
        <v>0</v>
      </c>
      <c r="J1581" s="22"/>
      <c r="K1581" s="21">
        <v>46063</v>
      </c>
      <c r="L1581" s="22"/>
      <c r="M1581" s="22"/>
      <c r="N1581" s="14" t="str" cm="1">
        <f t="array" ref="N1581">_xlfn.XLOOKUP(TRIM(D1581),TRIM(DFC!A:A),DFC!A:A,"NÃO ESTÁ NA DFC")</f>
        <v xml:space="preserve">          TX. BANCÁRIA</v>
      </c>
    </row>
    <row r="1582" spans="1:14" customFormat="1" ht="15" customHeight="1" x14ac:dyDescent="0.3">
      <c r="A1582" s="19"/>
      <c r="B1582" s="21">
        <v>46063</v>
      </c>
      <c r="C1582" s="21" t="s">
        <v>15</v>
      </c>
      <c r="D1582" s="21" t="s">
        <v>111</v>
      </c>
      <c r="E1582" s="20"/>
      <c r="F1582" s="22" t="s">
        <v>346</v>
      </c>
      <c r="G1582" s="252">
        <v>99.13</v>
      </c>
      <c r="H1582" s="19"/>
      <c r="I1582" s="19">
        <f>COUNTIF(Tabela1[NF],Tabela1[[#This Row],[NF]])</f>
        <v>0</v>
      </c>
      <c r="J1582" s="22"/>
      <c r="K1582" s="21">
        <v>46063</v>
      </c>
      <c r="L1582" s="22"/>
      <c r="M1582" s="22"/>
      <c r="N1582" s="14" t="str" cm="1">
        <f t="array" ref="N1582">_xlfn.XLOOKUP(TRIM(D1582),TRIM(DFC!A:A),DFC!A:A,"NÃO ESTÁ NA DFC")</f>
        <v xml:space="preserve">          TX. BANCÁRIA</v>
      </c>
    </row>
    <row r="1583" spans="1:14" customFormat="1" ht="15" customHeight="1" x14ac:dyDescent="0.3">
      <c r="A1583" s="19"/>
      <c r="B1583" s="21">
        <v>46064</v>
      </c>
      <c r="C1583" s="21" t="s">
        <v>15</v>
      </c>
      <c r="D1583" s="21" t="s">
        <v>19</v>
      </c>
      <c r="E1583" s="20"/>
      <c r="F1583" s="22" t="s">
        <v>24</v>
      </c>
      <c r="G1583" s="252">
        <v>5113.93</v>
      </c>
      <c r="H1583" s="19"/>
      <c r="I1583" s="19">
        <f>COUNTIF(Tabela1[NF],Tabela1[[#This Row],[NF]])</f>
        <v>0</v>
      </c>
      <c r="J1583" s="22"/>
      <c r="K1583" s="21">
        <v>46064</v>
      </c>
      <c r="L1583" s="22"/>
      <c r="M1583" s="22"/>
      <c r="N1583" s="14" t="str" cm="1">
        <f t="array" ref="N1583">_xlfn.XLOOKUP(TRIM(D1583),TRIM(DFC!A:A),DFC!A:A,"NÃO ESTÁ NA DFC")</f>
        <v xml:space="preserve">      PEÇAS</v>
      </c>
    </row>
    <row r="1584" spans="1:14" customFormat="1" ht="15" customHeight="1" x14ac:dyDescent="0.3">
      <c r="A1584" s="19"/>
      <c r="B1584" s="21">
        <v>46064</v>
      </c>
      <c r="C1584" s="21" t="s">
        <v>15</v>
      </c>
      <c r="D1584" s="21" t="s">
        <v>19</v>
      </c>
      <c r="E1584" s="20"/>
      <c r="F1584" s="22" t="s">
        <v>24</v>
      </c>
      <c r="G1584" s="252">
        <v>3633.98</v>
      </c>
      <c r="H1584" s="19"/>
      <c r="I1584" s="19">
        <f>COUNTIF(Tabela1[NF],Tabela1[[#This Row],[NF]])</f>
        <v>0</v>
      </c>
      <c r="J1584" s="22"/>
      <c r="K1584" s="21">
        <v>46064</v>
      </c>
      <c r="L1584" s="22"/>
      <c r="M1584" s="22"/>
      <c r="N1584" s="14" t="str" cm="1">
        <f t="array" ref="N1584">_xlfn.XLOOKUP(TRIM(D1584),TRIM(DFC!A:A),DFC!A:A,"NÃO ESTÁ NA DFC")</f>
        <v xml:space="preserve">      PEÇAS</v>
      </c>
    </row>
    <row r="1585" spans="1:14" customFormat="1" ht="15" customHeight="1" x14ac:dyDescent="0.3">
      <c r="A1585" s="19"/>
      <c r="B1585" s="21">
        <v>46064</v>
      </c>
      <c r="C1585" s="21" t="s">
        <v>15</v>
      </c>
      <c r="D1585" s="21" t="s">
        <v>19</v>
      </c>
      <c r="E1585" s="20"/>
      <c r="F1585" s="22" t="s">
        <v>304</v>
      </c>
      <c r="G1585" s="252">
        <v>2403.44</v>
      </c>
      <c r="H1585" s="19"/>
      <c r="I1585" s="19">
        <f>COUNTIF(Tabela1[NF],Tabela1[[#This Row],[NF]])</f>
        <v>0</v>
      </c>
      <c r="J1585" s="22"/>
      <c r="K1585" s="21">
        <v>46064</v>
      </c>
      <c r="L1585" s="22"/>
      <c r="M1585" s="22"/>
      <c r="N1585" s="14" t="str" cm="1">
        <f t="array" ref="N1585">_xlfn.XLOOKUP(TRIM(D1585),TRIM(DFC!A:A),DFC!A:A,"NÃO ESTÁ NA DFC")</f>
        <v xml:space="preserve">      PEÇAS</v>
      </c>
    </row>
    <row r="1586" spans="1:14" customFormat="1" ht="15" customHeight="1" x14ac:dyDescent="0.3">
      <c r="A1586" s="19"/>
      <c r="B1586" s="21">
        <v>46064</v>
      </c>
      <c r="C1586" s="21" t="s">
        <v>15</v>
      </c>
      <c r="D1586" s="21" t="s">
        <v>29</v>
      </c>
      <c r="E1586" s="20"/>
      <c r="F1586" s="22" t="s">
        <v>318</v>
      </c>
      <c r="G1586" s="252">
        <v>1118</v>
      </c>
      <c r="H1586" s="19"/>
      <c r="I1586" s="19">
        <f>COUNTIF(Tabela1[NF],Tabela1[[#This Row],[NF]])</f>
        <v>0</v>
      </c>
      <c r="J1586" s="22"/>
      <c r="K1586" s="21">
        <v>46064</v>
      </c>
      <c r="L1586" s="22"/>
      <c r="M1586" s="22"/>
      <c r="N1586" s="14" t="str" cm="1">
        <f t="array" ref="N1586">_xlfn.XLOOKUP(TRIM(D1586),TRIM(DFC!A:A),DFC!A:A,"NÃO ESTÁ NA DFC")</f>
        <v xml:space="preserve">      FRETE DE SAÍDA</v>
      </c>
    </row>
    <row r="1587" spans="1:14" customFormat="1" ht="15" customHeight="1" x14ac:dyDescent="0.3">
      <c r="A1587" s="19"/>
      <c r="B1587" s="21">
        <v>46064</v>
      </c>
      <c r="C1587" s="21" t="s">
        <v>15</v>
      </c>
      <c r="D1587" s="21" t="s">
        <v>27</v>
      </c>
      <c r="E1587" s="20"/>
      <c r="F1587" s="22" t="s">
        <v>227</v>
      </c>
      <c r="G1587" s="252">
        <v>255</v>
      </c>
      <c r="H1587" s="19"/>
      <c r="I1587" s="19">
        <f>COUNTIF(Tabela1[NF],Tabela1[[#This Row],[NF]])</f>
        <v>0</v>
      </c>
      <c r="J1587" s="22"/>
      <c r="K1587" s="21">
        <v>46064</v>
      </c>
      <c r="L1587" s="22"/>
      <c r="M1587" s="22"/>
      <c r="N1587" s="14" t="str" cm="1">
        <f t="array" ref="N1587">_xlfn.XLOOKUP(TRIM(D1587),TRIM(DFC!A:A),DFC!A:A,"NÃO ESTÁ NA DFC")</f>
        <v xml:space="preserve">         ERP</v>
      </c>
    </row>
    <row r="1588" spans="1:14" customFormat="1" ht="15" customHeight="1" x14ac:dyDescent="0.3">
      <c r="A1588" s="19"/>
      <c r="B1588" s="21">
        <v>46064</v>
      </c>
      <c r="C1588" s="21" t="s">
        <v>15</v>
      </c>
      <c r="D1588" s="21" t="s">
        <v>107</v>
      </c>
      <c r="E1588" s="20" t="s">
        <v>649</v>
      </c>
      <c r="F1588" s="22" t="s">
        <v>361</v>
      </c>
      <c r="G1588" s="252">
        <v>3094.83</v>
      </c>
      <c r="H1588" s="19"/>
      <c r="I1588" s="19">
        <f>COUNTIF(Tabela1[NF],Tabela1[[#This Row],[NF]])</f>
        <v>0</v>
      </c>
      <c r="J1588" s="22"/>
      <c r="K1588" s="21">
        <v>46064</v>
      </c>
      <c r="L1588" s="22"/>
      <c r="M1588" s="22"/>
      <c r="N1588" s="14" t="str" cm="1">
        <f t="array" ref="N1588">_xlfn.XLOOKUP(TRIM(D1588),TRIM(DFC!A:A),DFC!A:A,"NÃO ESTÁ NA DFC")</f>
        <v xml:space="preserve">          PRÓ LABORE </v>
      </c>
    </row>
    <row r="1589" spans="1:14" customFormat="1" ht="15" customHeight="1" x14ac:dyDescent="0.3">
      <c r="A1589" s="19"/>
      <c r="B1589" s="21">
        <v>46064</v>
      </c>
      <c r="C1589" s="21" t="s">
        <v>15</v>
      </c>
      <c r="D1589" s="21" t="s">
        <v>19</v>
      </c>
      <c r="E1589" s="20"/>
      <c r="F1589" s="22" t="s">
        <v>650</v>
      </c>
      <c r="G1589" s="252">
        <v>19435</v>
      </c>
      <c r="H1589" s="19"/>
      <c r="I1589" s="19">
        <f>COUNTIF(Tabela1[NF],Tabela1[[#This Row],[NF]])</f>
        <v>0</v>
      </c>
      <c r="J1589" s="22"/>
      <c r="K1589" s="21">
        <v>46064</v>
      </c>
      <c r="L1589" s="22"/>
      <c r="M1589" s="22"/>
      <c r="N1589" s="14" t="str" cm="1">
        <f t="array" ref="N1589">_xlfn.XLOOKUP(TRIM(D1589),TRIM(DFC!A:A),DFC!A:A,"NÃO ESTÁ NA DFC")</f>
        <v xml:space="preserve">      PEÇAS</v>
      </c>
    </row>
    <row r="1590" spans="1:14" customFormat="1" ht="15" customHeight="1" x14ac:dyDescent="0.3">
      <c r="A1590" s="19"/>
      <c r="B1590" s="21">
        <v>46064</v>
      </c>
      <c r="C1590" s="21" t="s">
        <v>15</v>
      </c>
      <c r="D1590" s="21" t="s">
        <v>60</v>
      </c>
      <c r="E1590" s="20" t="s">
        <v>651</v>
      </c>
      <c r="F1590" s="22" t="s">
        <v>501</v>
      </c>
      <c r="G1590" s="252">
        <v>6567.83</v>
      </c>
      <c r="H1590" s="19"/>
      <c r="I1590" s="19">
        <f>COUNTIF(Tabela1[NF],Tabela1[[#This Row],[NF]])</f>
        <v>0</v>
      </c>
      <c r="J1590" s="22"/>
      <c r="K1590" s="21">
        <v>46064</v>
      </c>
      <c r="L1590" s="22"/>
      <c r="M1590" s="22"/>
      <c r="N1590" s="14" t="str" cm="1">
        <f t="array" ref="N1590">_xlfn.XLOOKUP(TRIM(D1590),TRIM(DFC!A:A),DFC!A:A,"NÃO ESTÁ NA DFC")</f>
        <v xml:space="preserve">          ALUGUEL</v>
      </c>
    </row>
    <row r="1591" spans="1:14" customFormat="1" ht="15" customHeight="1" x14ac:dyDescent="0.3">
      <c r="A1591" s="19"/>
      <c r="B1591" s="21">
        <v>46064</v>
      </c>
      <c r="C1591" s="21" t="s">
        <v>15</v>
      </c>
      <c r="D1591" s="21" t="s">
        <v>29</v>
      </c>
      <c r="E1591" s="20"/>
      <c r="F1591" s="22" t="s">
        <v>168</v>
      </c>
      <c r="G1591" s="252">
        <v>50</v>
      </c>
      <c r="H1591" s="19"/>
      <c r="I1591" s="19">
        <f>COUNTIF(Tabela1[NF],Tabela1[[#This Row],[NF]])</f>
        <v>0</v>
      </c>
      <c r="J1591" s="22"/>
      <c r="K1591" s="21">
        <v>46064</v>
      </c>
      <c r="L1591" s="22"/>
      <c r="M1591" s="22"/>
      <c r="N1591" s="14" t="str" cm="1">
        <f t="array" ref="N1591">_xlfn.XLOOKUP(TRIM(D1591),TRIM(DFC!A:A),DFC!A:A,"NÃO ESTÁ NA DFC")</f>
        <v xml:space="preserve">      FRETE DE SAÍDA</v>
      </c>
    </row>
    <row r="1592" spans="1:14" customFormat="1" ht="15" customHeight="1" x14ac:dyDescent="0.3">
      <c r="A1592" s="19"/>
      <c r="B1592" s="21">
        <v>46064</v>
      </c>
      <c r="C1592" s="21" t="s">
        <v>15</v>
      </c>
      <c r="D1592" s="21" t="s">
        <v>29</v>
      </c>
      <c r="E1592" s="20"/>
      <c r="F1592" s="22" t="s">
        <v>450</v>
      </c>
      <c r="G1592" s="252">
        <v>150</v>
      </c>
      <c r="H1592" s="19"/>
      <c r="I1592" s="19">
        <f>COUNTIF(Tabela1[NF],Tabela1[[#This Row],[NF]])</f>
        <v>0</v>
      </c>
      <c r="J1592" s="22"/>
      <c r="K1592" s="21">
        <v>46064</v>
      </c>
      <c r="L1592" s="22"/>
      <c r="M1592" s="22"/>
      <c r="N1592" s="14" t="str" cm="1">
        <f t="array" ref="N1592">_xlfn.XLOOKUP(TRIM(D1592),TRIM(DFC!A:A),DFC!A:A,"NÃO ESTÁ NA DFC")</f>
        <v xml:space="preserve">      FRETE DE SAÍDA</v>
      </c>
    </row>
    <row r="1593" spans="1:14" customFormat="1" ht="15" customHeight="1" x14ac:dyDescent="0.3">
      <c r="A1593" s="19"/>
      <c r="B1593" s="21">
        <v>46064</v>
      </c>
      <c r="C1593" s="21" t="s">
        <v>15</v>
      </c>
      <c r="D1593" s="21" t="s">
        <v>29</v>
      </c>
      <c r="E1593" s="20"/>
      <c r="F1593" s="22" t="s">
        <v>168</v>
      </c>
      <c r="G1593" s="252">
        <v>195</v>
      </c>
      <c r="H1593" s="19"/>
      <c r="I1593" s="19">
        <f>COUNTIF(Tabela1[NF],Tabela1[[#This Row],[NF]])</f>
        <v>0</v>
      </c>
      <c r="J1593" s="22"/>
      <c r="K1593" s="21">
        <v>46064</v>
      </c>
      <c r="L1593" s="22"/>
      <c r="M1593" s="22"/>
      <c r="N1593" s="14" t="str" cm="1">
        <f t="array" ref="N1593">_xlfn.XLOOKUP(TRIM(D1593),TRIM(DFC!A:A),DFC!A:A,"NÃO ESTÁ NA DFC")</f>
        <v xml:space="preserve">      FRETE DE SAÍDA</v>
      </c>
    </row>
    <row r="1594" spans="1:14" customFormat="1" ht="15" customHeight="1" x14ac:dyDescent="0.3">
      <c r="A1594" s="19"/>
      <c r="B1594" s="21">
        <v>46064</v>
      </c>
      <c r="C1594" s="21" t="s">
        <v>15</v>
      </c>
      <c r="D1594" s="21" t="s">
        <v>29</v>
      </c>
      <c r="E1594" s="20"/>
      <c r="F1594" s="22" t="s">
        <v>168</v>
      </c>
      <c r="G1594" s="252">
        <v>280.60000000000002</v>
      </c>
      <c r="H1594" s="19"/>
      <c r="I1594" s="19">
        <f>COUNTIF(Tabela1[NF],Tabela1[[#This Row],[NF]])</f>
        <v>0</v>
      </c>
      <c r="J1594" s="22"/>
      <c r="K1594" s="21">
        <v>46064</v>
      </c>
      <c r="L1594" s="22"/>
      <c r="M1594" s="22"/>
      <c r="N1594" s="14" t="str" cm="1">
        <f t="array" ref="N1594">_xlfn.XLOOKUP(TRIM(D1594),TRIM(DFC!A:A),DFC!A:A,"NÃO ESTÁ NA DFC")</f>
        <v xml:space="preserve">      FRETE DE SAÍDA</v>
      </c>
    </row>
    <row r="1595" spans="1:14" customFormat="1" ht="15" customHeight="1" x14ac:dyDescent="0.3">
      <c r="A1595" s="19"/>
      <c r="B1595" s="21">
        <v>46064</v>
      </c>
      <c r="C1595" s="21" t="s">
        <v>15</v>
      </c>
      <c r="D1595" s="21" t="s">
        <v>29</v>
      </c>
      <c r="E1595" s="20"/>
      <c r="F1595" s="22" t="s">
        <v>168</v>
      </c>
      <c r="G1595" s="252">
        <v>1275</v>
      </c>
      <c r="H1595" s="19"/>
      <c r="I1595" s="19">
        <f>COUNTIF(Tabela1[NF],Tabela1[[#This Row],[NF]])</f>
        <v>0</v>
      </c>
      <c r="J1595" s="22"/>
      <c r="K1595" s="21">
        <v>46064</v>
      </c>
      <c r="L1595" s="22"/>
      <c r="M1595" s="22"/>
      <c r="N1595" s="14" t="str" cm="1">
        <f t="array" ref="N1595">_xlfn.XLOOKUP(TRIM(D1595),TRIM(DFC!A:A),DFC!A:A,"NÃO ESTÁ NA DFC")</f>
        <v xml:space="preserve">      FRETE DE SAÍDA</v>
      </c>
    </row>
    <row r="1596" spans="1:14" customFormat="1" ht="15" customHeight="1" x14ac:dyDescent="0.3">
      <c r="A1596" s="19"/>
      <c r="B1596" s="21">
        <v>46064</v>
      </c>
      <c r="C1596" s="21" t="s">
        <v>15</v>
      </c>
      <c r="D1596" s="21" t="s">
        <v>29</v>
      </c>
      <c r="E1596" s="20"/>
      <c r="F1596" s="22" t="s">
        <v>294</v>
      </c>
      <c r="G1596" s="252">
        <v>120</v>
      </c>
      <c r="H1596" s="19"/>
      <c r="I1596" s="19">
        <f>COUNTIF(Tabela1[NF],Tabela1[[#This Row],[NF]])</f>
        <v>0</v>
      </c>
      <c r="J1596" s="22"/>
      <c r="K1596" s="21">
        <v>46064</v>
      </c>
      <c r="L1596" s="22"/>
      <c r="M1596" s="22"/>
      <c r="N1596" s="14" t="str" cm="1">
        <f t="array" ref="N1596">_xlfn.XLOOKUP(TRIM(D1596),TRIM(DFC!A:A),DFC!A:A,"NÃO ESTÁ NA DFC")</f>
        <v xml:space="preserve">      FRETE DE SAÍDA</v>
      </c>
    </row>
    <row r="1597" spans="1:14" customFormat="1" ht="15" customHeight="1" x14ac:dyDescent="0.3">
      <c r="A1597" s="19"/>
      <c r="B1597" s="21">
        <v>46064</v>
      </c>
      <c r="C1597" s="21" t="s">
        <v>15</v>
      </c>
      <c r="D1597" s="21" t="s">
        <v>29</v>
      </c>
      <c r="E1597" s="20"/>
      <c r="F1597" s="22" t="s">
        <v>168</v>
      </c>
      <c r="G1597" s="252">
        <v>275</v>
      </c>
      <c r="H1597" s="19"/>
      <c r="I1597" s="19">
        <f>COUNTIF(Tabela1[NF],Tabela1[[#This Row],[NF]])</f>
        <v>0</v>
      </c>
      <c r="J1597" s="22"/>
      <c r="K1597" s="21">
        <v>46064</v>
      </c>
      <c r="L1597" s="22"/>
      <c r="M1597" s="22"/>
      <c r="N1597" s="14" t="str" cm="1">
        <f t="array" ref="N1597">_xlfn.XLOOKUP(TRIM(D1597),TRIM(DFC!A:A),DFC!A:A,"NÃO ESTÁ NA DFC")</f>
        <v xml:space="preserve">      FRETE DE SAÍDA</v>
      </c>
    </row>
    <row r="1598" spans="1:14" customFormat="1" ht="15" customHeight="1" x14ac:dyDescent="0.3">
      <c r="A1598" s="19"/>
      <c r="B1598" s="21">
        <v>46064</v>
      </c>
      <c r="C1598" s="21" t="s">
        <v>15</v>
      </c>
      <c r="D1598" s="21" t="s">
        <v>29</v>
      </c>
      <c r="E1598" s="20"/>
      <c r="F1598" s="22" t="s">
        <v>168</v>
      </c>
      <c r="G1598" s="252">
        <v>325</v>
      </c>
      <c r="H1598" s="19"/>
      <c r="I1598" s="19">
        <f>COUNTIF(Tabela1[NF],Tabela1[[#This Row],[NF]])</f>
        <v>0</v>
      </c>
      <c r="J1598" s="22"/>
      <c r="K1598" s="21">
        <v>46064</v>
      </c>
      <c r="L1598" s="22"/>
      <c r="M1598" s="22"/>
      <c r="N1598" s="14" t="str" cm="1">
        <f t="array" ref="N1598">_xlfn.XLOOKUP(TRIM(D1598),TRIM(DFC!A:A),DFC!A:A,"NÃO ESTÁ NA DFC")</f>
        <v xml:space="preserve">      FRETE DE SAÍDA</v>
      </c>
    </row>
    <row r="1599" spans="1:14" customFormat="1" ht="15" customHeight="1" x14ac:dyDescent="0.3">
      <c r="A1599" s="19"/>
      <c r="B1599" s="21">
        <v>46064</v>
      </c>
      <c r="C1599" s="21" t="s">
        <v>15</v>
      </c>
      <c r="D1599" s="21" t="s">
        <v>29</v>
      </c>
      <c r="E1599" s="20"/>
      <c r="F1599" s="22" t="s">
        <v>484</v>
      </c>
      <c r="G1599" s="252">
        <v>240</v>
      </c>
      <c r="H1599" s="19"/>
      <c r="I1599" s="19">
        <f>COUNTIF(Tabela1[NF],Tabela1[[#This Row],[NF]])</f>
        <v>0</v>
      </c>
      <c r="J1599" s="22"/>
      <c r="K1599" s="21">
        <v>46064</v>
      </c>
      <c r="L1599" s="22"/>
      <c r="M1599" s="22"/>
      <c r="N1599" s="14" t="str" cm="1">
        <f t="array" ref="N1599">_xlfn.XLOOKUP(TRIM(D1599),TRIM(DFC!A:A),DFC!A:A,"NÃO ESTÁ NA DFC")</f>
        <v xml:space="preserve">      FRETE DE SAÍDA</v>
      </c>
    </row>
    <row r="1600" spans="1:14" customFormat="1" ht="15" customHeight="1" x14ac:dyDescent="0.3">
      <c r="A1600" s="19"/>
      <c r="B1600" s="21">
        <v>46064</v>
      </c>
      <c r="C1600" s="21" t="s">
        <v>15</v>
      </c>
      <c r="D1600" s="21" t="s">
        <v>29</v>
      </c>
      <c r="E1600" s="20"/>
      <c r="F1600" s="22" t="s">
        <v>450</v>
      </c>
      <c r="G1600" s="252">
        <v>1450</v>
      </c>
      <c r="H1600" s="19"/>
      <c r="I1600" s="19">
        <f>COUNTIF(Tabela1[NF],Tabela1[[#This Row],[NF]])</f>
        <v>0</v>
      </c>
      <c r="J1600" s="22"/>
      <c r="K1600" s="21">
        <v>46064</v>
      </c>
      <c r="L1600" s="22"/>
      <c r="M1600" s="22"/>
      <c r="N1600" s="14" t="str" cm="1">
        <f t="array" ref="N1600">_xlfn.XLOOKUP(TRIM(D1600),TRIM(DFC!A:A),DFC!A:A,"NÃO ESTÁ NA DFC")</f>
        <v xml:space="preserve">      FRETE DE SAÍDA</v>
      </c>
    </row>
    <row r="1601" spans="1:14" customFormat="1" ht="15" customHeight="1" x14ac:dyDescent="0.3">
      <c r="A1601" s="19"/>
      <c r="B1601" s="21">
        <v>46065</v>
      </c>
      <c r="C1601" s="21" t="s">
        <v>15</v>
      </c>
      <c r="D1601" s="21" t="s">
        <v>18</v>
      </c>
      <c r="E1601" s="20" t="s">
        <v>652</v>
      </c>
      <c r="F1601" s="22" t="s">
        <v>460</v>
      </c>
      <c r="G1601" s="252">
        <v>3800</v>
      </c>
      <c r="H1601" s="19"/>
      <c r="I1601" s="19">
        <f>COUNTIF(Tabela1[NF],Tabela1[[#This Row],[NF]])</f>
        <v>0</v>
      </c>
      <c r="J1601" s="22"/>
      <c r="K1601" s="21">
        <v>46065</v>
      </c>
      <c r="L1601" s="22"/>
      <c r="M1601" s="22"/>
      <c r="N1601" s="14" t="str" cm="1">
        <f t="array" ref="N1601">_xlfn.XLOOKUP(TRIM(D1601),TRIM(DFC!A:A),DFC!A:A,"NÃO ESTÁ NA DFC")</f>
        <v xml:space="preserve">     COMISSÕES E TAXAS DOS MARKETPLACES</v>
      </c>
    </row>
    <row r="1602" spans="1:14" customFormat="1" ht="15" customHeight="1" x14ac:dyDescent="0.3">
      <c r="A1602" s="19"/>
      <c r="B1602" s="21">
        <v>46065</v>
      </c>
      <c r="C1602" s="21" t="s">
        <v>15</v>
      </c>
      <c r="D1602" s="21" t="s">
        <v>19</v>
      </c>
      <c r="E1602" s="20" t="s">
        <v>583</v>
      </c>
      <c r="F1602" s="22" t="s">
        <v>653</v>
      </c>
      <c r="G1602" s="252">
        <v>8626.31</v>
      </c>
      <c r="H1602" s="19"/>
      <c r="I1602" s="19">
        <f>COUNTIF(Tabela1[NF],Tabela1[[#This Row],[NF]])</f>
        <v>0</v>
      </c>
      <c r="J1602" s="22"/>
      <c r="K1602" s="21">
        <v>46065</v>
      </c>
      <c r="L1602" s="22"/>
      <c r="M1602" s="22"/>
      <c r="N1602" s="14" t="str" cm="1">
        <f t="array" ref="N1602">_xlfn.XLOOKUP(TRIM(D1602),TRIM(DFC!A:A),DFC!A:A,"NÃO ESTÁ NA DFC")</f>
        <v xml:space="preserve">      PEÇAS</v>
      </c>
    </row>
    <row r="1603" spans="1:14" customFormat="1" ht="15" customHeight="1" x14ac:dyDescent="0.3">
      <c r="A1603" s="19"/>
      <c r="B1603" s="21">
        <v>46065</v>
      </c>
      <c r="C1603" s="21" t="s">
        <v>15</v>
      </c>
      <c r="D1603" s="21" t="s">
        <v>154</v>
      </c>
      <c r="E1603" s="20"/>
      <c r="F1603" s="22" t="s">
        <v>621</v>
      </c>
      <c r="G1603" s="252">
        <v>2011.28</v>
      </c>
      <c r="H1603" s="19"/>
      <c r="I1603" s="19">
        <f>COUNTIF(Tabela1[NF],Tabela1[[#This Row],[NF]])</f>
        <v>0</v>
      </c>
      <c r="J1603" s="22"/>
      <c r="K1603" s="21">
        <v>46065</v>
      </c>
      <c r="L1603" s="22"/>
      <c r="M1603" s="22"/>
      <c r="N1603" s="14" t="str" cm="1">
        <f t="array" ref="N1603">_xlfn.XLOOKUP(TRIM(D1603),TRIM(DFC!A:A),DFC!A:A,"NÃO ESTÁ NA DFC")</f>
        <v xml:space="preserve">      EMBALAGENS</v>
      </c>
    </row>
    <row r="1604" spans="1:14" customFormat="1" ht="15" customHeight="1" x14ac:dyDescent="0.3">
      <c r="A1604" s="19"/>
      <c r="B1604" s="21">
        <v>46065</v>
      </c>
      <c r="C1604" s="21" t="s">
        <v>15</v>
      </c>
      <c r="D1604" s="21" t="s">
        <v>19</v>
      </c>
      <c r="E1604" s="20"/>
      <c r="F1604" s="22" t="s">
        <v>654</v>
      </c>
      <c r="G1604" s="252">
        <v>448.5</v>
      </c>
      <c r="H1604" s="19"/>
      <c r="I1604" s="19">
        <f>COUNTIF(Tabela1[NF],Tabela1[[#This Row],[NF]])</f>
        <v>0</v>
      </c>
      <c r="J1604" s="22"/>
      <c r="K1604" s="21">
        <v>46065</v>
      </c>
      <c r="L1604" s="22"/>
      <c r="M1604" s="22"/>
      <c r="N1604" s="14" t="str" cm="1">
        <f t="array" ref="N1604">_xlfn.XLOOKUP(TRIM(D1604),TRIM(DFC!A:A),DFC!A:A,"NÃO ESTÁ NA DFC")</f>
        <v xml:space="preserve">      PEÇAS</v>
      </c>
    </row>
    <row r="1605" spans="1:14" customFormat="1" ht="15" customHeight="1" x14ac:dyDescent="0.3">
      <c r="A1605" s="19"/>
      <c r="B1605" s="21">
        <v>46065</v>
      </c>
      <c r="C1605" s="21" t="s">
        <v>15</v>
      </c>
      <c r="D1605" s="21" t="s">
        <v>19</v>
      </c>
      <c r="E1605" s="20"/>
      <c r="F1605" s="22" t="s">
        <v>382</v>
      </c>
      <c r="G1605" s="252">
        <v>722.33</v>
      </c>
      <c r="H1605" s="19"/>
      <c r="I1605" s="19">
        <f>COUNTIF(Tabela1[NF],Tabela1[[#This Row],[NF]])</f>
        <v>0</v>
      </c>
      <c r="J1605" s="22"/>
      <c r="K1605" s="21">
        <v>46065</v>
      </c>
      <c r="L1605" s="22"/>
      <c r="M1605" s="22"/>
      <c r="N1605" s="14" t="str" cm="1">
        <f t="array" ref="N1605">_xlfn.XLOOKUP(TRIM(D1605),TRIM(DFC!A:A),DFC!A:A,"NÃO ESTÁ NA DFC")</f>
        <v xml:space="preserve">      PEÇAS</v>
      </c>
    </row>
    <row r="1606" spans="1:14" customFormat="1" ht="15" customHeight="1" x14ac:dyDescent="0.3">
      <c r="A1606" s="19"/>
      <c r="B1606" s="21">
        <v>46065</v>
      </c>
      <c r="C1606" s="21" t="s">
        <v>15</v>
      </c>
      <c r="D1606" s="21" t="s">
        <v>37</v>
      </c>
      <c r="E1606" s="20"/>
      <c r="F1606" s="22" t="s">
        <v>341</v>
      </c>
      <c r="G1606" s="252">
        <v>718.58</v>
      </c>
      <c r="H1606" s="19"/>
      <c r="I1606" s="19">
        <f>COUNTIF(Tabela1[NF],Tabela1[[#This Row],[NF]])</f>
        <v>0</v>
      </c>
      <c r="J1606" s="22"/>
      <c r="K1606" s="21">
        <v>46065</v>
      </c>
      <c r="L1606" s="22"/>
      <c r="M1606" s="22"/>
      <c r="N1606" s="14" t="str" cm="1">
        <f t="array" ref="N1606">_xlfn.XLOOKUP(TRIM(D1606),TRIM(DFC!A:A),DFC!A:A,"NÃO ESTÁ NA DFC")</f>
        <v xml:space="preserve">          MATERIAL DE ESCRITÓRIO</v>
      </c>
    </row>
    <row r="1607" spans="1:14" customFormat="1" ht="15" customHeight="1" x14ac:dyDescent="0.3">
      <c r="A1607" s="19"/>
      <c r="B1607" s="21">
        <v>46065</v>
      </c>
      <c r="C1607" s="21" t="s">
        <v>15</v>
      </c>
      <c r="D1607" s="21" t="s">
        <v>19</v>
      </c>
      <c r="E1607" s="20" t="s">
        <v>573</v>
      </c>
      <c r="F1607" s="22" t="s">
        <v>433</v>
      </c>
      <c r="G1607" s="252">
        <v>2963.25</v>
      </c>
      <c r="H1607" s="19"/>
      <c r="I1607" s="19">
        <f>COUNTIF(Tabela1[NF],Tabela1[[#This Row],[NF]])</f>
        <v>0</v>
      </c>
      <c r="J1607" s="22"/>
      <c r="K1607" s="21">
        <v>46065</v>
      </c>
      <c r="L1607" s="22"/>
      <c r="M1607" s="22"/>
      <c r="N1607" s="14" t="str" cm="1">
        <f t="array" ref="N1607">_xlfn.XLOOKUP(TRIM(D1607),TRIM(DFC!A:A),DFC!A:A,"NÃO ESTÁ NA DFC")</f>
        <v xml:space="preserve">      PEÇAS</v>
      </c>
    </row>
    <row r="1608" spans="1:14" customFormat="1" ht="15" customHeight="1" x14ac:dyDescent="0.3">
      <c r="A1608" s="19"/>
      <c r="B1608" s="21">
        <v>46065</v>
      </c>
      <c r="C1608" s="21" t="s">
        <v>15</v>
      </c>
      <c r="D1608" s="21" t="s">
        <v>29</v>
      </c>
      <c r="E1608" s="20"/>
      <c r="F1608" s="22" t="s">
        <v>122</v>
      </c>
      <c r="G1608" s="252">
        <v>322.22000000000003</v>
      </c>
      <c r="H1608" s="19"/>
      <c r="I1608" s="19">
        <f>COUNTIF(Tabela1[NF],Tabela1[[#This Row],[NF]])</f>
        <v>0</v>
      </c>
      <c r="J1608" s="22"/>
      <c r="K1608" s="21">
        <v>46065</v>
      </c>
      <c r="L1608" s="22"/>
      <c r="M1608" s="22"/>
      <c r="N1608" s="14" t="str" cm="1">
        <f t="array" ref="N1608">_xlfn.XLOOKUP(TRIM(D1608),TRIM(DFC!A:A),DFC!A:A,"NÃO ESTÁ NA DFC")</f>
        <v xml:space="preserve">      FRETE DE SAÍDA</v>
      </c>
    </row>
    <row r="1609" spans="1:14" customFormat="1" ht="15" customHeight="1" x14ac:dyDescent="0.3">
      <c r="A1609" s="19"/>
      <c r="B1609" s="21">
        <v>46065</v>
      </c>
      <c r="C1609" s="21" t="s">
        <v>15</v>
      </c>
      <c r="D1609" s="21" t="s">
        <v>19</v>
      </c>
      <c r="E1609" s="20"/>
      <c r="F1609" s="22" t="s">
        <v>654</v>
      </c>
      <c r="G1609" s="252">
        <v>1550.5</v>
      </c>
      <c r="H1609" s="19"/>
      <c r="I1609" s="19">
        <f>COUNTIF(Tabela1[NF],Tabela1[[#This Row],[NF]])</f>
        <v>0</v>
      </c>
      <c r="J1609" s="22"/>
      <c r="K1609" s="21">
        <v>46065</v>
      </c>
      <c r="L1609" s="22"/>
      <c r="M1609" s="22"/>
      <c r="N1609" s="14" t="str" cm="1">
        <f t="array" ref="N1609">_xlfn.XLOOKUP(TRIM(D1609),TRIM(DFC!A:A),DFC!A:A,"NÃO ESTÁ NA DFC")</f>
        <v xml:space="preserve">      PEÇAS</v>
      </c>
    </row>
    <row r="1610" spans="1:14" customFormat="1" ht="15" customHeight="1" x14ac:dyDescent="0.3">
      <c r="A1610" s="19"/>
      <c r="B1610" s="21">
        <v>46065</v>
      </c>
      <c r="C1610" s="21" t="s">
        <v>15</v>
      </c>
      <c r="D1610" s="21" t="s">
        <v>19</v>
      </c>
      <c r="E1610" s="20"/>
      <c r="F1610" s="22" t="s">
        <v>132</v>
      </c>
      <c r="G1610" s="252">
        <v>822</v>
      </c>
      <c r="H1610" s="19"/>
      <c r="I1610" s="19">
        <f>COUNTIF(Tabela1[NF],Tabela1[[#This Row],[NF]])</f>
        <v>0</v>
      </c>
      <c r="J1610" s="22"/>
      <c r="K1610" s="21">
        <v>46065</v>
      </c>
      <c r="L1610" s="22"/>
      <c r="M1610" s="22"/>
      <c r="N1610" s="14" t="str" cm="1">
        <f t="array" ref="N1610">_xlfn.XLOOKUP(TRIM(D1610),TRIM(DFC!A:A),DFC!A:A,"NÃO ESTÁ NA DFC")</f>
        <v xml:space="preserve">      PEÇAS</v>
      </c>
    </row>
    <row r="1611" spans="1:14" customFormat="1" ht="15" customHeight="1" x14ac:dyDescent="0.3">
      <c r="A1611" s="19"/>
      <c r="B1611" s="21">
        <v>46065</v>
      </c>
      <c r="C1611" s="21" t="s">
        <v>15</v>
      </c>
      <c r="D1611" s="21" t="s">
        <v>19</v>
      </c>
      <c r="E1611" s="20"/>
      <c r="F1611" s="22" t="s">
        <v>300</v>
      </c>
      <c r="G1611" s="252">
        <v>614.65</v>
      </c>
      <c r="H1611" s="19"/>
      <c r="I1611" s="19">
        <f>COUNTIF(Tabela1[NF],Tabela1[[#This Row],[NF]])</f>
        <v>0</v>
      </c>
      <c r="J1611" s="22"/>
      <c r="K1611" s="21">
        <v>46065</v>
      </c>
      <c r="L1611" s="22"/>
      <c r="M1611" s="22"/>
      <c r="N1611" s="14" t="str" cm="1">
        <f t="array" ref="N1611">_xlfn.XLOOKUP(TRIM(D1611),TRIM(DFC!A:A),DFC!A:A,"NÃO ESTÁ NA DFC")</f>
        <v xml:space="preserve">      PEÇAS</v>
      </c>
    </row>
    <row r="1612" spans="1:14" customFormat="1" ht="15" customHeight="1" x14ac:dyDescent="0.3">
      <c r="A1612" s="19"/>
      <c r="B1612" s="21">
        <v>46065</v>
      </c>
      <c r="C1612" s="21" t="s">
        <v>15</v>
      </c>
      <c r="D1612" s="21" t="s">
        <v>18</v>
      </c>
      <c r="E1612" s="20" t="s">
        <v>652</v>
      </c>
      <c r="F1612" s="22" t="s">
        <v>460</v>
      </c>
      <c r="G1612" s="252">
        <v>1000</v>
      </c>
      <c r="H1612" s="19"/>
      <c r="I1612" s="19">
        <f>COUNTIF(Tabela1[NF],Tabela1[[#This Row],[NF]])</f>
        <v>0</v>
      </c>
      <c r="J1612" s="22"/>
      <c r="K1612" s="21">
        <v>46065</v>
      </c>
      <c r="L1612" s="22"/>
      <c r="M1612" s="22"/>
      <c r="N1612" s="14" t="str" cm="1">
        <f t="array" ref="N1612">_xlfn.XLOOKUP(TRIM(D1612),TRIM(DFC!A:A),DFC!A:A,"NÃO ESTÁ NA DFC")</f>
        <v xml:space="preserve">     COMISSÕES E TAXAS DOS MARKETPLACES</v>
      </c>
    </row>
    <row r="1613" spans="1:14" customFormat="1" ht="15" customHeight="1" x14ac:dyDescent="0.3">
      <c r="A1613" s="19"/>
      <c r="B1613" s="21">
        <v>46066</v>
      </c>
      <c r="C1613" s="21" t="s">
        <v>15</v>
      </c>
      <c r="D1613" s="21" t="s">
        <v>98</v>
      </c>
      <c r="E1613" s="20"/>
      <c r="F1613" s="22" t="s">
        <v>655</v>
      </c>
      <c r="G1613" s="252">
        <v>40</v>
      </c>
      <c r="H1613" s="19"/>
      <c r="I1613" s="19">
        <f>COUNTIF(Tabela1[NF],Tabela1[[#This Row],[NF]])</f>
        <v>0</v>
      </c>
      <c r="J1613" s="22"/>
      <c r="K1613" s="21">
        <v>46066</v>
      </c>
      <c r="L1613" s="22"/>
      <c r="M1613" s="22"/>
      <c r="N1613" s="14" t="str" cm="1">
        <f t="array" ref="N1613">_xlfn.XLOOKUP(TRIM(D1613),TRIM(DFC!A:A),DFC!A:A,"NÃO ESTÁ NA DFC")</f>
        <v xml:space="preserve">     REEMBOLSO SAC</v>
      </c>
    </row>
    <row r="1614" spans="1:14" customFormat="1" ht="15" customHeight="1" x14ac:dyDescent="0.3">
      <c r="A1614" s="19"/>
      <c r="B1614" s="21">
        <v>46066</v>
      </c>
      <c r="C1614" s="21" t="s">
        <v>15</v>
      </c>
      <c r="D1614" s="21" t="s">
        <v>98</v>
      </c>
      <c r="E1614" s="20" t="s">
        <v>491</v>
      </c>
      <c r="F1614" s="22" t="s">
        <v>103</v>
      </c>
      <c r="G1614" s="252">
        <v>2900</v>
      </c>
      <c r="H1614" s="19"/>
      <c r="I1614" s="19">
        <f>COUNTIF(Tabela1[NF],Tabela1[[#This Row],[NF]])</f>
        <v>0</v>
      </c>
      <c r="J1614" s="22"/>
      <c r="K1614" s="21">
        <v>46066</v>
      </c>
      <c r="L1614" s="22"/>
      <c r="M1614" s="22"/>
      <c r="N1614" s="14" t="str" cm="1">
        <f t="array" ref="N1614">_xlfn.XLOOKUP(TRIM(D1614),TRIM(DFC!A:A),DFC!A:A,"NÃO ESTÁ NA DFC")</f>
        <v xml:space="preserve">     REEMBOLSO SAC</v>
      </c>
    </row>
    <row r="1615" spans="1:14" customFormat="1" ht="15" customHeight="1" x14ac:dyDescent="0.3">
      <c r="A1615" s="253"/>
      <c r="B1615" s="84">
        <v>46066</v>
      </c>
      <c r="C1615" s="254" t="s">
        <v>202</v>
      </c>
      <c r="D1615" s="84" t="s">
        <v>104</v>
      </c>
      <c r="E1615" s="81"/>
      <c r="F1615" s="85" t="s">
        <v>656</v>
      </c>
      <c r="G1615" s="255">
        <v>54.55</v>
      </c>
      <c r="H1615" s="1"/>
      <c r="I1615" s="1">
        <f>COUNTIF(Tabela1[NF],Tabela1[[#This Row],[NF]])</f>
        <v>0</v>
      </c>
      <c r="K1615" s="84">
        <v>46066</v>
      </c>
      <c r="N1615" s="14" t="str" cm="1">
        <f t="array" ref="N1615">_xlfn.XLOOKUP(TRIM(D1615),TRIM(DFC!A:A),DFC!A:A,"NÃO ESTÁ NA DFC")</f>
        <v xml:space="preserve">          OUTRAS DESPESAS ADMINISTRATIVAS</v>
      </c>
    </row>
    <row r="1616" spans="1:14" customFormat="1" ht="15" customHeight="1" x14ac:dyDescent="0.3">
      <c r="A1616" s="253"/>
      <c r="B1616" s="84">
        <v>46066</v>
      </c>
      <c r="C1616" s="254" t="s">
        <v>202</v>
      </c>
      <c r="D1616" s="84" t="s">
        <v>503</v>
      </c>
      <c r="E1616" s="81"/>
      <c r="F1616" s="85" t="s">
        <v>657</v>
      </c>
      <c r="G1616" s="255">
        <v>1500</v>
      </c>
      <c r="H1616" s="1"/>
      <c r="I1616" s="1">
        <f>COUNTIF(Tabela1[NF],Tabela1[[#This Row],[NF]])</f>
        <v>0</v>
      </c>
      <c r="K1616" s="84">
        <v>46066</v>
      </c>
      <c r="N1616" s="14" t="str" cm="1">
        <f t="array" ref="N1616">_xlfn.XLOOKUP(TRIM(D1616),TRIM(DFC!A:A),DFC!A:A,"NÃO ESTÁ NA DFC")</f>
        <v xml:space="preserve">     ADS SHOPEE</v>
      </c>
    </row>
    <row r="1617" spans="1:14" customFormat="1" ht="15" customHeight="1" x14ac:dyDescent="0.3">
      <c r="A1617" s="253"/>
      <c r="B1617" s="84">
        <v>46066</v>
      </c>
      <c r="C1617" s="254" t="s">
        <v>202</v>
      </c>
      <c r="D1617" s="84" t="s">
        <v>475</v>
      </c>
      <c r="E1617" s="81"/>
      <c r="F1617" s="85" t="s">
        <v>658</v>
      </c>
      <c r="G1617" s="255">
        <v>827.27</v>
      </c>
      <c r="H1617" s="1"/>
      <c r="I1617" s="1">
        <f>COUNTIF(Tabela1[NF],Tabela1[[#This Row],[NF]])</f>
        <v>0</v>
      </c>
      <c r="K1617" s="84">
        <v>46066</v>
      </c>
      <c r="N1617" s="14" t="str" cm="1">
        <f t="array" ref="N1617">_xlfn.XLOOKUP(TRIM(D1617),TRIM(DFC!A:A),DFC!A:A,"NÃO ESTÁ NA DFC")</f>
        <v xml:space="preserve">          SEGURO DE VEICULOS</v>
      </c>
    </row>
    <row r="1618" spans="1:14" customFormat="1" ht="15" customHeight="1" x14ac:dyDescent="0.3">
      <c r="A1618" s="253"/>
      <c r="B1618" s="84">
        <v>46066</v>
      </c>
      <c r="C1618" s="254" t="s">
        <v>202</v>
      </c>
      <c r="D1618" s="84" t="s">
        <v>72</v>
      </c>
      <c r="E1618" s="81"/>
      <c r="F1618" s="85" t="s">
        <v>659</v>
      </c>
      <c r="G1618" s="255">
        <v>290.12</v>
      </c>
      <c r="H1618" s="1"/>
      <c r="I1618" s="1">
        <f>COUNTIF(Tabela1[NF],Tabela1[[#This Row],[NF]])</f>
        <v>0</v>
      </c>
      <c r="K1618" s="84">
        <v>46066</v>
      </c>
      <c r="N1618" s="14" t="str" cm="1">
        <f t="array" ref="N1618">_xlfn.XLOOKUP(TRIM(D1618),TRIM(DFC!A:A),DFC!A:A,"NÃO ESTÁ NA DFC")</f>
        <v xml:space="preserve">          COMBUSTÍVEL</v>
      </c>
    </row>
    <row r="1619" spans="1:14" customFormat="1" ht="15" customHeight="1" x14ac:dyDescent="0.3">
      <c r="A1619" s="253"/>
      <c r="B1619" s="84">
        <v>46066</v>
      </c>
      <c r="C1619" s="254" t="s">
        <v>202</v>
      </c>
      <c r="D1619" s="84" t="s">
        <v>57</v>
      </c>
      <c r="E1619" s="81"/>
      <c r="F1619" s="85" t="s">
        <v>660</v>
      </c>
      <c r="G1619" s="255">
        <v>69.27</v>
      </c>
      <c r="H1619" s="1"/>
      <c r="I1619" s="1">
        <f>COUNTIF(Tabela1[NF],Tabela1[[#This Row],[NF]])</f>
        <v>0</v>
      </c>
      <c r="K1619" s="84">
        <v>46066</v>
      </c>
      <c r="N1619" s="14" t="str" cm="1">
        <f t="array" ref="N1619">_xlfn.XLOOKUP(TRIM(D1619),TRIM(DFC!A:A),DFC!A:A,"NÃO ESTÁ NA DFC")</f>
        <v xml:space="preserve">          ALIMENTAÇÃO</v>
      </c>
    </row>
    <row r="1620" spans="1:14" customFormat="1" ht="15" customHeight="1" x14ac:dyDescent="0.3">
      <c r="A1620" s="253"/>
      <c r="B1620" s="84">
        <v>46066</v>
      </c>
      <c r="C1620" s="254" t="s">
        <v>202</v>
      </c>
      <c r="D1620" s="84" t="s">
        <v>205</v>
      </c>
      <c r="E1620" s="81"/>
      <c r="F1620" s="85" t="s">
        <v>661</v>
      </c>
      <c r="G1620" s="255">
        <v>45.97</v>
      </c>
      <c r="H1620" s="1"/>
      <c r="I1620" s="1">
        <f>COUNTIF(Tabela1[NF],Tabela1[[#This Row],[NF]])</f>
        <v>0</v>
      </c>
      <c r="K1620" s="84">
        <v>46066</v>
      </c>
      <c r="N1620" s="14" t="str" cm="1">
        <f t="array" ref="N1620">_xlfn.XLOOKUP(TRIM(D1620),TRIM(DFC!A:A),DFC!A:A,"NÃO ESTÁ NA DFC")</f>
        <v xml:space="preserve">          DESPESAS DE VIAGEM</v>
      </c>
    </row>
    <row r="1621" spans="1:14" customFormat="1" ht="15" customHeight="1" x14ac:dyDescent="0.3">
      <c r="A1621" s="253"/>
      <c r="B1621" s="84">
        <v>46066</v>
      </c>
      <c r="C1621" s="254" t="s">
        <v>202</v>
      </c>
      <c r="D1621" s="84" t="s">
        <v>205</v>
      </c>
      <c r="E1621" s="81"/>
      <c r="F1621" s="85" t="s">
        <v>661</v>
      </c>
      <c r="G1621" s="255">
        <v>27.98</v>
      </c>
      <c r="H1621" s="1"/>
      <c r="I1621" s="1">
        <f>COUNTIF(Tabela1[NF],Tabela1[[#This Row],[NF]])</f>
        <v>0</v>
      </c>
      <c r="K1621" s="84">
        <v>46066</v>
      </c>
      <c r="N1621" s="14" t="str" cm="1">
        <f t="array" ref="N1621">_xlfn.XLOOKUP(TRIM(D1621),TRIM(DFC!A:A),DFC!A:A,"NÃO ESTÁ NA DFC")</f>
        <v xml:space="preserve">          DESPESAS DE VIAGEM</v>
      </c>
    </row>
    <row r="1622" spans="1:14" customFormat="1" ht="15" customHeight="1" x14ac:dyDescent="0.3">
      <c r="A1622" s="253"/>
      <c r="B1622" s="84">
        <v>46066</v>
      </c>
      <c r="C1622" s="254" t="s">
        <v>202</v>
      </c>
      <c r="D1622" s="84" t="s">
        <v>205</v>
      </c>
      <c r="E1622" s="81"/>
      <c r="F1622" s="85" t="s">
        <v>661</v>
      </c>
      <c r="G1622" s="255">
        <v>115</v>
      </c>
      <c r="H1622" s="1"/>
      <c r="I1622" s="1">
        <f>COUNTIF(Tabela1[NF],Tabela1[[#This Row],[NF]])</f>
        <v>0</v>
      </c>
      <c r="K1622" s="84">
        <v>46066</v>
      </c>
      <c r="N1622" s="14" t="str" cm="1">
        <f t="array" ref="N1622">_xlfn.XLOOKUP(TRIM(D1622),TRIM(DFC!A:A),DFC!A:A,"NÃO ESTÁ NA DFC")</f>
        <v xml:space="preserve">          DESPESAS DE VIAGEM</v>
      </c>
    </row>
    <row r="1623" spans="1:14" customFormat="1" ht="15" customHeight="1" x14ac:dyDescent="0.3">
      <c r="A1623" s="253"/>
      <c r="B1623" s="84">
        <v>46066</v>
      </c>
      <c r="C1623" s="254" t="s">
        <v>202</v>
      </c>
      <c r="D1623" s="84" t="s">
        <v>205</v>
      </c>
      <c r="E1623" s="81"/>
      <c r="F1623" s="85" t="s">
        <v>662</v>
      </c>
      <c r="G1623" s="255">
        <v>23.1</v>
      </c>
      <c r="H1623" s="1"/>
      <c r="I1623" s="1">
        <f>COUNTIF(Tabela1[NF],Tabela1[[#This Row],[NF]])</f>
        <v>0</v>
      </c>
      <c r="K1623" s="84">
        <v>46066</v>
      </c>
      <c r="N1623" s="14" t="str" cm="1">
        <f t="array" ref="N1623">_xlfn.XLOOKUP(TRIM(D1623),TRIM(DFC!A:A),DFC!A:A,"NÃO ESTÁ NA DFC")</f>
        <v xml:space="preserve">          DESPESAS DE VIAGEM</v>
      </c>
    </row>
    <row r="1624" spans="1:14" customFormat="1" ht="15" customHeight="1" x14ac:dyDescent="0.3">
      <c r="A1624" s="253"/>
      <c r="B1624" s="84">
        <v>46066</v>
      </c>
      <c r="C1624" s="254" t="s">
        <v>202</v>
      </c>
      <c r="D1624" s="84" t="s">
        <v>205</v>
      </c>
      <c r="E1624" s="81"/>
      <c r="F1624" s="85" t="s">
        <v>663</v>
      </c>
      <c r="G1624" s="255">
        <v>210</v>
      </c>
      <c r="H1624" s="1"/>
      <c r="I1624" s="1">
        <f>COUNTIF(Tabela1[NF],Tabela1[[#This Row],[NF]])</f>
        <v>0</v>
      </c>
      <c r="K1624" s="84">
        <v>46066</v>
      </c>
      <c r="N1624" s="14" t="str" cm="1">
        <f t="array" ref="N1624">_xlfn.XLOOKUP(TRIM(D1624),TRIM(DFC!A:A),DFC!A:A,"NÃO ESTÁ NA DFC")</f>
        <v xml:space="preserve">          DESPESAS DE VIAGEM</v>
      </c>
    </row>
    <row r="1625" spans="1:14" customFormat="1" ht="15" customHeight="1" x14ac:dyDescent="0.3">
      <c r="A1625" s="253"/>
      <c r="B1625" s="84">
        <v>46066</v>
      </c>
      <c r="C1625" s="254" t="s">
        <v>202</v>
      </c>
      <c r="D1625" s="84" t="s">
        <v>19</v>
      </c>
      <c r="E1625" s="81"/>
      <c r="F1625" s="85" t="s">
        <v>664</v>
      </c>
      <c r="G1625" s="255">
        <v>2264.5100000000002</v>
      </c>
      <c r="H1625" s="1"/>
      <c r="I1625" s="1">
        <f>COUNTIF(Tabela1[NF],Tabela1[[#This Row],[NF]])</f>
        <v>0</v>
      </c>
      <c r="K1625" s="84">
        <v>46066</v>
      </c>
      <c r="N1625" s="14" t="str" cm="1">
        <f t="array" ref="N1625">_xlfn.XLOOKUP(TRIM(D1625),TRIM(DFC!A:A),DFC!A:A,"NÃO ESTÁ NA DFC")</f>
        <v xml:space="preserve">      PEÇAS</v>
      </c>
    </row>
    <row r="1626" spans="1:14" customFormat="1" ht="15" customHeight="1" x14ac:dyDescent="0.3">
      <c r="A1626" s="253"/>
      <c r="B1626" s="84">
        <v>46066</v>
      </c>
      <c r="C1626" s="254" t="s">
        <v>202</v>
      </c>
      <c r="D1626" s="84" t="s">
        <v>205</v>
      </c>
      <c r="E1626" s="81"/>
      <c r="F1626" s="85" t="s">
        <v>665</v>
      </c>
      <c r="G1626" s="255">
        <v>146.75</v>
      </c>
      <c r="H1626" s="1"/>
      <c r="I1626" s="1">
        <f>COUNTIF(Tabela1[NF],Tabela1[[#This Row],[NF]])</f>
        <v>0</v>
      </c>
      <c r="K1626" s="84">
        <v>46066</v>
      </c>
      <c r="N1626" s="14" t="str" cm="1">
        <f t="array" ref="N1626">_xlfn.XLOOKUP(TRIM(D1626),TRIM(DFC!A:A),DFC!A:A,"NÃO ESTÁ NA DFC")</f>
        <v xml:space="preserve">          DESPESAS DE VIAGEM</v>
      </c>
    </row>
    <row r="1627" spans="1:14" customFormat="1" ht="15" customHeight="1" x14ac:dyDescent="0.3">
      <c r="A1627" s="253"/>
      <c r="B1627" s="84">
        <v>46066</v>
      </c>
      <c r="C1627" s="254" t="s">
        <v>202</v>
      </c>
      <c r="D1627" s="84" t="s">
        <v>205</v>
      </c>
      <c r="E1627" s="81"/>
      <c r="F1627" s="85" t="s">
        <v>666</v>
      </c>
      <c r="G1627" s="255">
        <v>437</v>
      </c>
      <c r="H1627" s="1"/>
      <c r="I1627" s="1">
        <f>COUNTIF(Tabela1[NF],Tabela1[[#This Row],[NF]])</f>
        <v>0</v>
      </c>
      <c r="K1627" s="84">
        <v>46066</v>
      </c>
      <c r="N1627" s="14" t="str" cm="1">
        <f t="array" ref="N1627">_xlfn.XLOOKUP(TRIM(D1627),TRIM(DFC!A:A),DFC!A:A,"NÃO ESTÁ NA DFC")</f>
        <v xml:space="preserve">          DESPESAS DE VIAGEM</v>
      </c>
    </row>
    <row r="1628" spans="1:14" customFormat="1" ht="15" customHeight="1" x14ac:dyDescent="0.3">
      <c r="A1628" s="253"/>
      <c r="B1628" s="84">
        <v>46066</v>
      </c>
      <c r="C1628" s="254" t="s">
        <v>202</v>
      </c>
      <c r="D1628" s="84" t="s">
        <v>205</v>
      </c>
      <c r="E1628" s="81"/>
      <c r="F1628" s="85" t="s">
        <v>667</v>
      </c>
      <c r="G1628" s="255">
        <v>772</v>
      </c>
      <c r="H1628" s="1"/>
      <c r="I1628" s="1">
        <f>COUNTIF(Tabela1[NF],Tabela1[[#This Row],[NF]])</f>
        <v>0</v>
      </c>
      <c r="K1628" s="84">
        <v>46066</v>
      </c>
      <c r="N1628" s="14" t="str" cm="1">
        <f t="array" ref="N1628">_xlfn.XLOOKUP(TRIM(D1628),TRIM(DFC!A:A),DFC!A:A,"NÃO ESTÁ NA DFC")</f>
        <v xml:space="preserve">          DESPESAS DE VIAGEM</v>
      </c>
    </row>
    <row r="1629" spans="1:14" customFormat="1" ht="15" customHeight="1" x14ac:dyDescent="0.3">
      <c r="A1629" s="253"/>
      <c r="B1629" s="84">
        <v>46066</v>
      </c>
      <c r="C1629" s="254" t="s">
        <v>202</v>
      </c>
      <c r="D1629" s="84" t="s">
        <v>205</v>
      </c>
      <c r="E1629" s="81"/>
      <c r="F1629" s="85" t="s">
        <v>668</v>
      </c>
      <c r="G1629" s="255">
        <v>35.979999999999997</v>
      </c>
      <c r="H1629" s="1"/>
      <c r="I1629" s="1">
        <f>COUNTIF(Tabela1[NF],Tabela1[[#This Row],[NF]])</f>
        <v>0</v>
      </c>
      <c r="K1629" s="84">
        <v>46066</v>
      </c>
      <c r="N1629" s="14" t="str" cm="1">
        <f t="array" ref="N1629">_xlfn.XLOOKUP(TRIM(D1629),TRIM(DFC!A:A),DFC!A:A,"NÃO ESTÁ NA DFC")</f>
        <v xml:space="preserve">          DESPESAS DE VIAGEM</v>
      </c>
    </row>
    <row r="1630" spans="1:14" customFormat="1" ht="15" customHeight="1" x14ac:dyDescent="0.3">
      <c r="A1630" s="253"/>
      <c r="B1630" s="84">
        <v>46066</v>
      </c>
      <c r="C1630" s="254" t="s">
        <v>202</v>
      </c>
      <c r="D1630" s="84" t="s">
        <v>205</v>
      </c>
      <c r="E1630" s="81"/>
      <c r="F1630" s="85" t="s">
        <v>669</v>
      </c>
      <c r="G1630" s="255">
        <v>-45</v>
      </c>
      <c r="H1630" s="1"/>
      <c r="I1630" s="1">
        <f>COUNTIF(Tabela1[NF],Tabela1[[#This Row],[NF]])</f>
        <v>0</v>
      </c>
      <c r="K1630" s="84">
        <v>46066</v>
      </c>
      <c r="N1630" s="14" t="str" cm="1">
        <f t="array" ref="N1630">_xlfn.XLOOKUP(TRIM(D1630),TRIM(DFC!A:A),DFC!A:A,"NÃO ESTÁ NA DFC")</f>
        <v xml:space="preserve">          DESPESAS DE VIAGEM</v>
      </c>
    </row>
    <row r="1631" spans="1:14" customFormat="1" ht="15" customHeight="1" x14ac:dyDescent="0.3">
      <c r="A1631" s="253"/>
      <c r="B1631" s="84">
        <v>46066</v>
      </c>
      <c r="C1631" s="254" t="s">
        <v>202</v>
      </c>
      <c r="D1631" s="84" t="s">
        <v>72</v>
      </c>
      <c r="E1631" s="81"/>
      <c r="F1631" s="85" t="s">
        <v>670</v>
      </c>
      <c r="G1631" s="255">
        <v>187.98</v>
      </c>
      <c r="H1631" s="1"/>
      <c r="I1631" s="1">
        <f>COUNTIF(Tabela1[NF],Tabela1[[#This Row],[NF]])</f>
        <v>0</v>
      </c>
      <c r="K1631" s="84">
        <v>46066</v>
      </c>
      <c r="N1631" s="14" t="str" cm="1">
        <f t="array" ref="N1631">_xlfn.XLOOKUP(TRIM(D1631),TRIM(DFC!A:A),DFC!A:A,"NÃO ESTÁ NA DFC")</f>
        <v xml:space="preserve">          COMBUSTÍVEL</v>
      </c>
    </row>
    <row r="1632" spans="1:14" customFormat="1" ht="15" customHeight="1" x14ac:dyDescent="0.3">
      <c r="A1632" s="253"/>
      <c r="B1632" s="84">
        <v>46066</v>
      </c>
      <c r="C1632" s="254" t="s">
        <v>202</v>
      </c>
      <c r="D1632" s="84" t="s">
        <v>205</v>
      </c>
      <c r="E1632" s="81"/>
      <c r="F1632" s="85" t="s">
        <v>671</v>
      </c>
      <c r="G1632" s="255">
        <v>51.97</v>
      </c>
      <c r="H1632" s="1"/>
      <c r="I1632" s="1">
        <f>COUNTIF(Tabela1[NF],Tabela1[[#This Row],[NF]])</f>
        <v>0</v>
      </c>
      <c r="K1632" s="84">
        <v>46066</v>
      </c>
      <c r="N1632" s="14" t="str" cm="1">
        <f t="array" ref="N1632">_xlfn.XLOOKUP(TRIM(D1632),TRIM(DFC!A:A),DFC!A:A,"NÃO ESTÁ NA DFC")</f>
        <v xml:space="preserve">          DESPESAS DE VIAGEM</v>
      </c>
    </row>
    <row r="1633" spans="1:14" customFormat="1" ht="15" customHeight="1" x14ac:dyDescent="0.3">
      <c r="A1633" s="253"/>
      <c r="B1633" s="84">
        <v>46066</v>
      </c>
      <c r="C1633" s="254" t="s">
        <v>202</v>
      </c>
      <c r="D1633" s="84" t="s">
        <v>503</v>
      </c>
      <c r="E1633" s="81"/>
      <c r="F1633" s="85" t="s">
        <v>657</v>
      </c>
      <c r="G1633" s="255">
        <v>1500</v>
      </c>
      <c r="H1633" s="1"/>
      <c r="I1633" s="1">
        <f>COUNTIF(Tabela1[NF],Tabela1[[#This Row],[NF]])</f>
        <v>0</v>
      </c>
      <c r="K1633" s="84">
        <v>46066</v>
      </c>
      <c r="N1633" s="14" t="str" cm="1">
        <f t="array" ref="N1633">_xlfn.XLOOKUP(TRIM(D1633),TRIM(DFC!A:A),DFC!A:A,"NÃO ESTÁ NA DFC")</f>
        <v xml:space="preserve">     ADS SHOPEE</v>
      </c>
    </row>
    <row r="1634" spans="1:14" customFormat="1" ht="15" customHeight="1" x14ac:dyDescent="0.3">
      <c r="A1634" s="253"/>
      <c r="B1634" s="84">
        <v>46066</v>
      </c>
      <c r="C1634" s="254" t="s">
        <v>202</v>
      </c>
      <c r="D1634" s="84" t="s">
        <v>203</v>
      </c>
      <c r="E1634" s="81"/>
      <c r="F1634" s="85" t="s">
        <v>672</v>
      </c>
      <c r="G1634" s="255">
        <v>169</v>
      </c>
      <c r="H1634" s="1"/>
      <c r="I1634" s="1">
        <f>COUNTIF(Tabela1[NF],Tabela1[[#This Row],[NF]])</f>
        <v>0</v>
      </c>
      <c r="K1634" s="84">
        <v>46066</v>
      </c>
      <c r="N1634" s="14" t="str" cm="1">
        <f t="array" ref="N1634">_xlfn.XLOOKUP(TRIM(D1634),TRIM(DFC!A:A),DFC!A:A,"NÃO ESTÁ NA DFC")</f>
        <v xml:space="preserve">         ASSINATURAS</v>
      </c>
    </row>
    <row r="1635" spans="1:14" customFormat="1" ht="15" customHeight="1" x14ac:dyDescent="0.3">
      <c r="A1635" s="253"/>
      <c r="B1635" s="84">
        <v>46066</v>
      </c>
      <c r="C1635" s="254" t="s">
        <v>202</v>
      </c>
      <c r="D1635" s="84" t="s">
        <v>28</v>
      </c>
      <c r="E1635" s="81"/>
      <c r="F1635" s="85" t="s">
        <v>673</v>
      </c>
      <c r="G1635" s="255">
        <v>2175</v>
      </c>
      <c r="H1635" s="1"/>
      <c r="I1635" s="1">
        <f>COUNTIF(Tabela1[NF],Tabela1[[#This Row],[NF]])</f>
        <v>0</v>
      </c>
      <c r="K1635" s="84">
        <v>46066</v>
      </c>
      <c r="N1635" s="14" t="str" cm="1">
        <f t="array" ref="N1635">_xlfn.XLOOKUP(TRIM(D1635),TRIM(DFC!A:A),DFC!A:A,"NÃO ESTÁ NA DFC")</f>
        <v xml:space="preserve">          FERRAMENTAS PARA MANUTENÇÃO</v>
      </c>
    </row>
    <row r="1636" spans="1:14" customFormat="1" ht="15" customHeight="1" x14ac:dyDescent="0.3">
      <c r="A1636" s="253"/>
      <c r="B1636" s="84">
        <v>46066</v>
      </c>
      <c r="C1636" s="254" t="s">
        <v>202</v>
      </c>
      <c r="D1636" s="84" t="s">
        <v>28</v>
      </c>
      <c r="E1636" s="81"/>
      <c r="F1636" s="85" t="s">
        <v>674</v>
      </c>
      <c r="G1636" s="255">
        <v>759</v>
      </c>
      <c r="H1636" s="1"/>
      <c r="I1636" s="1">
        <f>COUNTIF(Tabela1[NF],Tabela1[[#This Row],[NF]])</f>
        <v>0</v>
      </c>
      <c r="K1636" s="84">
        <v>46066</v>
      </c>
      <c r="N1636" s="14" t="str" cm="1">
        <f t="array" ref="N1636">_xlfn.XLOOKUP(TRIM(D1636),TRIM(DFC!A:A),DFC!A:A,"NÃO ESTÁ NA DFC")</f>
        <v xml:space="preserve">          FERRAMENTAS PARA MANUTENÇÃO</v>
      </c>
    </row>
    <row r="1637" spans="1:14" customFormat="1" ht="15" customHeight="1" x14ac:dyDescent="0.3">
      <c r="A1637" s="253"/>
      <c r="B1637" s="84">
        <v>46066</v>
      </c>
      <c r="C1637" s="254" t="s">
        <v>202</v>
      </c>
      <c r="D1637" s="84" t="s">
        <v>19</v>
      </c>
      <c r="E1637" s="81"/>
      <c r="F1637" s="85" t="s">
        <v>664</v>
      </c>
      <c r="G1637" s="255">
        <v>2274.12</v>
      </c>
      <c r="H1637" s="1"/>
      <c r="I1637" s="1">
        <f>COUNTIF(Tabela1[NF],Tabela1[[#This Row],[NF]])</f>
        <v>0</v>
      </c>
      <c r="K1637" s="84">
        <v>46066</v>
      </c>
      <c r="N1637" s="14" t="str" cm="1">
        <f t="array" ref="N1637">_xlfn.XLOOKUP(TRIM(D1637),TRIM(DFC!A:A),DFC!A:A,"NÃO ESTÁ NA DFC")</f>
        <v xml:space="preserve">      PEÇAS</v>
      </c>
    </row>
    <row r="1638" spans="1:14" customFormat="1" ht="15" customHeight="1" x14ac:dyDescent="0.3">
      <c r="A1638" s="253"/>
      <c r="B1638" s="84">
        <v>46066</v>
      </c>
      <c r="C1638" s="254" t="s">
        <v>202</v>
      </c>
      <c r="D1638" s="84" t="s">
        <v>19</v>
      </c>
      <c r="E1638" s="81"/>
      <c r="F1638" s="85" t="s">
        <v>664</v>
      </c>
      <c r="G1638" s="255">
        <v>10283.07</v>
      </c>
      <c r="H1638" s="1"/>
      <c r="I1638" s="1">
        <f>COUNTIF(Tabela1[NF],Tabela1[[#This Row],[NF]])</f>
        <v>0</v>
      </c>
      <c r="K1638" s="84">
        <v>46066</v>
      </c>
      <c r="N1638" s="14" t="str" cm="1">
        <f t="array" ref="N1638">_xlfn.XLOOKUP(TRIM(D1638),TRIM(DFC!A:A),DFC!A:A,"NÃO ESTÁ NA DFC")</f>
        <v xml:space="preserve">      PEÇAS</v>
      </c>
    </row>
    <row r="1639" spans="1:14" customFormat="1" ht="15" customHeight="1" x14ac:dyDescent="0.3">
      <c r="A1639" s="253"/>
      <c r="B1639" s="84">
        <v>46066</v>
      </c>
      <c r="C1639" s="254" t="s">
        <v>202</v>
      </c>
      <c r="D1639" s="84" t="s">
        <v>203</v>
      </c>
      <c r="E1639" s="81"/>
      <c r="F1639" s="85" t="s">
        <v>675</v>
      </c>
      <c r="G1639" s="255">
        <v>1600</v>
      </c>
      <c r="H1639" s="1"/>
      <c r="I1639" s="1">
        <f>COUNTIF(Tabela1[NF],Tabela1[[#This Row],[NF]])</f>
        <v>0</v>
      </c>
      <c r="K1639" s="84">
        <v>46066</v>
      </c>
      <c r="N1639" s="14" t="str" cm="1">
        <f t="array" ref="N1639">_xlfn.XLOOKUP(TRIM(D1639),TRIM(DFC!A:A),DFC!A:A,"NÃO ESTÁ NA DFC")</f>
        <v xml:space="preserve">         ASSINATURAS</v>
      </c>
    </row>
    <row r="1640" spans="1:14" customFormat="1" ht="15" customHeight="1" x14ac:dyDescent="0.3">
      <c r="A1640" s="253"/>
      <c r="B1640" s="84">
        <v>46066</v>
      </c>
      <c r="C1640" s="254" t="s">
        <v>202</v>
      </c>
      <c r="D1640" s="84" t="s">
        <v>19</v>
      </c>
      <c r="E1640" s="81"/>
      <c r="F1640" s="85" t="s">
        <v>664</v>
      </c>
      <c r="G1640" s="255">
        <v>2114.3000000000002</v>
      </c>
      <c r="H1640" s="1"/>
      <c r="I1640" s="1">
        <f>COUNTIF(Tabela1[NF],Tabela1[[#This Row],[NF]])</f>
        <v>0</v>
      </c>
      <c r="K1640" s="84">
        <v>46066</v>
      </c>
      <c r="N1640" s="14" t="str" cm="1">
        <f t="array" ref="N1640">_xlfn.XLOOKUP(TRIM(D1640),TRIM(DFC!A:A),DFC!A:A,"NÃO ESTÁ NA DFC")</f>
        <v xml:space="preserve">      PEÇAS</v>
      </c>
    </row>
    <row r="1641" spans="1:14" customFormat="1" ht="15" customHeight="1" x14ac:dyDescent="0.3">
      <c r="A1641" s="253"/>
      <c r="B1641" s="84">
        <v>46066</v>
      </c>
      <c r="C1641" s="254" t="s">
        <v>202</v>
      </c>
      <c r="D1641" s="84" t="s">
        <v>104</v>
      </c>
      <c r="E1641" s="81"/>
      <c r="F1641" s="85" t="s">
        <v>656</v>
      </c>
      <c r="G1641" s="255">
        <v>84.99</v>
      </c>
      <c r="H1641" s="1"/>
      <c r="I1641" s="1">
        <f>COUNTIF(Tabela1[NF],Tabela1[[#This Row],[NF]])</f>
        <v>0</v>
      </c>
      <c r="K1641" s="84">
        <v>46066</v>
      </c>
      <c r="N1641" s="14" t="str" cm="1">
        <f t="array" ref="N1641">_xlfn.XLOOKUP(TRIM(D1641),TRIM(DFC!A:A),DFC!A:A,"NÃO ESTÁ NA DFC")</f>
        <v xml:space="preserve">          OUTRAS DESPESAS ADMINISTRATIVAS</v>
      </c>
    </row>
    <row r="1642" spans="1:14" customFormat="1" ht="15" customHeight="1" x14ac:dyDescent="0.3">
      <c r="A1642" s="253"/>
      <c r="B1642" s="84">
        <v>46066</v>
      </c>
      <c r="C1642" s="254" t="s">
        <v>202</v>
      </c>
      <c r="D1642" s="84" t="s">
        <v>57</v>
      </c>
      <c r="E1642" s="81"/>
      <c r="F1642" s="85" t="s">
        <v>676</v>
      </c>
      <c r="G1642" s="255">
        <v>641</v>
      </c>
      <c r="H1642" s="1"/>
      <c r="I1642" s="1">
        <f>COUNTIF(Tabela1[NF],Tabela1[[#This Row],[NF]])</f>
        <v>0</v>
      </c>
      <c r="K1642" s="84">
        <v>46066</v>
      </c>
      <c r="N1642" s="14" t="str" cm="1">
        <f t="array" ref="N1642">_xlfn.XLOOKUP(TRIM(D1642),TRIM(DFC!A:A),DFC!A:A,"NÃO ESTÁ NA DFC")</f>
        <v xml:space="preserve">          ALIMENTAÇÃO</v>
      </c>
    </row>
    <row r="1643" spans="1:14" customFormat="1" ht="15" customHeight="1" x14ac:dyDescent="0.3">
      <c r="A1643" s="253"/>
      <c r="B1643" s="84">
        <v>46066</v>
      </c>
      <c r="C1643" s="254" t="s">
        <v>202</v>
      </c>
      <c r="D1643" s="84" t="s">
        <v>203</v>
      </c>
      <c r="E1643" s="81"/>
      <c r="F1643" s="85" t="s">
        <v>677</v>
      </c>
      <c r="G1643" s="255">
        <v>64.7</v>
      </c>
      <c r="H1643" s="1"/>
      <c r="I1643" s="1">
        <f>COUNTIF(Tabela1[NF],Tabela1[[#This Row],[NF]])</f>
        <v>0</v>
      </c>
      <c r="K1643" s="84">
        <v>46066</v>
      </c>
      <c r="N1643" s="14" t="str" cm="1">
        <f t="array" ref="N1643">_xlfn.XLOOKUP(TRIM(D1643),TRIM(DFC!A:A),DFC!A:A,"NÃO ESTÁ NA DFC")</f>
        <v xml:space="preserve">         ASSINATURAS</v>
      </c>
    </row>
    <row r="1644" spans="1:14" customFormat="1" ht="15" customHeight="1" x14ac:dyDescent="0.3">
      <c r="A1644" s="253"/>
      <c r="B1644" s="84">
        <v>46066</v>
      </c>
      <c r="C1644" s="254" t="s">
        <v>202</v>
      </c>
      <c r="D1644" s="84" t="s">
        <v>503</v>
      </c>
      <c r="E1644" s="81"/>
      <c r="F1644" s="85" t="s">
        <v>657</v>
      </c>
      <c r="G1644" s="255">
        <v>1800</v>
      </c>
      <c r="H1644" s="1"/>
      <c r="I1644" s="1">
        <f>COUNTIF(Tabela1[NF],Tabela1[[#This Row],[NF]])</f>
        <v>0</v>
      </c>
      <c r="K1644" s="84">
        <v>46066</v>
      </c>
      <c r="N1644" s="14" t="str" cm="1">
        <f t="array" ref="N1644">_xlfn.XLOOKUP(TRIM(D1644),TRIM(DFC!A:A),DFC!A:A,"NÃO ESTÁ NA DFC")</f>
        <v xml:space="preserve">     ADS SHOPEE</v>
      </c>
    </row>
    <row r="1645" spans="1:14" customFormat="1" ht="15" customHeight="1" x14ac:dyDescent="0.3">
      <c r="A1645" s="253"/>
      <c r="B1645" s="84">
        <v>46066</v>
      </c>
      <c r="C1645" s="254" t="s">
        <v>202</v>
      </c>
      <c r="D1645" s="84" t="s">
        <v>19</v>
      </c>
      <c r="E1645" s="81"/>
      <c r="F1645" s="85" t="s">
        <v>664</v>
      </c>
      <c r="G1645" s="255">
        <v>6917</v>
      </c>
      <c r="H1645" s="1"/>
      <c r="I1645" s="1">
        <f>COUNTIF(Tabela1[NF],Tabela1[[#This Row],[NF]])</f>
        <v>0</v>
      </c>
      <c r="K1645" s="84">
        <v>46066</v>
      </c>
      <c r="N1645" s="14" t="str" cm="1">
        <f t="array" ref="N1645">_xlfn.XLOOKUP(TRIM(D1645),TRIM(DFC!A:A),DFC!A:A,"NÃO ESTÁ NA DFC")</f>
        <v xml:space="preserve">      PEÇAS</v>
      </c>
    </row>
    <row r="1646" spans="1:14" customFormat="1" ht="15" customHeight="1" x14ac:dyDescent="0.3">
      <c r="A1646" s="253"/>
      <c r="B1646" s="84">
        <v>46066</v>
      </c>
      <c r="C1646" s="254" t="s">
        <v>202</v>
      </c>
      <c r="D1646" s="84" t="s">
        <v>19</v>
      </c>
      <c r="E1646" s="81"/>
      <c r="F1646" s="85" t="s">
        <v>664</v>
      </c>
      <c r="G1646" s="255">
        <v>482</v>
      </c>
      <c r="H1646" s="1"/>
      <c r="I1646" s="1">
        <f>COUNTIF(Tabela1[NF],Tabela1[[#This Row],[NF]])</f>
        <v>0</v>
      </c>
      <c r="K1646" s="84">
        <v>46066</v>
      </c>
      <c r="N1646" s="14" t="str" cm="1">
        <f t="array" ref="N1646">_xlfn.XLOOKUP(TRIM(D1646),TRIM(DFC!A:A),DFC!A:A,"NÃO ESTÁ NA DFC")</f>
        <v xml:space="preserve">      PEÇAS</v>
      </c>
    </row>
    <row r="1647" spans="1:14" customFormat="1" ht="15" customHeight="1" x14ac:dyDescent="0.3">
      <c r="A1647" s="253"/>
      <c r="B1647" s="84">
        <v>46066</v>
      </c>
      <c r="C1647" s="254" t="s">
        <v>202</v>
      </c>
      <c r="D1647" s="84" t="s">
        <v>19</v>
      </c>
      <c r="E1647" s="81"/>
      <c r="F1647" s="85" t="s">
        <v>664</v>
      </c>
      <c r="G1647" s="255">
        <v>2127.9299999999998</v>
      </c>
      <c r="H1647" s="1"/>
      <c r="I1647" s="1">
        <f>COUNTIF(Tabela1[NF],Tabela1[[#This Row],[NF]])</f>
        <v>0</v>
      </c>
      <c r="K1647" s="84">
        <v>46066</v>
      </c>
      <c r="N1647" s="14" t="str" cm="1">
        <f t="array" ref="N1647">_xlfn.XLOOKUP(TRIM(D1647),TRIM(DFC!A:A),DFC!A:A,"NÃO ESTÁ NA DFC")</f>
        <v xml:space="preserve">      PEÇAS</v>
      </c>
    </row>
    <row r="1648" spans="1:14" customFormat="1" ht="15" customHeight="1" x14ac:dyDescent="0.3">
      <c r="A1648" s="253"/>
      <c r="B1648" s="84">
        <v>46066</v>
      </c>
      <c r="C1648" s="254" t="s">
        <v>202</v>
      </c>
      <c r="D1648" s="84" t="s">
        <v>19</v>
      </c>
      <c r="E1648" s="81"/>
      <c r="F1648" s="85" t="s">
        <v>664</v>
      </c>
      <c r="G1648" s="255">
        <v>1070.69</v>
      </c>
      <c r="H1648" s="1"/>
      <c r="I1648" s="1">
        <f>COUNTIF(Tabela1[NF],Tabela1[[#This Row],[NF]])</f>
        <v>0</v>
      </c>
      <c r="K1648" s="84">
        <v>46066</v>
      </c>
      <c r="N1648" s="14" t="str" cm="1">
        <f t="array" ref="N1648">_xlfn.XLOOKUP(TRIM(D1648),TRIM(DFC!A:A),DFC!A:A,"NÃO ESTÁ NA DFC")</f>
        <v xml:space="preserve">      PEÇAS</v>
      </c>
    </row>
    <row r="1649" spans="1:14" customFormat="1" ht="15" customHeight="1" x14ac:dyDescent="0.3">
      <c r="A1649" s="253"/>
      <c r="B1649" s="84">
        <v>46066</v>
      </c>
      <c r="C1649" s="254" t="s">
        <v>202</v>
      </c>
      <c r="D1649" s="84" t="s">
        <v>72</v>
      </c>
      <c r="E1649" s="81"/>
      <c r="F1649" s="85" t="s">
        <v>670</v>
      </c>
      <c r="G1649" s="255">
        <v>288.51</v>
      </c>
      <c r="H1649" s="1"/>
      <c r="I1649" s="1">
        <f>COUNTIF(Tabela1[NF],Tabela1[[#This Row],[NF]])</f>
        <v>0</v>
      </c>
      <c r="K1649" s="84">
        <v>46066</v>
      </c>
      <c r="N1649" s="14" t="str" cm="1">
        <f t="array" ref="N1649">_xlfn.XLOOKUP(TRIM(D1649),TRIM(DFC!A:A),DFC!A:A,"NÃO ESTÁ NA DFC")</f>
        <v xml:space="preserve">          COMBUSTÍVEL</v>
      </c>
    </row>
    <row r="1650" spans="1:14" customFormat="1" ht="15" customHeight="1" x14ac:dyDescent="0.3">
      <c r="A1650" s="253"/>
      <c r="B1650" s="84">
        <v>46066</v>
      </c>
      <c r="C1650" s="254" t="s">
        <v>202</v>
      </c>
      <c r="D1650" s="84" t="s">
        <v>19</v>
      </c>
      <c r="E1650" s="81"/>
      <c r="F1650" s="85" t="s">
        <v>664</v>
      </c>
      <c r="G1650" s="255">
        <v>1618.03</v>
      </c>
      <c r="H1650" s="1"/>
      <c r="I1650" s="1">
        <f>COUNTIF(Tabela1[NF],Tabela1[[#This Row],[NF]])</f>
        <v>0</v>
      </c>
      <c r="K1650" s="84">
        <v>46066</v>
      </c>
      <c r="N1650" s="14" t="str" cm="1">
        <f t="array" ref="N1650">_xlfn.XLOOKUP(TRIM(D1650),TRIM(DFC!A:A),DFC!A:A,"NÃO ESTÁ NA DFC")</f>
        <v xml:space="preserve">      PEÇAS</v>
      </c>
    </row>
    <row r="1651" spans="1:14" customFormat="1" ht="15" customHeight="1" x14ac:dyDescent="0.3">
      <c r="A1651" s="253"/>
      <c r="B1651" s="84">
        <v>46066</v>
      </c>
      <c r="C1651" s="254" t="s">
        <v>202</v>
      </c>
      <c r="D1651" s="84" t="s">
        <v>19</v>
      </c>
      <c r="E1651" s="81"/>
      <c r="F1651" s="85" t="s">
        <v>664</v>
      </c>
      <c r="G1651" s="255">
        <v>4199.0600000000004</v>
      </c>
      <c r="H1651" s="1"/>
      <c r="I1651" s="1">
        <f>COUNTIF(Tabela1[NF],Tabela1[[#This Row],[NF]])</f>
        <v>0</v>
      </c>
      <c r="K1651" s="84">
        <v>46066</v>
      </c>
      <c r="N1651" s="14" t="str" cm="1">
        <f t="array" ref="N1651">_xlfn.XLOOKUP(TRIM(D1651),TRIM(DFC!A:A),DFC!A:A,"NÃO ESTÁ NA DFC")</f>
        <v xml:space="preserve">      PEÇAS</v>
      </c>
    </row>
    <row r="1652" spans="1:14" customFormat="1" ht="15" customHeight="1" x14ac:dyDescent="0.3">
      <c r="A1652" s="253"/>
      <c r="B1652" s="84">
        <v>46066</v>
      </c>
      <c r="C1652" s="254" t="s">
        <v>202</v>
      </c>
      <c r="D1652" s="84" t="s">
        <v>503</v>
      </c>
      <c r="E1652" s="81"/>
      <c r="F1652" s="85" t="s">
        <v>657</v>
      </c>
      <c r="G1652" s="255">
        <v>1800</v>
      </c>
      <c r="H1652" s="1"/>
      <c r="I1652" s="1">
        <f>COUNTIF(Tabela1[NF],Tabela1[[#This Row],[NF]])</f>
        <v>0</v>
      </c>
      <c r="K1652" s="84">
        <v>46066</v>
      </c>
      <c r="N1652" s="14" t="str" cm="1">
        <f t="array" ref="N1652">_xlfn.XLOOKUP(TRIM(D1652),TRIM(DFC!A:A),DFC!A:A,"NÃO ESTÁ NA DFC")</f>
        <v xml:space="preserve">     ADS SHOPEE</v>
      </c>
    </row>
    <row r="1653" spans="1:14" customFormat="1" ht="15" customHeight="1" x14ac:dyDescent="0.3">
      <c r="A1653" s="253"/>
      <c r="B1653" s="84">
        <v>46066</v>
      </c>
      <c r="C1653" s="254" t="s">
        <v>202</v>
      </c>
      <c r="D1653" s="84" t="s">
        <v>475</v>
      </c>
      <c r="E1653" s="81"/>
      <c r="F1653" s="85" t="s">
        <v>678</v>
      </c>
      <c r="G1653" s="255">
        <v>145.63999999999999</v>
      </c>
      <c r="H1653" s="1"/>
      <c r="I1653" s="1">
        <f>COUNTIF(Tabela1[NF],Tabela1[[#This Row],[NF]])</f>
        <v>0</v>
      </c>
      <c r="K1653" s="84">
        <v>46066</v>
      </c>
      <c r="N1653" s="14" t="str" cm="1">
        <f t="array" ref="N1653">_xlfn.XLOOKUP(TRIM(D1653),TRIM(DFC!A:A),DFC!A:A,"NÃO ESTÁ NA DFC")</f>
        <v xml:space="preserve">          SEGURO DE VEICULOS</v>
      </c>
    </row>
    <row r="1654" spans="1:14" customFormat="1" ht="15" customHeight="1" x14ac:dyDescent="0.3">
      <c r="A1654" s="253"/>
      <c r="B1654" s="84">
        <v>46066</v>
      </c>
      <c r="C1654" s="254" t="s">
        <v>202</v>
      </c>
      <c r="D1654" s="84" t="s">
        <v>57</v>
      </c>
      <c r="E1654" s="81"/>
      <c r="F1654" s="85" t="s">
        <v>679</v>
      </c>
      <c r="G1654" s="255">
        <v>23</v>
      </c>
      <c r="H1654" s="1"/>
      <c r="I1654" s="1">
        <f>COUNTIF(Tabela1[NF],Tabela1[[#This Row],[NF]])</f>
        <v>0</v>
      </c>
      <c r="K1654" s="84">
        <v>46066</v>
      </c>
      <c r="N1654" s="14" t="str" cm="1">
        <f t="array" ref="N1654">_xlfn.XLOOKUP(TRIM(D1654),TRIM(DFC!A:A),DFC!A:A,"NÃO ESTÁ NA DFC")</f>
        <v xml:space="preserve">          ALIMENTAÇÃO</v>
      </c>
    </row>
    <row r="1655" spans="1:14" customFormat="1" ht="15" customHeight="1" x14ac:dyDescent="0.3">
      <c r="A1655" s="253"/>
      <c r="B1655" s="84">
        <v>46066</v>
      </c>
      <c r="C1655" s="254" t="s">
        <v>202</v>
      </c>
      <c r="D1655" s="84" t="s">
        <v>72</v>
      </c>
      <c r="E1655" s="81"/>
      <c r="F1655" s="85" t="s">
        <v>680</v>
      </c>
      <c r="G1655" s="255">
        <v>340.54</v>
      </c>
      <c r="H1655" s="1"/>
      <c r="I1655" s="1">
        <f>COUNTIF(Tabela1[NF],Tabela1[[#This Row],[NF]])</f>
        <v>0</v>
      </c>
      <c r="K1655" s="84">
        <v>46066</v>
      </c>
      <c r="N1655" s="14" t="str" cm="1">
        <f t="array" ref="N1655">_xlfn.XLOOKUP(TRIM(D1655),TRIM(DFC!A:A),DFC!A:A,"NÃO ESTÁ NA DFC")</f>
        <v xml:space="preserve">          COMBUSTÍVEL</v>
      </c>
    </row>
    <row r="1656" spans="1:14" customFormat="1" ht="15" customHeight="1" x14ac:dyDescent="0.3">
      <c r="A1656" s="253"/>
      <c r="B1656" s="84">
        <v>46066</v>
      </c>
      <c r="C1656" s="254" t="s">
        <v>202</v>
      </c>
      <c r="D1656" s="84" t="s">
        <v>79</v>
      </c>
      <c r="E1656" s="81"/>
      <c r="F1656" s="85" t="s">
        <v>681</v>
      </c>
      <c r="G1656" s="255">
        <v>435</v>
      </c>
      <c r="H1656" s="1"/>
      <c r="I1656" s="1">
        <f>COUNTIF(Tabela1[NF],Tabela1[[#This Row],[NF]])</f>
        <v>0</v>
      </c>
      <c r="K1656" s="84">
        <v>46066</v>
      </c>
      <c r="N1656" s="14" t="str" cm="1">
        <f t="array" ref="N1656">_xlfn.XLOOKUP(TRIM(D1656),TRIM(DFC!A:A),DFC!A:A,"NÃO ESTÁ NA DFC")</f>
        <v xml:space="preserve">     DESP DE MARKETING E PROPAGANDA</v>
      </c>
    </row>
    <row r="1657" spans="1:14" customFormat="1" ht="15" customHeight="1" x14ac:dyDescent="0.3">
      <c r="A1657" s="253"/>
      <c r="B1657" s="84">
        <v>46066</v>
      </c>
      <c r="C1657" s="254" t="s">
        <v>202</v>
      </c>
      <c r="D1657" s="84" t="s">
        <v>590</v>
      </c>
      <c r="E1657" s="81"/>
      <c r="F1657" s="85" t="s">
        <v>682</v>
      </c>
      <c r="G1657" s="255">
        <v>1705.52</v>
      </c>
      <c r="H1657" s="1"/>
      <c r="I1657" s="1">
        <f>COUNTIF(Tabela1[NF],Tabela1[[#This Row],[NF]])</f>
        <v>0</v>
      </c>
      <c r="K1657" s="84">
        <v>46066</v>
      </c>
      <c r="N1657" s="14" t="str" cm="1">
        <f t="array" ref="N1657">_xlfn.XLOOKUP(TRIM(D1657),TRIM(DFC!A:A),DFC!A:A,"NÃO ESTÁ NA DFC")</f>
        <v xml:space="preserve">          DESPESAS MANUTENCAO VEICULOS</v>
      </c>
    </row>
    <row r="1658" spans="1:14" customFormat="1" ht="15" customHeight="1" x14ac:dyDescent="0.3">
      <c r="A1658" s="253"/>
      <c r="B1658" s="84">
        <v>46066</v>
      </c>
      <c r="C1658" s="254" t="s">
        <v>202</v>
      </c>
      <c r="D1658" s="84" t="s">
        <v>104</v>
      </c>
      <c r="E1658" s="81"/>
      <c r="F1658" s="85" t="s">
        <v>683</v>
      </c>
      <c r="G1658" s="255">
        <v>165.25</v>
      </c>
      <c r="H1658" s="1"/>
      <c r="I1658" s="1">
        <f>COUNTIF(Tabela1[NF],Tabela1[[#This Row],[NF]])</f>
        <v>0</v>
      </c>
      <c r="K1658" s="84">
        <v>46066</v>
      </c>
      <c r="N1658" s="14" t="str" cm="1">
        <f t="array" ref="N1658">_xlfn.XLOOKUP(TRIM(D1658),TRIM(DFC!A:A),DFC!A:A,"NÃO ESTÁ NA DFC")</f>
        <v xml:space="preserve">          OUTRAS DESPESAS ADMINISTRATIVAS</v>
      </c>
    </row>
    <row r="1659" spans="1:14" customFormat="1" ht="15" customHeight="1" x14ac:dyDescent="0.3">
      <c r="A1659" s="253"/>
      <c r="B1659" s="84">
        <v>46066</v>
      </c>
      <c r="C1659" s="254" t="s">
        <v>202</v>
      </c>
      <c r="D1659" s="84" t="s">
        <v>76</v>
      </c>
      <c r="E1659" s="81"/>
      <c r="F1659" s="85" t="s">
        <v>684</v>
      </c>
      <c r="G1659" s="255">
        <v>184.12</v>
      </c>
      <c r="H1659" s="1"/>
      <c r="I1659" s="1">
        <f>COUNTIF(Tabela1[NF],Tabela1[[#This Row],[NF]])</f>
        <v>0</v>
      </c>
      <c r="K1659" s="84">
        <v>46066</v>
      </c>
      <c r="N1659" s="14" t="str" cm="1">
        <f t="array" ref="N1659">_xlfn.XLOOKUP(TRIM(D1659),TRIM(DFC!A:A),DFC!A:A,"NÃO ESTÁ NA DFC")</f>
        <v xml:space="preserve">          COMPRA DE MÓVEIS E UTENSÍLIOS</v>
      </c>
    </row>
    <row r="1660" spans="1:14" customFormat="1" ht="15" customHeight="1" x14ac:dyDescent="0.3">
      <c r="A1660" s="253"/>
      <c r="B1660" s="84">
        <v>46066</v>
      </c>
      <c r="C1660" s="254" t="s">
        <v>202</v>
      </c>
      <c r="D1660" s="84" t="s">
        <v>104</v>
      </c>
      <c r="E1660" s="81"/>
      <c r="F1660" s="85" t="s">
        <v>685</v>
      </c>
      <c r="G1660" s="255">
        <v>99.8</v>
      </c>
      <c r="H1660" s="1"/>
      <c r="I1660" s="1">
        <f>COUNTIF(Tabela1[NF],Tabela1[[#This Row],[NF]])</f>
        <v>0</v>
      </c>
      <c r="K1660" s="84">
        <v>46066</v>
      </c>
      <c r="N1660" s="14" t="str" cm="1">
        <f t="array" ref="N1660">_xlfn.XLOOKUP(TRIM(D1660),TRIM(DFC!A:A),DFC!A:A,"NÃO ESTÁ NA DFC")</f>
        <v xml:space="preserve">          OUTRAS DESPESAS ADMINISTRATIVAS</v>
      </c>
    </row>
    <row r="1661" spans="1:14" customFormat="1" ht="15" customHeight="1" x14ac:dyDescent="0.3">
      <c r="A1661" s="253"/>
      <c r="B1661" s="84">
        <v>46066</v>
      </c>
      <c r="C1661" s="254" t="s">
        <v>202</v>
      </c>
      <c r="D1661" s="84" t="s">
        <v>104</v>
      </c>
      <c r="E1661" s="81"/>
      <c r="F1661" s="85" t="s">
        <v>686</v>
      </c>
      <c r="G1661" s="255">
        <v>35</v>
      </c>
      <c r="H1661" s="1"/>
      <c r="I1661" s="1">
        <f>COUNTIF(Tabela1[NF],Tabela1[[#This Row],[NF]])</f>
        <v>0</v>
      </c>
      <c r="K1661" s="84">
        <v>46066</v>
      </c>
      <c r="N1661" s="14" t="str" cm="1">
        <f t="array" ref="N1661">_xlfn.XLOOKUP(TRIM(D1661),TRIM(DFC!A:A),DFC!A:A,"NÃO ESTÁ NA DFC")</f>
        <v xml:space="preserve">          OUTRAS DESPESAS ADMINISTRATIVAS</v>
      </c>
    </row>
    <row r="1662" spans="1:14" customFormat="1" ht="15" customHeight="1" x14ac:dyDescent="0.3">
      <c r="A1662" s="253"/>
      <c r="B1662" s="84">
        <v>46066</v>
      </c>
      <c r="C1662" s="254" t="s">
        <v>202</v>
      </c>
      <c r="D1662" s="84" t="s">
        <v>203</v>
      </c>
      <c r="E1662" s="81"/>
      <c r="F1662" s="85" t="s">
        <v>687</v>
      </c>
      <c r="G1662" s="255">
        <v>58.8</v>
      </c>
      <c r="H1662" s="1"/>
      <c r="I1662" s="1">
        <f>COUNTIF(Tabela1[NF],Tabela1[[#This Row],[NF]])</f>
        <v>0</v>
      </c>
      <c r="K1662" s="84">
        <v>46066</v>
      </c>
      <c r="N1662" s="14" t="str" cm="1">
        <f t="array" ref="N1662">_xlfn.XLOOKUP(TRIM(D1662),TRIM(DFC!A:A),DFC!A:A,"NÃO ESTÁ NA DFC")</f>
        <v xml:space="preserve">         ASSINATURAS</v>
      </c>
    </row>
    <row r="1663" spans="1:14" customFormat="1" ht="15" customHeight="1" x14ac:dyDescent="0.3">
      <c r="A1663" s="253"/>
      <c r="B1663" s="84">
        <v>46066</v>
      </c>
      <c r="C1663" s="254" t="s">
        <v>202</v>
      </c>
      <c r="D1663" s="84" t="s">
        <v>203</v>
      </c>
      <c r="E1663" s="81"/>
      <c r="F1663" s="85" t="s">
        <v>688</v>
      </c>
      <c r="G1663" s="255">
        <v>269.99</v>
      </c>
      <c r="H1663" s="1"/>
      <c r="I1663" s="1">
        <f>COUNTIF(Tabela1[NF],Tabela1[[#This Row],[NF]])</f>
        <v>0</v>
      </c>
      <c r="K1663" s="84">
        <v>46066</v>
      </c>
      <c r="N1663" s="14" t="str" cm="1">
        <f t="array" ref="N1663">_xlfn.XLOOKUP(TRIM(D1663),TRIM(DFC!A:A),DFC!A:A,"NÃO ESTÁ NA DFC")</f>
        <v xml:space="preserve">         ASSINATURAS</v>
      </c>
    </row>
    <row r="1664" spans="1:14" customFormat="1" ht="15" customHeight="1" x14ac:dyDescent="0.3">
      <c r="A1664" s="19"/>
      <c r="B1664" s="21">
        <v>46071</v>
      </c>
      <c r="C1664" s="21" t="s">
        <v>15</v>
      </c>
      <c r="D1664" s="21" t="s">
        <v>82</v>
      </c>
      <c r="E1664" s="20"/>
      <c r="F1664" s="22" t="s">
        <v>625</v>
      </c>
      <c r="G1664" s="252">
        <v>362.5</v>
      </c>
      <c r="H1664" s="19"/>
      <c r="I1664" s="19">
        <f>COUNTIF(Tabela1[NF],Tabela1[[#This Row],[NF]])</f>
        <v>0</v>
      </c>
      <c r="J1664" s="22"/>
      <c r="K1664" s="21">
        <v>46071</v>
      </c>
      <c r="L1664" s="22"/>
      <c r="M1664" s="22"/>
      <c r="N1664" s="14" t="str" cm="1">
        <f t="array" ref="N1664">_xlfn.XLOOKUP(TRIM(D1664),TRIM(DFC!A:A),DFC!A:A,"NÃO ESTÁ NA DFC")</f>
        <v xml:space="preserve">          DIÁRIAS</v>
      </c>
    </row>
    <row r="1665" spans="1:14" customFormat="1" ht="15" customHeight="1" x14ac:dyDescent="0.3">
      <c r="A1665" s="19"/>
      <c r="B1665" s="21">
        <v>46071</v>
      </c>
      <c r="C1665" s="21" t="s">
        <v>15</v>
      </c>
      <c r="D1665" s="21" t="s">
        <v>72</v>
      </c>
      <c r="E1665" s="20"/>
      <c r="F1665" s="22" t="s">
        <v>380</v>
      </c>
      <c r="G1665" s="252">
        <v>606.66</v>
      </c>
      <c r="H1665" s="19"/>
      <c r="I1665" s="19">
        <f>COUNTIF(Tabela1[NF],Tabela1[[#This Row],[NF]])</f>
        <v>0</v>
      </c>
      <c r="J1665" s="22"/>
      <c r="K1665" s="21">
        <v>46071</v>
      </c>
      <c r="L1665" s="22"/>
      <c r="M1665" s="22"/>
      <c r="N1665" s="14" t="str" cm="1">
        <f t="array" ref="N1665">_xlfn.XLOOKUP(TRIM(D1665),TRIM(DFC!A:A),DFC!A:A,"NÃO ESTÁ NA DFC")</f>
        <v xml:space="preserve">          COMBUSTÍVEL</v>
      </c>
    </row>
    <row r="1666" spans="1:14" customFormat="1" ht="15" customHeight="1" x14ac:dyDescent="0.3">
      <c r="A1666" s="19"/>
      <c r="B1666" s="21">
        <v>46071</v>
      </c>
      <c r="C1666" s="21" t="s">
        <v>15</v>
      </c>
      <c r="D1666" s="21" t="s">
        <v>156</v>
      </c>
      <c r="E1666" s="20" t="s">
        <v>597</v>
      </c>
      <c r="F1666" s="22" t="s">
        <v>314</v>
      </c>
      <c r="G1666" s="252">
        <v>3882.5</v>
      </c>
      <c r="H1666" s="19"/>
      <c r="I1666" s="19">
        <f>COUNTIF(Tabela1[NF],Tabela1[[#This Row],[NF]])</f>
        <v>0</v>
      </c>
      <c r="J1666" s="22"/>
      <c r="K1666" s="21">
        <v>46071</v>
      </c>
      <c r="L1666" s="22"/>
      <c r="M1666" s="22"/>
      <c r="N1666" s="14" t="str" cm="1">
        <f t="array" ref="N1666">_xlfn.XLOOKUP(TRIM(D1666),TRIM(DFC!A:A),DFC!A:A,"NÃO ESTÁ NA DFC")</f>
        <v xml:space="preserve">      MONTAGEM DE RODAS</v>
      </c>
    </row>
    <row r="1667" spans="1:14" customFormat="1" ht="15" customHeight="1" x14ac:dyDescent="0.3">
      <c r="A1667" s="19"/>
      <c r="B1667" s="21">
        <v>46071</v>
      </c>
      <c r="C1667" s="21" t="s">
        <v>15</v>
      </c>
      <c r="D1667" s="21" t="s">
        <v>107</v>
      </c>
      <c r="E1667" s="20" t="s">
        <v>517</v>
      </c>
      <c r="F1667" s="22" t="s">
        <v>230</v>
      </c>
      <c r="G1667" s="252">
        <v>4586.54</v>
      </c>
      <c r="H1667" s="19"/>
      <c r="I1667" s="19">
        <f>COUNTIF(Tabela1[NF],Tabela1[[#This Row],[NF]])</f>
        <v>0</v>
      </c>
      <c r="J1667" s="22"/>
      <c r="K1667" s="21">
        <v>46071</v>
      </c>
      <c r="L1667" s="22"/>
      <c r="M1667" s="22"/>
      <c r="N1667" s="14" t="str" cm="1">
        <f t="array" ref="N1667">_xlfn.XLOOKUP(TRIM(D1667),TRIM(DFC!A:A),DFC!A:A,"NÃO ESTÁ NA DFC")</f>
        <v xml:space="preserve">          PRÓ LABORE </v>
      </c>
    </row>
    <row r="1668" spans="1:14" customFormat="1" ht="15" customHeight="1" x14ac:dyDescent="0.3">
      <c r="A1668" s="19"/>
      <c r="B1668" s="21">
        <v>46071</v>
      </c>
      <c r="C1668" s="21" t="s">
        <v>15</v>
      </c>
      <c r="D1668" s="21" t="s">
        <v>19</v>
      </c>
      <c r="E1668" s="20"/>
      <c r="F1668" s="22" t="s">
        <v>30</v>
      </c>
      <c r="G1668" s="252">
        <v>6809.4</v>
      </c>
      <c r="H1668" s="19"/>
      <c r="I1668" s="19">
        <f>COUNTIF(Tabela1[NF],Tabela1[[#This Row],[NF]])</f>
        <v>0</v>
      </c>
      <c r="J1668" s="22"/>
      <c r="K1668" s="21">
        <v>46071</v>
      </c>
      <c r="L1668" s="22"/>
      <c r="M1668" s="22"/>
      <c r="N1668" s="14" t="str" cm="1">
        <f t="array" ref="N1668">_xlfn.XLOOKUP(TRIM(D1668),TRIM(DFC!A:A),DFC!A:A,"NÃO ESTÁ NA DFC")</f>
        <v xml:space="preserve">      PEÇAS</v>
      </c>
    </row>
    <row r="1669" spans="1:14" customFormat="1" ht="15" customHeight="1" x14ac:dyDescent="0.3">
      <c r="A1669" s="19"/>
      <c r="B1669" s="21">
        <v>46071</v>
      </c>
      <c r="C1669" s="21" t="s">
        <v>15</v>
      </c>
      <c r="D1669" s="21" t="s">
        <v>19</v>
      </c>
      <c r="E1669" s="20"/>
      <c r="F1669" s="22" t="s">
        <v>310</v>
      </c>
      <c r="G1669" s="252">
        <v>391.9</v>
      </c>
      <c r="H1669" s="19"/>
      <c r="I1669" s="19">
        <f>COUNTIF(Tabela1[NF],Tabela1[[#This Row],[NF]])</f>
        <v>0</v>
      </c>
      <c r="J1669" s="22"/>
      <c r="K1669" s="21">
        <v>46071</v>
      </c>
      <c r="L1669" s="22"/>
      <c r="M1669" s="22"/>
      <c r="N1669" s="14" t="str" cm="1">
        <f t="array" ref="N1669">_xlfn.XLOOKUP(TRIM(D1669),TRIM(DFC!A:A),DFC!A:A,"NÃO ESTÁ NA DFC")</f>
        <v xml:space="preserve">      PEÇAS</v>
      </c>
    </row>
    <row r="1670" spans="1:14" customFormat="1" ht="15" customHeight="1" x14ac:dyDescent="0.3">
      <c r="A1670" s="19"/>
      <c r="B1670" s="21">
        <v>46071</v>
      </c>
      <c r="C1670" s="21" t="s">
        <v>15</v>
      </c>
      <c r="D1670" s="21" t="s">
        <v>19</v>
      </c>
      <c r="E1670" s="20"/>
      <c r="F1670" s="22" t="s">
        <v>689</v>
      </c>
      <c r="G1670" s="252">
        <v>3066.2</v>
      </c>
      <c r="H1670" s="19"/>
      <c r="I1670" s="19">
        <f>COUNTIF(Tabela1[NF],Tabela1[[#This Row],[NF]])</f>
        <v>0</v>
      </c>
      <c r="J1670" s="22"/>
      <c r="K1670" s="21">
        <v>46071</v>
      </c>
      <c r="L1670" s="22"/>
      <c r="M1670" s="22"/>
      <c r="N1670" s="14" t="str" cm="1">
        <f t="array" ref="N1670">_xlfn.XLOOKUP(TRIM(D1670),TRIM(DFC!A:A),DFC!A:A,"NÃO ESTÁ NA DFC")</f>
        <v xml:space="preserve">      PEÇAS</v>
      </c>
    </row>
    <row r="1671" spans="1:14" customFormat="1" ht="15" customHeight="1" x14ac:dyDescent="0.3">
      <c r="A1671" s="19"/>
      <c r="B1671" s="21">
        <v>46071</v>
      </c>
      <c r="C1671" s="21" t="s">
        <v>15</v>
      </c>
      <c r="D1671" s="21" t="s">
        <v>19</v>
      </c>
      <c r="E1671" s="20"/>
      <c r="F1671" s="22" t="s">
        <v>467</v>
      </c>
      <c r="G1671" s="252">
        <v>397.59</v>
      </c>
      <c r="H1671" s="19"/>
      <c r="I1671" s="19">
        <f>COUNTIF(Tabela1[NF],Tabela1[[#This Row],[NF]])</f>
        <v>0</v>
      </c>
      <c r="J1671" s="22"/>
      <c r="K1671" s="21">
        <v>46071</v>
      </c>
      <c r="L1671" s="22"/>
      <c r="M1671" s="22"/>
      <c r="N1671" s="14" t="str" cm="1">
        <f t="array" ref="N1671">_xlfn.XLOOKUP(TRIM(D1671),TRIM(DFC!A:A),DFC!A:A,"NÃO ESTÁ NA DFC")</f>
        <v xml:space="preserve">      PEÇAS</v>
      </c>
    </row>
    <row r="1672" spans="1:14" customFormat="1" ht="15" customHeight="1" x14ac:dyDescent="0.3">
      <c r="A1672" s="19"/>
      <c r="B1672" s="21">
        <v>46071</v>
      </c>
      <c r="C1672" s="21" t="s">
        <v>15</v>
      </c>
      <c r="D1672" s="21" t="s">
        <v>41</v>
      </c>
      <c r="E1672" s="20"/>
      <c r="F1672" s="22" t="s">
        <v>345</v>
      </c>
      <c r="G1672" s="252">
        <v>85.97</v>
      </c>
      <c r="H1672" s="19"/>
      <c r="I1672" s="19">
        <f>COUNTIF(Tabela1[NF],Tabela1[[#This Row],[NF]])</f>
        <v>0</v>
      </c>
      <c r="J1672" s="22"/>
      <c r="K1672" s="21">
        <v>46071</v>
      </c>
      <c r="L1672" s="22"/>
      <c r="M1672" s="22"/>
      <c r="N1672" s="14" t="str" cm="1">
        <f t="array" ref="N1672">_xlfn.XLOOKUP(TRIM(D1672),TRIM(DFC!A:A),DFC!A:A,"NÃO ESTÁ NA DFC")</f>
        <v xml:space="preserve">         T.I</v>
      </c>
    </row>
    <row r="1673" spans="1:14" customFormat="1" ht="15" customHeight="1" x14ac:dyDescent="0.3">
      <c r="A1673" s="19"/>
      <c r="B1673" s="21">
        <v>46071</v>
      </c>
      <c r="C1673" s="21" t="s">
        <v>15</v>
      </c>
      <c r="D1673" s="21" t="s">
        <v>154</v>
      </c>
      <c r="E1673" s="20"/>
      <c r="F1673" s="22" t="s">
        <v>302</v>
      </c>
      <c r="G1673" s="252">
        <v>2469.38</v>
      </c>
      <c r="H1673" s="19"/>
      <c r="I1673" s="19">
        <f>COUNTIF(Tabela1[NF],Tabela1[[#This Row],[NF]])</f>
        <v>0</v>
      </c>
      <c r="J1673" s="22"/>
      <c r="K1673" s="21">
        <v>46071</v>
      </c>
      <c r="L1673" s="22"/>
      <c r="M1673" s="22"/>
      <c r="N1673" s="14" t="str" cm="1">
        <f t="array" ref="N1673">_xlfn.XLOOKUP(TRIM(D1673),TRIM(DFC!A:A),DFC!A:A,"NÃO ESTÁ NA DFC")</f>
        <v xml:space="preserve">      EMBALAGENS</v>
      </c>
    </row>
    <row r="1674" spans="1:14" customFormat="1" ht="15" customHeight="1" x14ac:dyDescent="0.3">
      <c r="A1674" s="19"/>
      <c r="B1674" s="21">
        <v>46071</v>
      </c>
      <c r="C1674" s="21" t="s">
        <v>15</v>
      </c>
      <c r="D1674" s="21" t="s">
        <v>22</v>
      </c>
      <c r="E1674" s="20"/>
      <c r="F1674" s="22" t="s">
        <v>496</v>
      </c>
      <c r="G1674" s="252">
        <v>1090.6500000000001</v>
      </c>
      <c r="H1674" s="19"/>
      <c r="I1674" s="19">
        <f>COUNTIF(Tabela1[NF],Tabela1[[#This Row],[NF]])</f>
        <v>0</v>
      </c>
      <c r="J1674" s="22"/>
      <c r="K1674" s="21">
        <v>46071</v>
      </c>
      <c r="L1674" s="22"/>
      <c r="M1674" s="22"/>
      <c r="N1674" s="14" t="str" cm="1">
        <f t="array" ref="N1674">_xlfn.XLOOKUP(TRIM(D1674),TRIM(DFC!A:A),DFC!A:A,"NÃO ESTÁ NA DFC")</f>
        <v xml:space="preserve">         CONSULTORIAS</v>
      </c>
    </row>
    <row r="1675" spans="1:14" customFormat="1" ht="15" customHeight="1" x14ac:dyDescent="0.3">
      <c r="A1675" s="19"/>
      <c r="B1675" s="21">
        <v>46071</v>
      </c>
      <c r="C1675" s="21" t="s">
        <v>15</v>
      </c>
      <c r="D1675" s="21" t="s">
        <v>19</v>
      </c>
      <c r="E1675" s="20"/>
      <c r="F1675" s="22" t="s">
        <v>228</v>
      </c>
      <c r="G1675" s="252">
        <v>1325.8</v>
      </c>
      <c r="H1675" s="19"/>
      <c r="I1675" s="19">
        <f>COUNTIF(Tabela1[NF],Tabela1[[#This Row],[NF]])</f>
        <v>0</v>
      </c>
      <c r="J1675" s="22"/>
      <c r="K1675" s="21">
        <v>46071</v>
      </c>
      <c r="L1675" s="22"/>
      <c r="M1675" s="22"/>
      <c r="N1675" s="14" t="str" cm="1">
        <f t="array" ref="N1675">_xlfn.XLOOKUP(TRIM(D1675),TRIM(DFC!A:A),DFC!A:A,"NÃO ESTÁ NA DFC")</f>
        <v xml:space="preserve">      PEÇAS</v>
      </c>
    </row>
    <row r="1676" spans="1:14" customFormat="1" ht="15" customHeight="1" x14ac:dyDescent="0.3">
      <c r="A1676" s="19"/>
      <c r="B1676" s="21">
        <v>46072</v>
      </c>
      <c r="C1676" s="21" t="s">
        <v>15</v>
      </c>
      <c r="D1676" s="21" t="s">
        <v>19</v>
      </c>
      <c r="E1676" s="20" t="s">
        <v>690</v>
      </c>
      <c r="F1676" s="22" t="s">
        <v>340</v>
      </c>
      <c r="G1676" s="252">
        <v>17011.64</v>
      </c>
      <c r="H1676" s="19"/>
      <c r="I1676" s="19">
        <f>COUNTIF(Tabela1[NF],Tabela1[[#This Row],[NF]])</f>
        <v>0</v>
      </c>
      <c r="J1676" s="22"/>
      <c r="K1676" s="21">
        <v>46072</v>
      </c>
      <c r="L1676" s="22"/>
      <c r="M1676" s="22"/>
      <c r="N1676" s="14" t="str" cm="1">
        <f t="array" ref="N1676">_xlfn.XLOOKUP(TRIM(D1676),TRIM(DFC!A:A),DFC!A:A,"NÃO ESTÁ NA DFC")</f>
        <v xml:space="preserve">      PEÇAS</v>
      </c>
    </row>
    <row r="1677" spans="1:14" customFormat="1" ht="15" customHeight="1" x14ac:dyDescent="0.3">
      <c r="A1677" s="19"/>
      <c r="B1677" s="21">
        <v>46072</v>
      </c>
      <c r="C1677" s="21" t="s">
        <v>15</v>
      </c>
      <c r="D1677" s="21" t="s">
        <v>19</v>
      </c>
      <c r="E1677" s="20" t="s">
        <v>690</v>
      </c>
      <c r="F1677" s="22" t="s">
        <v>340</v>
      </c>
      <c r="G1677" s="252">
        <v>6752.17</v>
      </c>
      <c r="H1677" s="19"/>
      <c r="I1677" s="19">
        <f>COUNTIF(Tabela1[NF],Tabela1[[#This Row],[NF]])</f>
        <v>0</v>
      </c>
      <c r="J1677" s="22"/>
      <c r="K1677" s="21">
        <v>46072</v>
      </c>
      <c r="L1677" s="22"/>
      <c r="M1677" s="22"/>
      <c r="N1677" s="14" t="str" cm="1">
        <f t="array" ref="N1677">_xlfn.XLOOKUP(TRIM(D1677),TRIM(DFC!A:A),DFC!A:A,"NÃO ESTÁ NA DFC")</f>
        <v xml:space="preserve">      PEÇAS</v>
      </c>
    </row>
    <row r="1678" spans="1:14" customFormat="1" ht="15" customHeight="1" x14ac:dyDescent="0.3">
      <c r="A1678" s="19"/>
      <c r="B1678" s="21">
        <v>46072</v>
      </c>
      <c r="C1678" s="21" t="s">
        <v>15</v>
      </c>
      <c r="D1678" s="21" t="s">
        <v>19</v>
      </c>
      <c r="E1678" s="20"/>
      <c r="F1678" s="22" t="s">
        <v>297</v>
      </c>
      <c r="G1678" s="252">
        <v>5347.91</v>
      </c>
      <c r="H1678" s="19"/>
      <c r="I1678" s="19">
        <f>COUNTIF(Tabela1[NF],Tabela1[[#This Row],[NF]])</f>
        <v>0</v>
      </c>
      <c r="J1678" s="22"/>
      <c r="K1678" s="21">
        <v>46072</v>
      </c>
      <c r="L1678" s="22"/>
      <c r="M1678" s="22"/>
      <c r="N1678" s="14" t="str" cm="1">
        <f t="array" ref="N1678">_xlfn.XLOOKUP(TRIM(D1678),TRIM(DFC!A:A),DFC!A:A,"NÃO ESTÁ NA DFC")</f>
        <v xml:space="preserve">      PEÇAS</v>
      </c>
    </row>
    <row r="1679" spans="1:14" customFormat="1" ht="15" customHeight="1" x14ac:dyDescent="0.3">
      <c r="A1679" s="19"/>
      <c r="B1679" s="21">
        <v>46072</v>
      </c>
      <c r="C1679" s="21" t="s">
        <v>15</v>
      </c>
      <c r="D1679" s="21" t="s">
        <v>154</v>
      </c>
      <c r="E1679" s="20"/>
      <c r="F1679" s="22" t="s">
        <v>302</v>
      </c>
      <c r="G1679" s="252">
        <v>1212.33</v>
      </c>
      <c r="H1679" s="19"/>
      <c r="I1679" s="19">
        <f>COUNTIF(Tabela1[NF],Tabela1[[#This Row],[NF]])</f>
        <v>0</v>
      </c>
      <c r="J1679" s="22"/>
      <c r="K1679" s="21">
        <v>46072</v>
      </c>
      <c r="L1679" s="22"/>
      <c r="M1679" s="22"/>
      <c r="N1679" s="14" t="str" cm="1">
        <f t="array" ref="N1679">_xlfn.XLOOKUP(TRIM(D1679),TRIM(DFC!A:A),DFC!A:A,"NÃO ESTÁ NA DFC")</f>
        <v xml:space="preserve">      EMBALAGENS</v>
      </c>
    </row>
    <row r="1680" spans="1:14" customFormat="1" ht="15" customHeight="1" x14ac:dyDescent="0.3">
      <c r="A1680" s="19"/>
      <c r="B1680" s="21">
        <v>46072</v>
      </c>
      <c r="C1680" s="21" t="s">
        <v>15</v>
      </c>
      <c r="D1680" s="21" t="s">
        <v>19</v>
      </c>
      <c r="E1680" s="20"/>
      <c r="F1680" s="22" t="s">
        <v>691</v>
      </c>
      <c r="G1680" s="252">
        <v>2002.44</v>
      </c>
      <c r="H1680" s="19"/>
      <c r="I1680" s="19">
        <f>COUNTIF(Tabela1[NF],Tabela1[[#This Row],[NF]])</f>
        <v>0</v>
      </c>
      <c r="J1680" s="22"/>
      <c r="K1680" s="21">
        <v>46072</v>
      </c>
      <c r="L1680" s="22"/>
      <c r="M1680" s="22"/>
      <c r="N1680" s="14" t="str" cm="1">
        <f t="array" ref="N1680">_xlfn.XLOOKUP(TRIM(D1680),TRIM(DFC!A:A),DFC!A:A,"NÃO ESTÁ NA DFC")</f>
        <v xml:space="preserve">      PEÇAS</v>
      </c>
    </row>
    <row r="1681" spans="1:14" customFormat="1" ht="15" customHeight="1" x14ac:dyDescent="0.3">
      <c r="A1681" s="19"/>
      <c r="B1681" s="21">
        <v>46072</v>
      </c>
      <c r="C1681" s="21" t="s">
        <v>15</v>
      </c>
      <c r="D1681" s="21" t="s">
        <v>154</v>
      </c>
      <c r="E1681" s="20"/>
      <c r="F1681" s="22" t="s">
        <v>394</v>
      </c>
      <c r="G1681" s="252">
        <v>1395.78</v>
      </c>
      <c r="H1681" s="19"/>
      <c r="I1681" s="19">
        <f>COUNTIF(Tabela1[NF],Tabela1[[#This Row],[NF]])</f>
        <v>0</v>
      </c>
      <c r="J1681" s="22"/>
      <c r="K1681" s="21">
        <v>46072</v>
      </c>
      <c r="L1681" s="22"/>
      <c r="M1681" s="22"/>
      <c r="N1681" s="14" t="str" cm="1">
        <f t="array" ref="N1681">_xlfn.XLOOKUP(TRIM(D1681),TRIM(DFC!A:A),DFC!A:A,"NÃO ESTÁ NA DFC")</f>
        <v xml:space="preserve">      EMBALAGENS</v>
      </c>
    </row>
    <row r="1682" spans="1:14" customFormat="1" ht="15" customHeight="1" x14ac:dyDescent="0.3">
      <c r="A1682" s="19"/>
      <c r="B1682" s="21">
        <v>46072</v>
      </c>
      <c r="C1682" s="21" t="s">
        <v>15</v>
      </c>
      <c r="D1682" s="21" t="s">
        <v>154</v>
      </c>
      <c r="E1682" s="20"/>
      <c r="F1682" s="22" t="s">
        <v>621</v>
      </c>
      <c r="G1682" s="252">
        <v>1660.7</v>
      </c>
      <c r="H1682" s="19"/>
      <c r="I1682" s="19">
        <f>COUNTIF(Tabela1[NF],Tabela1[[#This Row],[NF]])</f>
        <v>0</v>
      </c>
      <c r="J1682" s="22"/>
      <c r="K1682" s="21">
        <v>46072</v>
      </c>
      <c r="L1682" s="22"/>
      <c r="M1682" s="22"/>
      <c r="N1682" s="14" t="str" cm="1">
        <f t="array" ref="N1682">_xlfn.XLOOKUP(TRIM(D1682),TRIM(DFC!A:A),DFC!A:A,"NÃO ESTÁ NA DFC")</f>
        <v xml:space="preserve">      EMBALAGENS</v>
      </c>
    </row>
    <row r="1683" spans="1:14" customFormat="1" ht="15" customHeight="1" x14ac:dyDescent="0.3">
      <c r="A1683" s="19"/>
      <c r="B1683" s="21">
        <v>46072</v>
      </c>
      <c r="C1683" s="21" t="s">
        <v>15</v>
      </c>
      <c r="D1683" s="21" t="s">
        <v>154</v>
      </c>
      <c r="E1683" s="20"/>
      <c r="F1683" s="22" t="s">
        <v>302</v>
      </c>
      <c r="G1683" s="252">
        <v>4858.8500000000004</v>
      </c>
      <c r="H1683" s="19"/>
      <c r="I1683" s="19">
        <f>COUNTIF(Tabela1[NF],Tabela1[[#This Row],[NF]])</f>
        <v>0</v>
      </c>
      <c r="J1683" s="22"/>
      <c r="K1683" s="21">
        <v>46072</v>
      </c>
      <c r="L1683" s="22"/>
      <c r="M1683" s="22"/>
      <c r="N1683" s="14" t="str" cm="1">
        <f t="array" ref="N1683">_xlfn.XLOOKUP(TRIM(D1683),TRIM(DFC!A:A),DFC!A:A,"NÃO ESTÁ NA DFC")</f>
        <v xml:space="preserve">      EMBALAGENS</v>
      </c>
    </row>
    <row r="1684" spans="1:14" customFormat="1" ht="15" customHeight="1" x14ac:dyDescent="0.3">
      <c r="A1684" s="19"/>
      <c r="B1684" s="21">
        <v>46072</v>
      </c>
      <c r="C1684" s="21" t="s">
        <v>15</v>
      </c>
      <c r="D1684" s="21" t="s">
        <v>19</v>
      </c>
      <c r="E1684" s="20"/>
      <c r="F1684" s="22" t="s">
        <v>689</v>
      </c>
      <c r="G1684" s="252">
        <v>777.68</v>
      </c>
      <c r="H1684" s="19"/>
      <c r="I1684" s="19">
        <f>COUNTIF(Tabela1[NF],Tabela1[[#This Row],[NF]])</f>
        <v>0</v>
      </c>
      <c r="J1684" s="22"/>
      <c r="K1684" s="21">
        <v>46072</v>
      </c>
      <c r="L1684" s="22"/>
      <c r="M1684" s="22"/>
      <c r="N1684" s="14" t="str" cm="1">
        <f t="array" ref="N1684">_xlfn.XLOOKUP(TRIM(D1684),TRIM(DFC!A:A),DFC!A:A,"NÃO ESTÁ NA DFC")</f>
        <v xml:space="preserve">      PEÇAS</v>
      </c>
    </row>
    <row r="1685" spans="1:14" customFormat="1" ht="15" customHeight="1" x14ac:dyDescent="0.3">
      <c r="A1685" s="19"/>
      <c r="B1685" s="21">
        <v>46072</v>
      </c>
      <c r="C1685" s="21" t="s">
        <v>15</v>
      </c>
      <c r="D1685" s="21" t="s">
        <v>41</v>
      </c>
      <c r="E1685" s="20" t="s">
        <v>692</v>
      </c>
      <c r="F1685" s="22" t="s">
        <v>693</v>
      </c>
      <c r="G1685" s="252">
        <v>36.18</v>
      </c>
      <c r="H1685" s="19"/>
      <c r="I1685" s="19">
        <f>COUNTIF(Tabela1[NF],Tabela1[[#This Row],[NF]])</f>
        <v>0</v>
      </c>
      <c r="J1685" s="22"/>
      <c r="K1685" s="21">
        <v>46072</v>
      </c>
      <c r="L1685" s="22"/>
      <c r="M1685" s="22"/>
      <c r="N1685" s="14" t="str" cm="1">
        <f t="array" ref="N1685">_xlfn.XLOOKUP(TRIM(D1685),TRIM(DFC!A:A),DFC!A:A,"NÃO ESTÁ NA DFC")</f>
        <v xml:space="preserve">         T.I</v>
      </c>
    </row>
    <row r="1686" spans="1:14" customFormat="1" ht="15" customHeight="1" x14ac:dyDescent="0.3">
      <c r="A1686" s="19"/>
      <c r="B1686" s="21">
        <v>46072</v>
      </c>
      <c r="C1686" s="21" t="s">
        <v>15</v>
      </c>
      <c r="D1686" s="21" t="s">
        <v>19</v>
      </c>
      <c r="E1686" s="20"/>
      <c r="F1686" s="22" t="s">
        <v>455</v>
      </c>
      <c r="G1686" s="252">
        <v>3476.02</v>
      </c>
      <c r="H1686" s="19"/>
      <c r="I1686" s="19">
        <f>COUNTIF(Tabela1[NF],Tabela1[[#This Row],[NF]])</f>
        <v>0</v>
      </c>
      <c r="J1686" s="22"/>
      <c r="K1686" s="21">
        <v>46072</v>
      </c>
      <c r="L1686" s="22"/>
      <c r="M1686" s="22"/>
      <c r="N1686" s="14" t="str" cm="1">
        <f t="array" ref="N1686">_xlfn.XLOOKUP(TRIM(D1686),TRIM(DFC!A:A),DFC!A:A,"NÃO ESTÁ NA DFC")</f>
        <v xml:space="preserve">      PEÇAS</v>
      </c>
    </row>
    <row r="1687" spans="1:14" customFormat="1" ht="15" customHeight="1" x14ac:dyDescent="0.3">
      <c r="A1687" s="19"/>
      <c r="B1687" s="21">
        <v>46072</v>
      </c>
      <c r="C1687" s="21" t="s">
        <v>15</v>
      </c>
      <c r="D1687" s="21" t="s">
        <v>19</v>
      </c>
      <c r="E1687" s="20" t="s">
        <v>690</v>
      </c>
      <c r="F1687" s="22" t="s">
        <v>340</v>
      </c>
      <c r="G1687" s="252">
        <v>51034.9</v>
      </c>
      <c r="H1687" s="19"/>
      <c r="I1687" s="19">
        <f>COUNTIF(Tabela1[NF],Tabela1[[#This Row],[NF]])</f>
        <v>0</v>
      </c>
      <c r="J1687" s="22"/>
      <c r="K1687" s="21">
        <v>46072</v>
      </c>
      <c r="L1687" s="22"/>
      <c r="M1687" s="22"/>
      <c r="N1687" s="14" t="str" cm="1">
        <f t="array" ref="N1687">_xlfn.XLOOKUP(TRIM(D1687),TRIM(DFC!A:A),DFC!A:A,"NÃO ESTÁ NA DFC")</f>
        <v xml:space="preserve">      PEÇAS</v>
      </c>
    </row>
    <row r="1688" spans="1:14" customFormat="1" ht="15" customHeight="1" x14ac:dyDescent="0.3">
      <c r="A1688" s="19"/>
      <c r="B1688" s="21">
        <v>46072</v>
      </c>
      <c r="C1688" s="21" t="s">
        <v>15</v>
      </c>
      <c r="D1688" s="21" t="s">
        <v>23</v>
      </c>
      <c r="E1688" s="20"/>
      <c r="F1688" s="22" t="s">
        <v>389</v>
      </c>
      <c r="G1688" s="252">
        <v>70.02</v>
      </c>
      <c r="H1688" s="19"/>
      <c r="I1688" s="19">
        <f>COUNTIF(Tabela1[NF],Tabela1[[#This Row],[NF]])</f>
        <v>0</v>
      </c>
      <c r="J1688" s="22"/>
      <c r="K1688" s="21">
        <v>46072</v>
      </c>
      <c r="L1688" s="22"/>
      <c r="M1688" s="22"/>
      <c r="N1688" s="14" t="str" cm="1">
        <f t="array" ref="N1688">_xlfn.XLOOKUP(TRIM(D1688),TRIM(DFC!A:A),DFC!A:A,"NÃO ESTÁ NA DFC")</f>
        <v xml:space="preserve">         CONTABILIDADE</v>
      </c>
    </row>
    <row r="1689" spans="1:14" customFormat="1" ht="15" customHeight="1" x14ac:dyDescent="0.3">
      <c r="A1689" s="19"/>
      <c r="B1689" s="21">
        <v>46072</v>
      </c>
      <c r="C1689" s="21" t="s">
        <v>15</v>
      </c>
      <c r="D1689" s="21" t="s">
        <v>19</v>
      </c>
      <c r="E1689" s="20" t="s">
        <v>690</v>
      </c>
      <c r="F1689" s="22" t="s">
        <v>340</v>
      </c>
      <c r="G1689" s="252">
        <v>20256.54</v>
      </c>
      <c r="H1689" s="19"/>
      <c r="I1689" s="19">
        <f>COUNTIF(Tabela1[NF],Tabela1[[#This Row],[NF]])</f>
        <v>0</v>
      </c>
      <c r="J1689" s="22"/>
      <c r="K1689" s="21">
        <v>46072</v>
      </c>
      <c r="L1689" s="22"/>
      <c r="M1689" s="22"/>
      <c r="N1689" s="14" t="str" cm="1">
        <f t="array" ref="N1689">_xlfn.XLOOKUP(TRIM(D1689),TRIM(DFC!A:A),DFC!A:A,"NÃO ESTÁ NA DFC")</f>
        <v xml:space="preserve">      PEÇAS</v>
      </c>
    </row>
    <row r="1690" spans="1:14" customFormat="1" ht="15" customHeight="1" x14ac:dyDescent="0.3">
      <c r="A1690" s="19"/>
      <c r="B1690" s="21">
        <v>46072</v>
      </c>
      <c r="C1690" s="21" t="s">
        <v>15</v>
      </c>
      <c r="D1690" s="21" t="s">
        <v>29</v>
      </c>
      <c r="E1690" s="20"/>
      <c r="F1690" s="22" t="s">
        <v>306</v>
      </c>
      <c r="G1690" s="252">
        <v>77.41</v>
      </c>
      <c r="H1690" s="19"/>
      <c r="I1690" s="19">
        <f>COUNTIF(Tabela1[NF],Tabela1[[#This Row],[NF]])</f>
        <v>0</v>
      </c>
      <c r="J1690" s="22"/>
      <c r="K1690" s="21">
        <v>46072</v>
      </c>
      <c r="L1690" s="22"/>
      <c r="M1690" s="22"/>
      <c r="N1690" s="14" t="str" cm="1">
        <f t="array" ref="N1690">_xlfn.XLOOKUP(TRIM(D1690),TRIM(DFC!A:A),DFC!A:A,"NÃO ESTÁ NA DFC")</f>
        <v xml:space="preserve">      FRETE DE SAÍDA</v>
      </c>
    </row>
    <row r="1691" spans="1:14" customFormat="1" ht="15" customHeight="1" x14ac:dyDescent="0.3">
      <c r="A1691" s="19"/>
      <c r="B1691" s="21">
        <v>46072</v>
      </c>
      <c r="C1691" s="21" t="s">
        <v>15</v>
      </c>
      <c r="D1691" s="21" t="s">
        <v>19</v>
      </c>
      <c r="E1691" s="20"/>
      <c r="F1691" s="22" t="s">
        <v>406</v>
      </c>
      <c r="G1691" s="252">
        <v>1779.69</v>
      </c>
      <c r="H1691" s="19"/>
      <c r="I1691" s="19">
        <f>COUNTIF(Tabela1[NF],Tabela1[[#This Row],[NF]])</f>
        <v>0</v>
      </c>
      <c r="J1691" s="22"/>
      <c r="K1691" s="21">
        <v>46072</v>
      </c>
      <c r="L1691" s="22"/>
      <c r="M1691" s="22"/>
      <c r="N1691" s="14" t="str" cm="1">
        <f t="array" ref="N1691">_xlfn.XLOOKUP(TRIM(D1691),TRIM(DFC!A:A),DFC!A:A,"NÃO ESTÁ NA DFC")</f>
        <v xml:space="preserve">      PEÇAS</v>
      </c>
    </row>
    <row r="1692" spans="1:14" customFormat="1" ht="15" customHeight="1" x14ac:dyDescent="0.3">
      <c r="A1692" s="19"/>
      <c r="B1692" s="21">
        <v>46072</v>
      </c>
      <c r="C1692" s="21" t="s">
        <v>15</v>
      </c>
      <c r="D1692" s="21" t="s">
        <v>19</v>
      </c>
      <c r="E1692" s="20"/>
      <c r="F1692" s="22" t="s">
        <v>228</v>
      </c>
      <c r="G1692" s="252">
        <v>3300.12</v>
      </c>
      <c r="H1692" s="19"/>
      <c r="I1692" s="19">
        <f>COUNTIF(Tabela1[NF],Tabela1[[#This Row],[NF]])</f>
        <v>0</v>
      </c>
      <c r="J1692" s="22"/>
      <c r="K1692" s="21">
        <v>46072</v>
      </c>
      <c r="L1692" s="22"/>
      <c r="M1692" s="22"/>
      <c r="N1692" s="14" t="str" cm="1">
        <f t="array" ref="N1692">_xlfn.XLOOKUP(TRIM(D1692),TRIM(DFC!A:A),DFC!A:A,"NÃO ESTÁ NA DFC")</f>
        <v xml:space="preserve">      PEÇAS</v>
      </c>
    </row>
    <row r="1693" spans="1:14" customFormat="1" ht="15" customHeight="1" x14ac:dyDescent="0.3">
      <c r="A1693" s="19"/>
      <c r="B1693" s="21">
        <v>46072</v>
      </c>
      <c r="C1693" s="21" t="s">
        <v>15</v>
      </c>
      <c r="D1693" s="21" t="s">
        <v>19</v>
      </c>
      <c r="E1693" s="20"/>
      <c r="F1693" s="22" t="s">
        <v>396</v>
      </c>
      <c r="G1693" s="252">
        <v>705.48</v>
      </c>
      <c r="H1693" s="19"/>
      <c r="I1693" s="19">
        <f>COUNTIF(Tabela1[NF],Tabela1[[#This Row],[NF]])</f>
        <v>0</v>
      </c>
      <c r="J1693" s="22"/>
      <c r="K1693" s="21">
        <v>46072</v>
      </c>
      <c r="L1693" s="22"/>
      <c r="M1693" s="22"/>
      <c r="N1693" s="14" t="str" cm="1">
        <f t="array" ref="N1693">_xlfn.XLOOKUP(TRIM(D1693),TRIM(DFC!A:A),DFC!A:A,"NÃO ESTÁ NA DFC")</f>
        <v xml:space="preserve">      PEÇAS</v>
      </c>
    </row>
    <row r="1694" spans="1:14" customFormat="1" ht="15" customHeight="1" x14ac:dyDescent="0.3">
      <c r="A1694" s="19"/>
      <c r="B1694" s="21">
        <v>46072</v>
      </c>
      <c r="C1694" s="21" t="s">
        <v>15</v>
      </c>
      <c r="D1694" s="21" t="s">
        <v>19</v>
      </c>
      <c r="E1694" s="20"/>
      <c r="F1694" s="22" t="s">
        <v>297</v>
      </c>
      <c r="G1694" s="252">
        <v>6181.43</v>
      </c>
      <c r="H1694" s="19"/>
      <c r="I1694" s="19">
        <f>COUNTIF(Tabela1[NF],Tabela1[[#This Row],[NF]])</f>
        <v>0</v>
      </c>
      <c r="J1694" s="22"/>
      <c r="K1694" s="21">
        <v>46072</v>
      </c>
      <c r="L1694" s="22"/>
      <c r="M1694" s="22"/>
      <c r="N1694" s="14" t="str" cm="1">
        <f t="array" ref="N1694">_xlfn.XLOOKUP(TRIM(D1694),TRIM(DFC!A:A),DFC!A:A,"NÃO ESTÁ NA DFC")</f>
        <v xml:space="preserve">      PEÇAS</v>
      </c>
    </row>
    <row r="1695" spans="1:14" customFormat="1" ht="15" customHeight="1" x14ac:dyDescent="0.3">
      <c r="A1695" s="19"/>
      <c r="B1695" s="21">
        <v>46072</v>
      </c>
      <c r="C1695" s="21" t="s">
        <v>15</v>
      </c>
      <c r="D1695" s="21" t="s">
        <v>29</v>
      </c>
      <c r="E1695" s="20"/>
      <c r="F1695" s="22" t="s">
        <v>420</v>
      </c>
      <c r="G1695" s="252">
        <v>3289.46</v>
      </c>
      <c r="H1695" s="19"/>
      <c r="I1695" s="19">
        <f>COUNTIF(Tabela1[NF],Tabela1[[#This Row],[NF]])</f>
        <v>0</v>
      </c>
      <c r="J1695" s="22"/>
      <c r="K1695" s="21">
        <v>46072</v>
      </c>
      <c r="L1695" s="22"/>
      <c r="M1695" s="22"/>
      <c r="N1695" s="14" t="str" cm="1">
        <f t="array" ref="N1695">_xlfn.XLOOKUP(TRIM(D1695),TRIM(DFC!A:A),DFC!A:A,"NÃO ESTÁ NA DFC")</f>
        <v xml:space="preserve">      FRETE DE SAÍDA</v>
      </c>
    </row>
    <row r="1696" spans="1:14" customFormat="1" ht="15" customHeight="1" x14ac:dyDescent="0.3">
      <c r="A1696" s="19"/>
      <c r="B1696" s="21">
        <v>46072</v>
      </c>
      <c r="C1696" s="21" t="s">
        <v>15</v>
      </c>
      <c r="D1696" s="21" t="s">
        <v>29</v>
      </c>
      <c r="E1696" s="20"/>
      <c r="F1696" s="22" t="s">
        <v>318</v>
      </c>
      <c r="G1696" s="252">
        <v>1032.7</v>
      </c>
      <c r="H1696" s="19"/>
      <c r="I1696" s="19">
        <f>COUNTIF(Tabela1[NF],Tabela1[[#This Row],[NF]])</f>
        <v>0</v>
      </c>
      <c r="J1696" s="22"/>
      <c r="K1696" s="21">
        <v>46072</v>
      </c>
      <c r="L1696" s="22"/>
      <c r="M1696" s="22"/>
      <c r="N1696" s="14" t="str" cm="1">
        <f t="array" ref="N1696">_xlfn.XLOOKUP(TRIM(D1696),TRIM(DFC!A:A),DFC!A:A,"NÃO ESTÁ NA DFC")</f>
        <v xml:space="preserve">      FRETE DE SAÍDA</v>
      </c>
    </row>
    <row r="1697" spans="1:14" customFormat="1" ht="15" customHeight="1" x14ac:dyDescent="0.3">
      <c r="A1697" s="19"/>
      <c r="B1697" s="21">
        <v>46072</v>
      </c>
      <c r="C1697" s="21" t="s">
        <v>15</v>
      </c>
      <c r="D1697" s="21" t="s">
        <v>29</v>
      </c>
      <c r="E1697" s="20"/>
      <c r="F1697" s="22" t="s">
        <v>548</v>
      </c>
      <c r="G1697" s="252">
        <v>1442.2</v>
      </c>
      <c r="H1697" s="19"/>
      <c r="I1697" s="19">
        <f>COUNTIF(Tabela1[NF],Tabela1[[#This Row],[NF]])</f>
        <v>0</v>
      </c>
      <c r="J1697" s="22"/>
      <c r="K1697" s="21">
        <v>46072</v>
      </c>
      <c r="L1697" s="22"/>
      <c r="M1697" s="22"/>
      <c r="N1697" s="14" t="str" cm="1">
        <f t="array" ref="N1697">_xlfn.XLOOKUP(TRIM(D1697),TRIM(DFC!A:A),DFC!A:A,"NÃO ESTÁ NA DFC")</f>
        <v xml:space="preserve">      FRETE DE SAÍDA</v>
      </c>
    </row>
    <row r="1698" spans="1:14" customFormat="1" ht="15" customHeight="1" x14ac:dyDescent="0.3">
      <c r="A1698" s="19"/>
      <c r="B1698" s="21">
        <v>46072</v>
      </c>
      <c r="C1698" s="21" t="s">
        <v>15</v>
      </c>
      <c r="D1698" s="21" t="s">
        <v>19</v>
      </c>
      <c r="E1698" s="20"/>
      <c r="F1698" s="22" t="s">
        <v>228</v>
      </c>
      <c r="G1698" s="252">
        <v>2981.16</v>
      </c>
      <c r="H1698" s="19"/>
      <c r="I1698" s="19">
        <f>COUNTIF(Tabela1[NF],Tabela1[[#This Row],[NF]])</f>
        <v>0</v>
      </c>
      <c r="J1698" s="22"/>
      <c r="K1698" s="21">
        <v>46072</v>
      </c>
      <c r="L1698" s="22"/>
      <c r="M1698" s="22"/>
      <c r="N1698" s="14" t="str" cm="1">
        <f t="array" ref="N1698">_xlfn.XLOOKUP(TRIM(D1698),TRIM(DFC!A:A),DFC!A:A,"NÃO ESTÁ NA DFC")</f>
        <v xml:space="preserve">      PEÇAS</v>
      </c>
    </row>
    <row r="1699" spans="1:14" customFormat="1" ht="15" customHeight="1" x14ac:dyDescent="0.3">
      <c r="A1699" s="19"/>
      <c r="B1699" s="21">
        <v>46072</v>
      </c>
      <c r="C1699" s="21" t="s">
        <v>15</v>
      </c>
      <c r="D1699" s="21" t="s">
        <v>19</v>
      </c>
      <c r="E1699" s="20"/>
      <c r="F1699" s="22" t="s">
        <v>654</v>
      </c>
      <c r="G1699" s="252">
        <v>837.55</v>
      </c>
      <c r="H1699" s="19"/>
      <c r="I1699" s="19">
        <f>COUNTIF(Tabela1[NF],Tabela1[[#This Row],[NF]])</f>
        <v>0</v>
      </c>
      <c r="J1699" s="22"/>
      <c r="K1699" s="21">
        <v>46072</v>
      </c>
      <c r="L1699" s="22"/>
      <c r="M1699" s="22"/>
      <c r="N1699" s="14" t="str" cm="1">
        <f t="array" ref="N1699">_xlfn.XLOOKUP(TRIM(D1699),TRIM(DFC!A:A),DFC!A:A,"NÃO ESTÁ NA DFC")</f>
        <v xml:space="preserve">      PEÇAS</v>
      </c>
    </row>
    <row r="1700" spans="1:14" customFormat="1" ht="15" customHeight="1" x14ac:dyDescent="0.3">
      <c r="A1700" s="19"/>
      <c r="B1700" s="21">
        <v>46072</v>
      </c>
      <c r="C1700" s="21" t="s">
        <v>15</v>
      </c>
      <c r="D1700" s="21" t="s">
        <v>19</v>
      </c>
      <c r="E1700" s="20"/>
      <c r="F1700" s="22" t="s">
        <v>228</v>
      </c>
      <c r="G1700" s="252">
        <v>3077.24</v>
      </c>
      <c r="H1700" s="19"/>
      <c r="I1700" s="19">
        <f>COUNTIF(Tabela1[NF],Tabela1[[#This Row],[NF]])</f>
        <v>0</v>
      </c>
      <c r="J1700" s="22"/>
      <c r="K1700" s="21">
        <v>46072</v>
      </c>
      <c r="L1700" s="22"/>
      <c r="M1700" s="22"/>
      <c r="N1700" s="14" t="str" cm="1">
        <f t="array" ref="N1700">_xlfn.XLOOKUP(TRIM(D1700),TRIM(DFC!A:A),DFC!A:A,"NÃO ESTÁ NA DFC")</f>
        <v xml:space="preserve">      PEÇAS</v>
      </c>
    </row>
    <row r="1701" spans="1:14" customFormat="1" ht="15" customHeight="1" x14ac:dyDescent="0.3">
      <c r="A1701" s="19"/>
      <c r="B1701" s="21">
        <v>46072</v>
      </c>
      <c r="C1701" s="21" t="s">
        <v>15</v>
      </c>
      <c r="D1701" s="21" t="s">
        <v>34</v>
      </c>
      <c r="E1701" s="20"/>
      <c r="F1701" s="22" t="s">
        <v>384</v>
      </c>
      <c r="G1701" s="252">
        <v>153.05000000000001</v>
      </c>
      <c r="H1701" s="19"/>
      <c r="I1701" s="19">
        <f>COUNTIF(Tabela1[NF],Tabela1[[#This Row],[NF]])</f>
        <v>0</v>
      </c>
      <c r="J1701" s="22"/>
      <c r="K1701" s="21">
        <v>46072</v>
      </c>
      <c r="L1701" s="22"/>
      <c r="M1701" s="22"/>
      <c r="N1701" s="14" t="str" cm="1">
        <f t="array" ref="N1701">_xlfn.XLOOKUP(TRIM(D1701),TRIM(DFC!A:A),DFC!A:A,"NÃO ESTÁ NA DFC")</f>
        <v xml:space="preserve">          INTERNET</v>
      </c>
    </row>
    <row r="1702" spans="1:14" customFormat="1" ht="15" customHeight="1" x14ac:dyDescent="0.3">
      <c r="A1702" s="19"/>
      <c r="B1702" s="21">
        <v>46072</v>
      </c>
      <c r="C1702" s="21" t="s">
        <v>15</v>
      </c>
      <c r="D1702" s="21" t="s">
        <v>225</v>
      </c>
      <c r="E1702" s="20"/>
      <c r="F1702" s="22" t="s">
        <v>226</v>
      </c>
      <c r="G1702" s="252">
        <v>4178.9399999999996</v>
      </c>
      <c r="H1702" s="19"/>
      <c r="I1702" s="19">
        <f>COUNTIF(Tabela1[NF],Tabela1[[#This Row],[NF]])</f>
        <v>0</v>
      </c>
      <c r="J1702" s="22"/>
      <c r="K1702" s="21">
        <v>46072</v>
      </c>
      <c r="L1702" s="22"/>
      <c r="M1702" s="22"/>
      <c r="N1702" s="14" t="str" cm="1">
        <f t="array" ref="N1702">_xlfn.XLOOKUP(TRIM(D1702),TRIM(DFC!A:A),DFC!A:A,"NÃO ESTÁ NA DFC")</f>
        <v xml:space="preserve">     ANYMARKET TAXAS</v>
      </c>
    </row>
    <row r="1703" spans="1:14" customFormat="1" ht="15" customHeight="1" x14ac:dyDescent="0.3">
      <c r="A1703" s="19"/>
      <c r="B1703" s="21">
        <v>46072</v>
      </c>
      <c r="C1703" s="21" t="s">
        <v>15</v>
      </c>
      <c r="D1703" s="21" t="s">
        <v>19</v>
      </c>
      <c r="E1703" s="20"/>
      <c r="F1703" s="22" t="s">
        <v>605</v>
      </c>
      <c r="G1703" s="252">
        <v>1077.92</v>
      </c>
      <c r="H1703" s="19"/>
      <c r="I1703" s="19">
        <f>COUNTIF(Tabela1[NF],Tabela1[[#This Row],[NF]])</f>
        <v>0</v>
      </c>
      <c r="J1703" s="22"/>
      <c r="K1703" s="21">
        <v>46072</v>
      </c>
      <c r="L1703" s="22"/>
      <c r="M1703" s="22"/>
      <c r="N1703" s="14" t="str" cm="1">
        <f t="array" ref="N1703">_xlfn.XLOOKUP(TRIM(D1703),TRIM(DFC!A:A),DFC!A:A,"NÃO ESTÁ NA DFC")</f>
        <v xml:space="preserve">      PEÇAS</v>
      </c>
    </row>
    <row r="1704" spans="1:14" customFormat="1" ht="15" customHeight="1" x14ac:dyDescent="0.3">
      <c r="A1704" s="19"/>
      <c r="B1704" s="21">
        <v>46072</v>
      </c>
      <c r="C1704" s="21" t="s">
        <v>15</v>
      </c>
      <c r="D1704" s="21" t="s">
        <v>19</v>
      </c>
      <c r="E1704" s="20"/>
      <c r="F1704" s="22" t="s">
        <v>173</v>
      </c>
      <c r="G1704" s="252">
        <v>5643.39</v>
      </c>
      <c r="H1704" s="19"/>
      <c r="I1704" s="19">
        <f>COUNTIF(Tabela1[NF],Tabela1[[#This Row],[NF]])</f>
        <v>0</v>
      </c>
      <c r="J1704" s="22"/>
      <c r="K1704" s="21">
        <v>46072</v>
      </c>
      <c r="L1704" s="22"/>
      <c r="M1704" s="22"/>
      <c r="N1704" s="14" t="str" cm="1">
        <f t="array" ref="N1704">_xlfn.XLOOKUP(TRIM(D1704),TRIM(DFC!A:A),DFC!A:A,"NÃO ESTÁ NA DFC")</f>
        <v xml:space="preserve">      PEÇAS</v>
      </c>
    </row>
    <row r="1705" spans="1:14" customFormat="1" ht="15" customHeight="1" x14ac:dyDescent="0.3">
      <c r="A1705" s="19"/>
      <c r="B1705" s="21">
        <v>46072</v>
      </c>
      <c r="C1705" s="21" t="s">
        <v>15</v>
      </c>
      <c r="D1705" s="21" t="s">
        <v>19</v>
      </c>
      <c r="E1705" s="20"/>
      <c r="F1705" s="22" t="s">
        <v>173</v>
      </c>
      <c r="G1705" s="252">
        <v>5737.38</v>
      </c>
      <c r="H1705" s="19"/>
      <c r="I1705" s="19">
        <f>COUNTIF(Tabela1[NF],Tabela1[[#This Row],[NF]])</f>
        <v>0</v>
      </c>
      <c r="J1705" s="22"/>
      <c r="K1705" s="21">
        <v>46072</v>
      </c>
      <c r="L1705" s="22"/>
      <c r="M1705" s="22"/>
      <c r="N1705" s="14" t="str" cm="1">
        <f t="array" ref="N1705">_xlfn.XLOOKUP(TRIM(D1705),TRIM(DFC!A:A),DFC!A:A,"NÃO ESTÁ NA DFC")</f>
        <v xml:space="preserve">      PEÇAS</v>
      </c>
    </row>
    <row r="1706" spans="1:14" customFormat="1" ht="15" customHeight="1" x14ac:dyDescent="0.3">
      <c r="A1706" s="19"/>
      <c r="B1706" s="21">
        <v>46072</v>
      </c>
      <c r="C1706" s="21" t="s">
        <v>15</v>
      </c>
      <c r="D1706" s="21" t="s">
        <v>29</v>
      </c>
      <c r="E1706" s="20"/>
      <c r="F1706" s="22" t="s">
        <v>548</v>
      </c>
      <c r="G1706" s="252">
        <v>1368.8</v>
      </c>
      <c r="H1706" s="19"/>
      <c r="I1706" s="19">
        <f>COUNTIF(Tabela1[NF],Tabela1[[#This Row],[NF]])</f>
        <v>0</v>
      </c>
      <c r="J1706" s="22"/>
      <c r="K1706" s="21">
        <v>46072</v>
      </c>
      <c r="L1706" s="22"/>
      <c r="M1706" s="22"/>
      <c r="N1706" s="14" t="str" cm="1">
        <f t="array" ref="N1706">_xlfn.XLOOKUP(TRIM(D1706),TRIM(DFC!A:A),DFC!A:A,"NÃO ESTÁ NA DFC")</f>
        <v xml:space="preserve">      FRETE DE SAÍDA</v>
      </c>
    </row>
    <row r="1707" spans="1:14" customFormat="1" ht="15" customHeight="1" x14ac:dyDescent="0.3">
      <c r="A1707" s="19"/>
      <c r="B1707" s="21">
        <v>46072</v>
      </c>
      <c r="C1707" s="21" t="s">
        <v>15</v>
      </c>
      <c r="D1707" s="21" t="s">
        <v>29</v>
      </c>
      <c r="E1707" s="20"/>
      <c r="F1707" s="22" t="s">
        <v>541</v>
      </c>
      <c r="G1707" s="252">
        <v>174.09</v>
      </c>
      <c r="H1707" s="19"/>
      <c r="I1707" s="19">
        <f>COUNTIF(Tabela1[NF],Tabela1[[#This Row],[NF]])</f>
        <v>0</v>
      </c>
      <c r="J1707" s="22"/>
      <c r="K1707" s="21">
        <v>46072</v>
      </c>
      <c r="L1707" s="22"/>
      <c r="M1707" s="22"/>
      <c r="N1707" s="14" t="str" cm="1">
        <f t="array" ref="N1707">_xlfn.XLOOKUP(TRIM(D1707),TRIM(DFC!A:A),DFC!A:A,"NÃO ESTÁ NA DFC")</f>
        <v xml:space="preserve">      FRETE DE SAÍDA</v>
      </c>
    </row>
    <row r="1708" spans="1:14" customFormat="1" ht="15" customHeight="1" x14ac:dyDescent="0.3">
      <c r="A1708" s="19"/>
      <c r="B1708" s="21">
        <v>46072</v>
      </c>
      <c r="C1708" s="21" t="s">
        <v>15</v>
      </c>
      <c r="D1708" s="21" t="s">
        <v>19</v>
      </c>
      <c r="E1708" s="20"/>
      <c r="F1708" s="22" t="s">
        <v>224</v>
      </c>
      <c r="G1708" s="252">
        <v>120</v>
      </c>
      <c r="H1708" s="19"/>
      <c r="I1708" s="19">
        <f>COUNTIF(Tabela1[NF],Tabela1[[#This Row],[NF]])</f>
        <v>0</v>
      </c>
      <c r="J1708" s="22"/>
      <c r="K1708" s="21">
        <v>46072</v>
      </c>
      <c r="L1708" s="22"/>
      <c r="M1708" s="22"/>
      <c r="N1708" s="14" t="str" cm="1">
        <f t="array" ref="N1708">_xlfn.XLOOKUP(TRIM(D1708),TRIM(DFC!A:A),DFC!A:A,"NÃO ESTÁ NA DFC")</f>
        <v xml:space="preserve">      PEÇAS</v>
      </c>
    </row>
    <row r="1709" spans="1:14" customFormat="1" ht="15" customHeight="1" x14ac:dyDescent="0.3">
      <c r="A1709" s="19"/>
      <c r="B1709" s="21">
        <v>46072</v>
      </c>
      <c r="C1709" s="21" t="s">
        <v>15</v>
      </c>
      <c r="D1709" s="21" t="s">
        <v>154</v>
      </c>
      <c r="E1709" s="20"/>
      <c r="F1709" s="22" t="s">
        <v>302</v>
      </c>
      <c r="G1709" s="252">
        <v>2978</v>
      </c>
      <c r="H1709" s="19"/>
      <c r="I1709" s="19">
        <f>COUNTIF(Tabela1[NF],Tabela1[[#This Row],[NF]])</f>
        <v>0</v>
      </c>
      <c r="J1709" s="22"/>
      <c r="K1709" s="21">
        <v>46072</v>
      </c>
      <c r="L1709" s="22"/>
      <c r="M1709" s="22"/>
      <c r="N1709" s="14" t="str" cm="1">
        <f t="array" ref="N1709">_xlfn.XLOOKUP(TRIM(D1709),TRIM(DFC!A:A),DFC!A:A,"NÃO ESTÁ NA DFC")</f>
        <v xml:space="preserve">      EMBALAGENS</v>
      </c>
    </row>
    <row r="1710" spans="1:14" customFormat="1" ht="15" customHeight="1" x14ac:dyDescent="0.3">
      <c r="A1710" s="19"/>
      <c r="B1710" s="21">
        <v>46072</v>
      </c>
      <c r="C1710" s="21" t="s">
        <v>15</v>
      </c>
      <c r="D1710" s="21" t="s">
        <v>19</v>
      </c>
      <c r="E1710" s="20"/>
      <c r="F1710" s="22" t="s">
        <v>455</v>
      </c>
      <c r="G1710" s="252">
        <v>2390.17</v>
      </c>
      <c r="H1710" s="19"/>
      <c r="I1710" s="19">
        <f>COUNTIF(Tabela1[NF],Tabela1[[#This Row],[NF]])</f>
        <v>0</v>
      </c>
      <c r="J1710" s="22"/>
      <c r="K1710" s="21">
        <v>46072</v>
      </c>
      <c r="L1710" s="22"/>
      <c r="M1710" s="22"/>
      <c r="N1710" s="14" t="str" cm="1">
        <f t="array" ref="N1710">_xlfn.XLOOKUP(TRIM(D1710),TRIM(DFC!A:A),DFC!A:A,"NÃO ESTÁ NA DFC")</f>
        <v xml:space="preserve">      PEÇAS</v>
      </c>
    </row>
    <row r="1711" spans="1:14" customFormat="1" ht="15" customHeight="1" x14ac:dyDescent="0.3">
      <c r="A1711" s="19"/>
      <c r="B1711" s="21">
        <v>46072</v>
      </c>
      <c r="C1711" s="21" t="s">
        <v>15</v>
      </c>
      <c r="D1711" s="21" t="s">
        <v>19</v>
      </c>
      <c r="E1711" s="20"/>
      <c r="F1711" s="22" t="s">
        <v>301</v>
      </c>
      <c r="G1711" s="252">
        <v>4207.8900000000003</v>
      </c>
      <c r="H1711" s="19"/>
      <c r="I1711" s="19">
        <f>COUNTIF(Tabela1[NF],Tabela1[[#This Row],[NF]])</f>
        <v>0</v>
      </c>
      <c r="J1711" s="22"/>
      <c r="K1711" s="21">
        <v>46072</v>
      </c>
      <c r="L1711" s="22"/>
      <c r="M1711" s="22"/>
      <c r="N1711" s="14" t="str" cm="1">
        <f t="array" ref="N1711">_xlfn.XLOOKUP(TRIM(D1711),TRIM(DFC!A:A),DFC!A:A,"NÃO ESTÁ NA DFC")</f>
        <v xml:space="preserve">      PEÇAS</v>
      </c>
    </row>
    <row r="1712" spans="1:14" customFormat="1" ht="15" customHeight="1" x14ac:dyDescent="0.3">
      <c r="A1712" s="19"/>
      <c r="B1712" s="21">
        <v>46072</v>
      </c>
      <c r="C1712" s="21" t="s">
        <v>15</v>
      </c>
      <c r="D1712" s="21" t="s">
        <v>19</v>
      </c>
      <c r="E1712" s="20"/>
      <c r="F1712" s="22" t="s">
        <v>297</v>
      </c>
      <c r="G1712" s="252">
        <v>532.97</v>
      </c>
      <c r="H1712" s="19"/>
      <c r="I1712" s="19">
        <f>COUNTIF(Tabela1[NF],Tabela1[[#This Row],[NF]])</f>
        <v>0</v>
      </c>
      <c r="J1712" s="22"/>
      <c r="K1712" s="21">
        <v>46072</v>
      </c>
      <c r="L1712" s="22"/>
      <c r="M1712" s="22"/>
      <c r="N1712" s="14" t="str" cm="1">
        <f t="array" ref="N1712">_xlfn.XLOOKUP(TRIM(D1712),TRIM(DFC!A:A),DFC!A:A,"NÃO ESTÁ NA DFC")</f>
        <v xml:space="preserve">      PEÇAS</v>
      </c>
    </row>
    <row r="1713" spans="1:14" customFormat="1" ht="15" customHeight="1" x14ac:dyDescent="0.3">
      <c r="A1713" s="19"/>
      <c r="B1713" s="21">
        <v>46072</v>
      </c>
      <c r="C1713" s="21" t="s">
        <v>15</v>
      </c>
      <c r="D1713" s="21" t="s">
        <v>19</v>
      </c>
      <c r="E1713" s="20" t="s">
        <v>491</v>
      </c>
      <c r="F1713" s="22" t="s">
        <v>103</v>
      </c>
      <c r="G1713" s="252">
        <v>10000</v>
      </c>
      <c r="H1713" s="19"/>
      <c r="I1713" s="19">
        <f>COUNTIF(Tabela1[NF],Tabela1[[#This Row],[NF]])</f>
        <v>0</v>
      </c>
      <c r="J1713" s="22"/>
      <c r="K1713" s="21">
        <v>46072</v>
      </c>
      <c r="L1713" s="22"/>
      <c r="M1713" s="22"/>
      <c r="N1713" s="14" t="str" cm="1">
        <f t="array" ref="N1713">_xlfn.XLOOKUP(TRIM(D1713),TRIM(DFC!A:A),DFC!A:A,"NÃO ESTÁ NA DFC")</f>
        <v xml:space="preserve">      PEÇAS</v>
      </c>
    </row>
    <row r="1714" spans="1:14" customFormat="1" ht="15" customHeight="1" x14ac:dyDescent="0.3">
      <c r="A1714" s="19"/>
      <c r="B1714" s="21">
        <v>46072</v>
      </c>
      <c r="C1714" s="21" t="s">
        <v>15</v>
      </c>
      <c r="D1714" s="21" t="s">
        <v>19</v>
      </c>
      <c r="E1714" s="20"/>
      <c r="F1714" s="22" t="s">
        <v>310</v>
      </c>
      <c r="G1714" s="252">
        <v>5963</v>
      </c>
      <c r="H1714" s="19"/>
      <c r="I1714" s="19">
        <f>COUNTIF(Tabela1[NF],Tabela1[[#This Row],[NF]])</f>
        <v>0</v>
      </c>
      <c r="J1714" s="22"/>
      <c r="K1714" s="21">
        <v>46072</v>
      </c>
      <c r="L1714" s="22"/>
      <c r="M1714" s="22"/>
      <c r="N1714" s="14" t="str" cm="1">
        <f t="array" ref="N1714">_xlfn.XLOOKUP(TRIM(D1714),TRIM(DFC!A:A),DFC!A:A,"NÃO ESTÁ NA DFC")</f>
        <v xml:space="preserve">      PEÇAS</v>
      </c>
    </row>
    <row r="1715" spans="1:14" customFormat="1" ht="15" customHeight="1" x14ac:dyDescent="0.3">
      <c r="A1715" s="19"/>
      <c r="B1715" s="21">
        <v>46072</v>
      </c>
      <c r="C1715" s="21" t="s">
        <v>15</v>
      </c>
      <c r="D1715" s="21" t="s">
        <v>19</v>
      </c>
      <c r="E1715" s="20"/>
      <c r="F1715" s="22" t="s">
        <v>24</v>
      </c>
      <c r="G1715" s="252">
        <v>658.62</v>
      </c>
      <c r="H1715" s="19"/>
      <c r="I1715" s="19">
        <f>COUNTIF(Tabela1[NF],Tabela1[[#This Row],[NF]])</f>
        <v>0</v>
      </c>
      <c r="J1715" s="22"/>
      <c r="K1715" s="21">
        <v>46072</v>
      </c>
      <c r="L1715" s="22"/>
      <c r="M1715" s="22"/>
      <c r="N1715" s="14" t="str" cm="1">
        <f t="array" ref="N1715">_xlfn.XLOOKUP(TRIM(D1715),TRIM(DFC!A:A),DFC!A:A,"NÃO ESTÁ NA DFC")</f>
        <v xml:space="preserve">      PEÇAS</v>
      </c>
    </row>
    <row r="1716" spans="1:14" customFormat="1" ht="15" customHeight="1" x14ac:dyDescent="0.3">
      <c r="A1716" s="19"/>
      <c r="B1716" s="21">
        <v>46072</v>
      </c>
      <c r="C1716" s="21" t="s">
        <v>15</v>
      </c>
      <c r="D1716" s="21" t="s">
        <v>22</v>
      </c>
      <c r="E1716" s="20" t="s">
        <v>694</v>
      </c>
      <c r="F1716" s="22" t="s">
        <v>695</v>
      </c>
      <c r="G1716" s="252">
        <v>2333.33</v>
      </c>
      <c r="H1716" s="19"/>
      <c r="I1716" s="19">
        <f>COUNTIF(Tabela1[NF],Tabela1[[#This Row],[NF]])</f>
        <v>0</v>
      </c>
      <c r="J1716" s="22"/>
      <c r="K1716" s="21">
        <v>46072</v>
      </c>
      <c r="L1716" s="22"/>
      <c r="M1716" s="22"/>
      <c r="N1716" s="14" t="str" cm="1">
        <f t="array" ref="N1716">_xlfn.XLOOKUP(TRIM(D1716),TRIM(DFC!A:A),DFC!A:A,"NÃO ESTÁ NA DFC")</f>
        <v xml:space="preserve">         CONSULTORIAS</v>
      </c>
    </row>
    <row r="1717" spans="1:14" customFormat="1" ht="15" customHeight="1" x14ac:dyDescent="0.3">
      <c r="A1717" s="19"/>
      <c r="B1717" s="21">
        <v>46072</v>
      </c>
      <c r="C1717" s="21" t="s">
        <v>15</v>
      </c>
      <c r="D1717" s="21" t="s">
        <v>19</v>
      </c>
      <c r="E1717" s="20"/>
      <c r="F1717" s="22" t="s">
        <v>300</v>
      </c>
      <c r="G1717" s="252">
        <v>1493.45</v>
      </c>
      <c r="H1717" s="19"/>
      <c r="I1717" s="19">
        <f>COUNTIF(Tabela1[NF],Tabela1[[#This Row],[NF]])</f>
        <v>0</v>
      </c>
      <c r="J1717" s="22"/>
      <c r="K1717" s="21">
        <v>46072</v>
      </c>
      <c r="L1717" s="22"/>
      <c r="M1717" s="22"/>
      <c r="N1717" s="14" t="str" cm="1">
        <f t="array" ref="N1717">_xlfn.XLOOKUP(TRIM(D1717),TRIM(DFC!A:A),DFC!A:A,"NÃO ESTÁ NA DFC")</f>
        <v xml:space="preserve">      PEÇAS</v>
      </c>
    </row>
    <row r="1718" spans="1:14" customFormat="1" ht="15" customHeight="1" x14ac:dyDescent="0.3">
      <c r="A1718" s="19"/>
      <c r="B1718" s="21">
        <v>46072</v>
      </c>
      <c r="C1718" s="21" t="s">
        <v>15</v>
      </c>
      <c r="D1718" s="21" t="s">
        <v>19</v>
      </c>
      <c r="E1718" s="20"/>
      <c r="F1718" s="22" t="s">
        <v>24</v>
      </c>
      <c r="G1718" s="252">
        <v>1375.6</v>
      </c>
      <c r="H1718" s="19"/>
      <c r="I1718" s="19">
        <f>COUNTIF(Tabela1[NF],Tabela1[[#This Row],[NF]])</f>
        <v>0</v>
      </c>
      <c r="J1718" s="22"/>
      <c r="K1718" s="21">
        <v>46072</v>
      </c>
      <c r="L1718" s="22"/>
      <c r="M1718" s="22"/>
      <c r="N1718" s="14" t="str" cm="1">
        <f t="array" ref="N1718">_xlfn.XLOOKUP(TRIM(D1718),TRIM(DFC!A:A),DFC!A:A,"NÃO ESTÁ NA DFC")</f>
        <v xml:space="preserve">      PEÇAS</v>
      </c>
    </row>
    <row r="1719" spans="1:14" customFormat="1" ht="15" customHeight="1" x14ac:dyDescent="0.3">
      <c r="A1719" s="19"/>
      <c r="B1719" s="21">
        <v>46072</v>
      </c>
      <c r="C1719" s="21" t="s">
        <v>15</v>
      </c>
      <c r="D1719" s="21" t="s">
        <v>29</v>
      </c>
      <c r="E1719" s="20"/>
      <c r="F1719" s="22" t="s">
        <v>610</v>
      </c>
      <c r="G1719" s="252">
        <v>4200</v>
      </c>
      <c r="H1719" s="19"/>
      <c r="I1719" s="19">
        <f>COUNTIF(Tabela1[NF],Tabela1[[#This Row],[NF]])</f>
        <v>0</v>
      </c>
      <c r="J1719" s="22"/>
      <c r="K1719" s="21">
        <v>46072</v>
      </c>
      <c r="L1719" s="22"/>
      <c r="M1719" s="22"/>
      <c r="N1719" s="14" t="str" cm="1">
        <f t="array" ref="N1719">_xlfn.XLOOKUP(TRIM(D1719),TRIM(DFC!A:A),DFC!A:A,"NÃO ESTÁ NA DFC")</f>
        <v xml:space="preserve">      FRETE DE SAÍDA</v>
      </c>
    </row>
    <row r="1720" spans="1:14" customFormat="1" ht="15" customHeight="1" x14ac:dyDescent="0.3">
      <c r="A1720" s="19"/>
      <c r="B1720" s="21">
        <v>46073</v>
      </c>
      <c r="C1720" s="21" t="s">
        <v>15</v>
      </c>
      <c r="D1720" s="21" t="s">
        <v>111</v>
      </c>
      <c r="E1720" s="20"/>
      <c r="F1720" s="22" t="s">
        <v>114</v>
      </c>
      <c r="G1720" s="252">
        <v>10</v>
      </c>
      <c r="H1720" s="19"/>
      <c r="I1720" s="19">
        <f>COUNTIF(Tabela1[NF],Tabela1[[#This Row],[NF]])</f>
        <v>0</v>
      </c>
      <c r="J1720" s="22"/>
      <c r="K1720" s="21">
        <v>46073</v>
      </c>
      <c r="L1720" s="22"/>
      <c r="M1720" s="22"/>
      <c r="N1720" s="14" t="str" cm="1">
        <f t="array" ref="N1720">_xlfn.XLOOKUP(TRIM(D1720),TRIM(DFC!A:A),DFC!A:A,"NÃO ESTÁ NA DFC")</f>
        <v xml:space="preserve">          TX. BANCÁRIA</v>
      </c>
    </row>
    <row r="1721" spans="1:14" customFormat="1" ht="15" customHeight="1" x14ac:dyDescent="0.3">
      <c r="A1721" s="19"/>
      <c r="B1721" s="21">
        <v>46073</v>
      </c>
      <c r="C1721" s="21" t="s">
        <v>15</v>
      </c>
      <c r="D1721" s="21" t="s">
        <v>29</v>
      </c>
      <c r="E1721" s="20"/>
      <c r="F1721" s="22" t="s">
        <v>450</v>
      </c>
      <c r="G1721" s="252">
        <v>520</v>
      </c>
      <c r="H1721" s="19"/>
      <c r="I1721" s="19">
        <f>COUNTIF(Tabela1[NF],Tabela1[[#This Row],[NF]])</f>
        <v>0</v>
      </c>
      <c r="J1721" s="22"/>
      <c r="K1721" s="21">
        <v>46073</v>
      </c>
      <c r="L1721" s="22"/>
      <c r="M1721" s="22"/>
      <c r="N1721" s="14" t="str" cm="1">
        <f t="array" ref="N1721">_xlfn.XLOOKUP(TRIM(D1721),TRIM(DFC!A:A),DFC!A:A,"NÃO ESTÁ NA DFC")</f>
        <v xml:space="preserve">      FRETE DE SAÍDA</v>
      </c>
    </row>
    <row r="1722" spans="1:14" customFormat="1" ht="15" customHeight="1" x14ac:dyDescent="0.3">
      <c r="A1722" s="19"/>
      <c r="B1722" s="21">
        <v>46073</v>
      </c>
      <c r="C1722" s="21" t="s">
        <v>15</v>
      </c>
      <c r="D1722" s="21" t="s">
        <v>29</v>
      </c>
      <c r="E1722" s="20"/>
      <c r="F1722" s="22" t="s">
        <v>168</v>
      </c>
      <c r="G1722" s="252">
        <v>185.85</v>
      </c>
      <c r="H1722" s="19"/>
      <c r="I1722" s="19">
        <f>COUNTIF(Tabela1[NF],Tabela1[[#This Row],[NF]])</f>
        <v>0</v>
      </c>
      <c r="J1722" s="22"/>
      <c r="K1722" s="21">
        <v>46073</v>
      </c>
      <c r="L1722" s="22"/>
      <c r="M1722" s="22"/>
      <c r="N1722" s="14" t="str" cm="1">
        <f t="array" ref="N1722">_xlfn.XLOOKUP(TRIM(D1722),TRIM(DFC!A:A),DFC!A:A,"NÃO ESTÁ NA DFC")</f>
        <v xml:space="preserve">      FRETE DE SAÍDA</v>
      </c>
    </row>
    <row r="1723" spans="1:14" customFormat="1" ht="15" customHeight="1" x14ac:dyDescent="0.3">
      <c r="A1723" s="19"/>
      <c r="B1723" s="21">
        <v>46073</v>
      </c>
      <c r="C1723" s="21" t="s">
        <v>15</v>
      </c>
      <c r="D1723" s="21" t="s">
        <v>29</v>
      </c>
      <c r="E1723" s="20"/>
      <c r="F1723" s="22" t="s">
        <v>168</v>
      </c>
      <c r="G1723" s="252">
        <v>1714.2</v>
      </c>
      <c r="H1723" s="19"/>
      <c r="I1723" s="19">
        <f>COUNTIF(Tabela1[NF],Tabela1[[#This Row],[NF]])</f>
        <v>0</v>
      </c>
      <c r="J1723" s="22"/>
      <c r="K1723" s="21">
        <v>46073</v>
      </c>
      <c r="L1723" s="22"/>
      <c r="M1723" s="22"/>
      <c r="N1723" s="14" t="str" cm="1">
        <f t="array" ref="N1723">_xlfn.XLOOKUP(TRIM(D1723),TRIM(DFC!A:A),DFC!A:A,"NÃO ESTÁ NA DFC")</f>
        <v xml:space="preserve">      FRETE DE SAÍDA</v>
      </c>
    </row>
    <row r="1724" spans="1:14" customFormat="1" ht="15" customHeight="1" x14ac:dyDescent="0.3">
      <c r="A1724" s="19"/>
      <c r="B1724" s="21">
        <v>46073</v>
      </c>
      <c r="C1724" s="21" t="s">
        <v>15</v>
      </c>
      <c r="D1724" s="21" t="s">
        <v>29</v>
      </c>
      <c r="E1724" s="20"/>
      <c r="F1724" s="22" t="s">
        <v>168</v>
      </c>
      <c r="G1724" s="252">
        <v>325</v>
      </c>
      <c r="H1724" s="19"/>
      <c r="I1724" s="19">
        <f>COUNTIF(Tabela1[NF],Tabela1[[#This Row],[NF]])</f>
        <v>0</v>
      </c>
      <c r="J1724" s="22"/>
      <c r="K1724" s="21">
        <v>46073</v>
      </c>
      <c r="L1724" s="22"/>
      <c r="M1724" s="22"/>
      <c r="N1724" s="14" t="str" cm="1">
        <f t="array" ref="N1724">_xlfn.XLOOKUP(TRIM(D1724),TRIM(DFC!A:A),DFC!A:A,"NÃO ESTÁ NA DFC")</f>
        <v xml:space="preserve">      FRETE DE SAÍDA</v>
      </c>
    </row>
    <row r="1725" spans="1:14" customFormat="1" ht="15" customHeight="1" x14ac:dyDescent="0.3">
      <c r="A1725" s="19"/>
      <c r="B1725" s="21">
        <v>46073</v>
      </c>
      <c r="C1725" s="21" t="s">
        <v>15</v>
      </c>
      <c r="D1725" s="21" t="s">
        <v>29</v>
      </c>
      <c r="E1725" s="20"/>
      <c r="F1725" s="22" t="s">
        <v>168</v>
      </c>
      <c r="G1725" s="252">
        <v>219.51</v>
      </c>
      <c r="H1725" s="19"/>
      <c r="I1725" s="19">
        <f>COUNTIF(Tabela1[NF],Tabela1[[#This Row],[NF]])</f>
        <v>0</v>
      </c>
      <c r="J1725" s="22"/>
      <c r="K1725" s="21">
        <v>46073</v>
      </c>
      <c r="L1725" s="22"/>
      <c r="M1725" s="22"/>
      <c r="N1725" s="14" t="str" cm="1">
        <f t="array" ref="N1725">_xlfn.XLOOKUP(TRIM(D1725),TRIM(DFC!A:A),DFC!A:A,"NÃO ESTÁ NA DFC")</f>
        <v xml:space="preserve">      FRETE DE SAÍDA</v>
      </c>
    </row>
    <row r="1726" spans="1:14" customFormat="1" ht="15" customHeight="1" x14ac:dyDescent="0.3">
      <c r="A1726" s="19"/>
      <c r="B1726" s="21">
        <v>46073</v>
      </c>
      <c r="C1726" s="21" t="s">
        <v>15</v>
      </c>
      <c r="D1726" s="21" t="s">
        <v>29</v>
      </c>
      <c r="E1726" s="20"/>
      <c r="F1726" s="22" t="s">
        <v>294</v>
      </c>
      <c r="G1726" s="252">
        <v>360</v>
      </c>
      <c r="H1726" s="19"/>
      <c r="I1726" s="19">
        <f>COUNTIF(Tabela1[NF],Tabela1[[#This Row],[NF]])</f>
        <v>0</v>
      </c>
      <c r="J1726" s="22"/>
      <c r="K1726" s="21">
        <v>46073</v>
      </c>
      <c r="L1726" s="22"/>
      <c r="M1726" s="22"/>
      <c r="N1726" s="14" t="str" cm="1">
        <f t="array" ref="N1726">_xlfn.XLOOKUP(TRIM(D1726),TRIM(DFC!A:A),DFC!A:A,"NÃO ESTÁ NA DFC")</f>
        <v xml:space="preserve">      FRETE DE SAÍDA</v>
      </c>
    </row>
    <row r="1727" spans="1:14" customFormat="1" ht="15" customHeight="1" x14ac:dyDescent="0.3">
      <c r="A1727" s="19"/>
      <c r="B1727" s="21">
        <v>46073</v>
      </c>
      <c r="C1727" s="21" t="s">
        <v>15</v>
      </c>
      <c r="D1727" s="21" t="s">
        <v>29</v>
      </c>
      <c r="E1727" s="20"/>
      <c r="F1727" s="22" t="s">
        <v>168</v>
      </c>
      <c r="G1727" s="252">
        <v>144</v>
      </c>
      <c r="H1727" s="19"/>
      <c r="I1727" s="19">
        <f>COUNTIF(Tabela1[NF],Tabela1[[#This Row],[NF]])</f>
        <v>0</v>
      </c>
      <c r="J1727" s="22"/>
      <c r="K1727" s="21">
        <v>46073</v>
      </c>
      <c r="L1727" s="22"/>
      <c r="M1727" s="22"/>
      <c r="N1727" s="14" t="str" cm="1">
        <f t="array" ref="N1727">_xlfn.XLOOKUP(TRIM(D1727),TRIM(DFC!A:A),DFC!A:A,"NÃO ESTÁ NA DFC")</f>
        <v xml:space="preserve">      FRETE DE SAÍDA</v>
      </c>
    </row>
    <row r="1728" spans="1:14" customFormat="1" ht="15" customHeight="1" x14ac:dyDescent="0.3">
      <c r="A1728" s="19"/>
      <c r="B1728" s="21">
        <v>46073</v>
      </c>
      <c r="C1728" s="21" t="s">
        <v>15</v>
      </c>
      <c r="D1728" s="21" t="s">
        <v>29</v>
      </c>
      <c r="E1728" s="20"/>
      <c r="F1728" s="22" t="s">
        <v>168</v>
      </c>
      <c r="G1728" s="252">
        <v>378.2</v>
      </c>
      <c r="H1728" s="19"/>
      <c r="I1728" s="19">
        <f>COUNTIF(Tabela1[NF],Tabela1[[#This Row],[NF]])</f>
        <v>0</v>
      </c>
      <c r="J1728" s="22"/>
      <c r="K1728" s="21">
        <v>46073</v>
      </c>
      <c r="L1728" s="22"/>
      <c r="M1728" s="22"/>
      <c r="N1728" s="14" t="str" cm="1">
        <f t="array" ref="N1728">_xlfn.XLOOKUP(TRIM(D1728),TRIM(DFC!A:A),DFC!A:A,"NÃO ESTÁ NA DFC")</f>
        <v xml:space="preserve">      FRETE DE SAÍDA</v>
      </c>
    </row>
    <row r="1729" spans="1:14" customFormat="1" ht="15" customHeight="1" x14ac:dyDescent="0.3">
      <c r="A1729" s="19"/>
      <c r="B1729" s="21">
        <v>46073</v>
      </c>
      <c r="C1729" s="21" t="s">
        <v>15</v>
      </c>
      <c r="D1729" s="21" t="s">
        <v>29</v>
      </c>
      <c r="E1729" s="20"/>
      <c r="F1729" s="22" t="s">
        <v>168</v>
      </c>
      <c r="G1729" s="252">
        <v>130</v>
      </c>
      <c r="H1729" s="19"/>
      <c r="I1729" s="19">
        <f>COUNTIF(Tabela1[NF],Tabela1[[#This Row],[NF]])</f>
        <v>0</v>
      </c>
      <c r="J1729" s="22"/>
      <c r="K1729" s="21">
        <v>46073</v>
      </c>
      <c r="L1729" s="22"/>
      <c r="M1729" s="22"/>
      <c r="N1729" s="14" t="str" cm="1">
        <f t="array" ref="N1729">_xlfn.XLOOKUP(TRIM(D1729),TRIM(DFC!A:A),DFC!A:A,"NÃO ESTÁ NA DFC")</f>
        <v xml:space="preserve">      FRETE DE SAÍDA</v>
      </c>
    </row>
    <row r="1730" spans="1:14" customFormat="1" ht="15" customHeight="1" x14ac:dyDescent="0.3">
      <c r="A1730" s="19"/>
      <c r="B1730" s="21">
        <v>46073</v>
      </c>
      <c r="C1730" s="21" t="s">
        <v>15</v>
      </c>
      <c r="D1730" s="21" t="s">
        <v>29</v>
      </c>
      <c r="E1730" s="20"/>
      <c r="F1730" s="22" t="s">
        <v>168</v>
      </c>
      <c r="G1730" s="252">
        <v>79.55</v>
      </c>
      <c r="H1730" s="19"/>
      <c r="I1730" s="19">
        <f>COUNTIF(Tabela1[NF],Tabela1[[#This Row],[NF]])</f>
        <v>0</v>
      </c>
      <c r="J1730" s="22"/>
      <c r="K1730" s="21">
        <v>46073</v>
      </c>
      <c r="L1730" s="22"/>
      <c r="M1730" s="22"/>
      <c r="N1730" s="14" t="str" cm="1">
        <f t="array" ref="N1730">_xlfn.XLOOKUP(TRIM(D1730),TRIM(DFC!A:A),DFC!A:A,"NÃO ESTÁ NA DFC")</f>
        <v xml:space="preserve">      FRETE DE SAÍDA</v>
      </c>
    </row>
    <row r="1731" spans="1:14" customFormat="1" ht="15" customHeight="1" x14ac:dyDescent="0.3">
      <c r="A1731" s="19"/>
      <c r="B1731" s="21">
        <v>46073</v>
      </c>
      <c r="C1731" s="21" t="s">
        <v>15</v>
      </c>
      <c r="D1731" s="21" t="s">
        <v>246</v>
      </c>
      <c r="E1731" s="20" t="s">
        <v>444</v>
      </c>
      <c r="F1731" s="22" t="s">
        <v>319</v>
      </c>
      <c r="G1731" s="252">
        <v>1040</v>
      </c>
      <c r="H1731" s="19"/>
      <c r="I1731" s="19">
        <f>COUNTIF(Tabela1[NF],Tabela1[[#This Row],[NF]])</f>
        <v>0</v>
      </c>
      <c r="J1731" s="22"/>
      <c r="K1731" s="21">
        <v>46073</v>
      </c>
      <c r="L1731" s="22"/>
      <c r="M1731" s="22"/>
      <c r="N1731" s="14" t="str" cm="1">
        <f t="array" ref="N1731">_xlfn.XLOOKUP(TRIM(D1731),TRIM(DFC!A:A),DFC!A:A,"NÃO ESTÁ NA DFC")</f>
        <v xml:space="preserve">          VALES</v>
      </c>
    </row>
    <row r="1732" spans="1:14" customFormat="1" ht="15" customHeight="1" x14ac:dyDescent="0.3">
      <c r="A1732" s="19"/>
      <c r="B1732" s="21">
        <v>46073</v>
      </c>
      <c r="C1732" s="21" t="s">
        <v>15</v>
      </c>
      <c r="D1732" s="21" t="s">
        <v>246</v>
      </c>
      <c r="E1732" s="20" t="s">
        <v>444</v>
      </c>
      <c r="F1732" s="22" t="s">
        <v>116</v>
      </c>
      <c r="G1732" s="252">
        <v>903.07</v>
      </c>
      <c r="H1732" s="19"/>
      <c r="I1732" s="19">
        <f>COUNTIF(Tabela1[NF],Tabela1[[#This Row],[NF]])</f>
        <v>0</v>
      </c>
      <c r="J1732" s="22"/>
      <c r="K1732" s="21">
        <v>46073</v>
      </c>
      <c r="L1732" s="22"/>
      <c r="M1732" s="22"/>
      <c r="N1732" s="14" t="str" cm="1">
        <f t="array" ref="N1732">_xlfn.XLOOKUP(TRIM(D1732),TRIM(DFC!A:A),DFC!A:A,"NÃO ESTÁ NA DFC")</f>
        <v xml:space="preserve">          VALES</v>
      </c>
    </row>
    <row r="1733" spans="1:14" customFormat="1" ht="15" customHeight="1" x14ac:dyDescent="0.3">
      <c r="A1733" s="19"/>
      <c r="B1733" s="21">
        <v>46073</v>
      </c>
      <c r="C1733" s="21" t="s">
        <v>15</v>
      </c>
      <c r="D1733" s="21" t="s">
        <v>246</v>
      </c>
      <c r="E1733" s="20" t="s">
        <v>444</v>
      </c>
      <c r="F1733" s="22" t="s">
        <v>581</v>
      </c>
      <c r="G1733" s="252">
        <v>903.07</v>
      </c>
      <c r="H1733" s="19"/>
      <c r="I1733" s="19">
        <f>COUNTIF(Tabela1[NF],Tabela1[[#This Row],[NF]])</f>
        <v>0</v>
      </c>
      <c r="J1733" s="22"/>
      <c r="K1733" s="21">
        <v>46073</v>
      </c>
      <c r="L1733" s="22"/>
      <c r="M1733" s="22"/>
      <c r="N1733" s="14" t="str" cm="1">
        <f t="array" ref="N1733">_xlfn.XLOOKUP(TRIM(D1733),TRIM(DFC!A:A),DFC!A:A,"NÃO ESTÁ NA DFC")</f>
        <v xml:space="preserve">          VALES</v>
      </c>
    </row>
    <row r="1734" spans="1:14" customFormat="1" ht="15" customHeight="1" x14ac:dyDescent="0.3">
      <c r="A1734" s="19"/>
      <c r="B1734" s="21">
        <v>46073</v>
      </c>
      <c r="C1734" s="21" t="s">
        <v>15</v>
      </c>
      <c r="D1734" s="21" t="s">
        <v>246</v>
      </c>
      <c r="E1734" s="20" t="s">
        <v>444</v>
      </c>
      <c r="F1734" s="22" t="s">
        <v>696</v>
      </c>
      <c r="G1734" s="252">
        <v>903.07</v>
      </c>
      <c r="H1734" s="19"/>
      <c r="I1734" s="19">
        <f>COUNTIF(Tabela1[NF],Tabela1[[#This Row],[NF]])</f>
        <v>0</v>
      </c>
      <c r="J1734" s="22"/>
      <c r="K1734" s="21">
        <v>46073</v>
      </c>
      <c r="L1734" s="22"/>
      <c r="M1734" s="22"/>
      <c r="N1734" s="14" t="str" cm="1">
        <f t="array" ref="N1734">_xlfn.XLOOKUP(TRIM(D1734),TRIM(DFC!A:A),DFC!A:A,"NÃO ESTÁ NA DFC")</f>
        <v xml:space="preserve">          VALES</v>
      </c>
    </row>
    <row r="1735" spans="1:14" customFormat="1" ht="15" customHeight="1" x14ac:dyDescent="0.3">
      <c r="A1735" s="19"/>
      <c r="B1735" s="21">
        <v>46073</v>
      </c>
      <c r="C1735" s="21" t="s">
        <v>15</v>
      </c>
      <c r="D1735" s="21" t="s">
        <v>246</v>
      </c>
      <c r="E1735" s="20" t="s">
        <v>444</v>
      </c>
      <c r="F1735" s="22" t="s">
        <v>320</v>
      </c>
      <c r="G1735" s="252">
        <v>1000</v>
      </c>
      <c r="H1735" s="19"/>
      <c r="I1735" s="19">
        <f>COUNTIF(Tabela1[NF],Tabela1[[#This Row],[NF]])</f>
        <v>0</v>
      </c>
      <c r="J1735" s="22"/>
      <c r="K1735" s="21">
        <v>46073</v>
      </c>
      <c r="L1735" s="22"/>
      <c r="M1735" s="22"/>
      <c r="N1735" s="14" t="str" cm="1">
        <f t="array" ref="N1735">_xlfn.XLOOKUP(TRIM(D1735),TRIM(DFC!A:A),DFC!A:A,"NÃO ESTÁ NA DFC")</f>
        <v xml:space="preserve">          VALES</v>
      </c>
    </row>
    <row r="1736" spans="1:14" customFormat="1" ht="15" customHeight="1" x14ac:dyDescent="0.3">
      <c r="A1736" s="19"/>
      <c r="B1736" s="21">
        <v>46073</v>
      </c>
      <c r="C1736" s="21" t="s">
        <v>15</v>
      </c>
      <c r="D1736" s="21" t="s">
        <v>246</v>
      </c>
      <c r="E1736" s="20" t="s">
        <v>444</v>
      </c>
      <c r="F1736" s="22" t="s">
        <v>322</v>
      </c>
      <c r="G1736" s="252">
        <v>903.07</v>
      </c>
      <c r="H1736" s="19"/>
      <c r="I1736" s="19">
        <f>COUNTIF(Tabela1[NF],Tabela1[[#This Row],[NF]])</f>
        <v>0</v>
      </c>
      <c r="J1736" s="22"/>
      <c r="K1736" s="21">
        <v>46073</v>
      </c>
      <c r="L1736" s="22"/>
      <c r="M1736" s="22"/>
      <c r="N1736" s="14" t="str" cm="1">
        <f t="array" ref="N1736">_xlfn.XLOOKUP(TRIM(D1736),TRIM(DFC!A:A),DFC!A:A,"NÃO ESTÁ NA DFC")</f>
        <v xml:space="preserve">          VALES</v>
      </c>
    </row>
    <row r="1737" spans="1:14" customFormat="1" ht="15" customHeight="1" x14ac:dyDescent="0.3">
      <c r="A1737" s="19"/>
      <c r="B1737" s="21">
        <v>46073</v>
      </c>
      <c r="C1737" s="21" t="s">
        <v>15</v>
      </c>
      <c r="D1737" s="21" t="s">
        <v>246</v>
      </c>
      <c r="E1737" s="20" t="s">
        <v>444</v>
      </c>
      <c r="F1737" s="22" t="s">
        <v>595</v>
      </c>
      <c r="G1737" s="252">
        <v>903.07</v>
      </c>
      <c r="H1737" s="19"/>
      <c r="I1737" s="19">
        <f>COUNTIF(Tabela1[NF],Tabela1[[#This Row],[NF]])</f>
        <v>0</v>
      </c>
      <c r="J1737" s="22"/>
      <c r="K1737" s="21">
        <v>46073</v>
      </c>
      <c r="L1737" s="22"/>
      <c r="M1737" s="22"/>
      <c r="N1737" s="14" t="str" cm="1">
        <f t="array" ref="N1737">_xlfn.XLOOKUP(TRIM(D1737),TRIM(DFC!A:A),DFC!A:A,"NÃO ESTÁ NA DFC")</f>
        <v xml:space="preserve">          VALES</v>
      </c>
    </row>
    <row r="1738" spans="1:14" customFormat="1" ht="15" customHeight="1" x14ac:dyDescent="0.3">
      <c r="A1738" s="19"/>
      <c r="B1738" s="21">
        <v>46073</v>
      </c>
      <c r="C1738" s="21" t="s">
        <v>15</v>
      </c>
      <c r="D1738" s="21" t="s">
        <v>246</v>
      </c>
      <c r="E1738" s="20" t="s">
        <v>444</v>
      </c>
      <c r="F1738" s="22" t="s">
        <v>643</v>
      </c>
      <c r="G1738" s="252">
        <v>903.07</v>
      </c>
      <c r="H1738" s="19"/>
      <c r="I1738" s="19">
        <f>COUNTIF(Tabela1[NF],Tabela1[[#This Row],[NF]])</f>
        <v>0</v>
      </c>
      <c r="J1738" s="22"/>
      <c r="K1738" s="21">
        <v>46073</v>
      </c>
      <c r="L1738" s="22"/>
      <c r="M1738" s="22"/>
      <c r="N1738" s="14" t="str" cm="1">
        <f t="array" ref="N1738">_xlfn.XLOOKUP(TRIM(D1738),TRIM(DFC!A:A),DFC!A:A,"NÃO ESTÁ NA DFC")</f>
        <v xml:space="preserve">          VALES</v>
      </c>
    </row>
    <row r="1739" spans="1:14" customFormat="1" ht="15" customHeight="1" x14ac:dyDescent="0.3">
      <c r="A1739" s="19"/>
      <c r="B1739" s="21">
        <v>46073</v>
      </c>
      <c r="C1739" s="21" t="s">
        <v>15</v>
      </c>
      <c r="D1739" s="21" t="s">
        <v>246</v>
      </c>
      <c r="E1739" s="20" t="s">
        <v>444</v>
      </c>
      <c r="F1739" s="22" t="s">
        <v>632</v>
      </c>
      <c r="G1739" s="252">
        <v>903.07</v>
      </c>
      <c r="H1739" s="19"/>
      <c r="I1739" s="19">
        <f>COUNTIF(Tabela1[NF],Tabela1[[#This Row],[NF]])</f>
        <v>0</v>
      </c>
      <c r="J1739" s="22"/>
      <c r="K1739" s="21">
        <v>46073</v>
      </c>
      <c r="L1739" s="22"/>
      <c r="M1739" s="22"/>
      <c r="N1739" s="14" t="str" cm="1">
        <f t="array" ref="N1739">_xlfn.XLOOKUP(TRIM(D1739),TRIM(DFC!A:A),DFC!A:A,"NÃO ESTÁ NA DFC")</f>
        <v xml:space="preserve">          VALES</v>
      </c>
    </row>
    <row r="1740" spans="1:14" customFormat="1" ht="15" customHeight="1" x14ac:dyDescent="0.3">
      <c r="A1740" s="19"/>
      <c r="B1740" s="21">
        <v>46073</v>
      </c>
      <c r="C1740" s="21" t="s">
        <v>15</v>
      </c>
      <c r="D1740" s="21" t="s">
        <v>246</v>
      </c>
      <c r="E1740" s="20" t="s">
        <v>444</v>
      </c>
      <c r="F1740" s="22" t="s">
        <v>327</v>
      </c>
      <c r="G1740" s="252">
        <v>903.07</v>
      </c>
      <c r="H1740" s="19"/>
      <c r="I1740" s="19">
        <f>COUNTIF(Tabela1[NF],Tabela1[[#This Row],[NF]])</f>
        <v>0</v>
      </c>
      <c r="J1740" s="22"/>
      <c r="K1740" s="21">
        <v>46073</v>
      </c>
      <c r="L1740" s="22"/>
      <c r="M1740" s="22"/>
      <c r="N1740" s="14" t="str" cm="1">
        <f t="array" ref="N1740">_xlfn.XLOOKUP(TRIM(D1740),TRIM(DFC!A:A),DFC!A:A,"NÃO ESTÁ NA DFC")</f>
        <v xml:space="preserve">          VALES</v>
      </c>
    </row>
    <row r="1741" spans="1:14" customFormat="1" ht="15" customHeight="1" x14ac:dyDescent="0.3">
      <c r="A1741" s="19"/>
      <c r="B1741" s="21">
        <v>46073</v>
      </c>
      <c r="C1741" s="21" t="s">
        <v>15</v>
      </c>
      <c r="D1741" s="21" t="s">
        <v>246</v>
      </c>
      <c r="E1741" s="20" t="s">
        <v>444</v>
      </c>
      <c r="F1741" s="22" t="s">
        <v>326</v>
      </c>
      <c r="G1741" s="252">
        <v>1981.27</v>
      </c>
      <c r="H1741" s="19"/>
      <c r="I1741" s="19">
        <f>COUNTIF(Tabela1[NF],Tabela1[[#This Row],[NF]])</f>
        <v>0</v>
      </c>
      <c r="J1741" s="22"/>
      <c r="K1741" s="21">
        <v>46073</v>
      </c>
      <c r="L1741" s="22"/>
      <c r="M1741" s="22"/>
      <c r="N1741" s="14" t="str" cm="1">
        <f t="array" ref="N1741">_xlfn.XLOOKUP(TRIM(D1741),TRIM(DFC!A:A),DFC!A:A,"NÃO ESTÁ NA DFC")</f>
        <v xml:space="preserve">          VALES</v>
      </c>
    </row>
    <row r="1742" spans="1:14" customFormat="1" ht="15" customHeight="1" x14ac:dyDescent="0.3">
      <c r="A1742" s="19"/>
      <c r="B1742" s="21">
        <v>46073</v>
      </c>
      <c r="C1742" s="21" t="s">
        <v>15</v>
      </c>
      <c r="D1742" s="84" t="s">
        <v>246</v>
      </c>
      <c r="E1742" s="20" t="s">
        <v>444</v>
      </c>
      <c r="F1742" s="22" t="s">
        <v>697</v>
      </c>
      <c r="G1742" s="252">
        <v>400</v>
      </c>
      <c r="H1742" s="19"/>
      <c r="I1742" s="19">
        <f>COUNTIF(Tabela1[NF],Tabela1[[#This Row],[NF]])</f>
        <v>0</v>
      </c>
      <c r="J1742" s="22"/>
      <c r="K1742" s="21">
        <v>46073</v>
      </c>
      <c r="L1742" s="22"/>
      <c r="M1742" s="22"/>
      <c r="N1742" s="14" t="str" cm="1">
        <f t="array" ref="N1742">_xlfn.XLOOKUP(TRIM(D1742),TRIM(DFC!A:A),DFC!A:A,"NÃO ESTÁ NA DFC")</f>
        <v xml:space="preserve">          VALES</v>
      </c>
    </row>
    <row r="1743" spans="1:14" customFormat="1" ht="15" customHeight="1" x14ac:dyDescent="0.3">
      <c r="A1743" s="19"/>
      <c r="B1743" s="21">
        <v>46073</v>
      </c>
      <c r="C1743" s="21" t="s">
        <v>15</v>
      </c>
      <c r="D1743" s="21" t="s">
        <v>246</v>
      </c>
      <c r="E1743" s="20" t="s">
        <v>444</v>
      </c>
      <c r="F1743" s="22" t="s">
        <v>629</v>
      </c>
      <c r="G1743" s="252">
        <v>903.07</v>
      </c>
      <c r="H1743" s="19"/>
      <c r="I1743" s="19">
        <f>COUNTIF(Tabela1[NF],Tabela1[[#This Row],[NF]])</f>
        <v>0</v>
      </c>
      <c r="J1743" s="22"/>
      <c r="K1743" s="21">
        <v>46073</v>
      </c>
      <c r="L1743" s="22"/>
      <c r="M1743" s="22"/>
      <c r="N1743" s="14" t="str" cm="1">
        <f t="array" ref="N1743">_xlfn.XLOOKUP(TRIM(D1743),TRIM(DFC!A:A),DFC!A:A,"NÃO ESTÁ NA DFC")</f>
        <v xml:space="preserve">          VALES</v>
      </c>
    </row>
    <row r="1744" spans="1:14" customFormat="1" ht="15" customHeight="1" x14ac:dyDescent="0.3">
      <c r="A1744" s="19"/>
      <c r="B1744" s="21">
        <v>46073</v>
      </c>
      <c r="C1744" s="21" t="s">
        <v>15</v>
      </c>
      <c r="D1744" s="21" t="s">
        <v>86</v>
      </c>
      <c r="E1744" s="20" t="s">
        <v>247</v>
      </c>
      <c r="F1744" s="22" t="s">
        <v>399</v>
      </c>
      <c r="G1744" s="252">
        <v>1561.04</v>
      </c>
      <c r="H1744" s="19"/>
      <c r="I1744" s="19">
        <f>COUNTIF(Tabela1[NF],Tabela1[[#This Row],[NF]])</f>
        <v>0</v>
      </c>
      <c r="J1744" s="22"/>
      <c r="K1744" s="21">
        <v>46073</v>
      </c>
      <c r="L1744" s="22"/>
      <c r="M1744" s="22"/>
      <c r="N1744" s="14" t="str" cm="1">
        <f t="array" ref="N1744">_xlfn.XLOOKUP(TRIM(D1744),TRIM(DFC!A:A),DFC!A:A,"NÃO ESTÁ NA DFC")</f>
        <v xml:space="preserve">          FGTS</v>
      </c>
    </row>
    <row r="1745" spans="1:14" customFormat="1" ht="15" customHeight="1" x14ac:dyDescent="0.3">
      <c r="A1745" s="19"/>
      <c r="B1745" s="21">
        <v>46073</v>
      </c>
      <c r="C1745" s="21" t="s">
        <v>15</v>
      </c>
      <c r="D1745" s="21" t="s">
        <v>129</v>
      </c>
      <c r="E1745" s="20" t="s">
        <v>247</v>
      </c>
      <c r="F1745" s="22" t="s">
        <v>398</v>
      </c>
      <c r="G1745" s="252">
        <v>15811.61</v>
      </c>
      <c r="H1745" s="19"/>
      <c r="I1745" s="19">
        <f>COUNTIF(Tabela1[NF],Tabela1[[#This Row],[NF]])</f>
        <v>0</v>
      </c>
      <c r="J1745" s="22"/>
      <c r="K1745" s="21">
        <v>46073</v>
      </c>
      <c r="N1745" s="14" t="str" cm="1">
        <f t="array" ref="N1745">_xlfn.XLOOKUP(TRIM(D1745),TRIM(DFC!A:A),DFC!A:A,"NÃO ESTÁ NA DFC")</f>
        <v xml:space="preserve">     SIMPLES NACIONAL</v>
      </c>
    </row>
    <row r="1746" spans="1:14" customFormat="1" ht="15" customHeight="1" x14ac:dyDescent="0.3">
      <c r="A1746" s="19"/>
      <c r="B1746" s="21">
        <v>46073</v>
      </c>
      <c r="C1746" s="21" t="s">
        <v>15</v>
      </c>
      <c r="D1746" s="21" t="s">
        <v>95</v>
      </c>
      <c r="E1746" s="20" t="s">
        <v>247</v>
      </c>
      <c r="F1746" s="22" t="s">
        <v>398</v>
      </c>
      <c r="G1746" s="252">
        <v>1991.89</v>
      </c>
      <c r="H1746" s="19"/>
      <c r="I1746" s="19">
        <f>COUNTIF(Tabela1[NF],Tabela1[[#This Row],[NF]])</f>
        <v>0</v>
      </c>
      <c r="J1746" s="22"/>
      <c r="K1746" s="21">
        <v>46073</v>
      </c>
      <c r="N1746" s="14" t="str" cm="1">
        <f t="array" ref="N1746">_xlfn.XLOOKUP(TRIM(D1746),TRIM(DFC!A:A),DFC!A:A,"NÃO ESTÁ NA DFC")</f>
        <v xml:space="preserve">          ISS</v>
      </c>
    </row>
    <row r="1747" spans="1:14" customFormat="1" ht="15" customHeight="1" x14ac:dyDescent="0.3">
      <c r="A1747" s="19"/>
      <c r="B1747" s="21">
        <v>46073</v>
      </c>
      <c r="C1747" s="21" t="s">
        <v>15</v>
      </c>
      <c r="D1747" s="84" t="s">
        <v>94</v>
      </c>
      <c r="E1747" s="20" t="s">
        <v>247</v>
      </c>
      <c r="F1747" s="22" t="s">
        <v>398</v>
      </c>
      <c r="G1747" s="252">
        <v>628.9</v>
      </c>
      <c r="H1747" s="19"/>
      <c r="I1747" s="19">
        <f>COUNTIF(Tabela1[NF],Tabela1[[#This Row],[NF]])</f>
        <v>0</v>
      </c>
      <c r="J1747" s="22"/>
      <c r="K1747" s="21">
        <v>46073</v>
      </c>
      <c r="N1747" s="14" t="str" cm="1">
        <f t="array" ref="N1747">_xlfn.XLOOKUP(TRIM(D1747),TRIM(DFC!A:A),DFC!A:A,"NÃO ESTÁ NA DFC")</f>
        <v xml:space="preserve">          IRPF</v>
      </c>
    </row>
    <row r="1748" spans="1:14" customFormat="1" ht="15" customHeight="1" x14ac:dyDescent="0.3">
      <c r="A1748" s="19"/>
      <c r="B1748" s="21">
        <v>46076</v>
      </c>
      <c r="C1748" s="21" t="s">
        <v>15</v>
      </c>
      <c r="D1748" s="21" t="s">
        <v>31</v>
      </c>
      <c r="E1748" s="20"/>
      <c r="F1748" s="22" t="s">
        <v>408</v>
      </c>
      <c r="G1748" s="252">
        <v>2110.7800000000002</v>
      </c>
      <c r="H1748" s="19"/>
      <c r="I1748" s="19">
        <f>COUNTIF(Tabela1[NF],Tabela1[[#This Row],[NF]])</f>
        <v>0</v>
      </c>
      <c r="J1748" s="22"/>
      <c r="K1748" s="21">
        <v>46076</v>
      </c>
      <c r="L1748" s="22"/>
      <c r="M1748" s="22"/>
      <c r="N1748" s="14" t="str" cm="1">
        <f t="array" ref="N1748">_xlfn.XLOOKUP(TRIM(D1748),TRIM(DFC!A:A),DFC!A:A,"NÃO ESTÁ NA DFC")</f>
        <v xml:space="preserve">      GRAN RESIDENCE</v>
      </c>
    </row>
    <row r="1749" spans="1:14" customFormat="1" ht="15" customHeight="1" x14ac:dyDescent="0.3">
      <c r="A1749" s="19"/>
      <c r="B1749" s="21">
        <v>46076</v>
      </c>
      <c r="C1749" s="21" t="s">
        <v>15</v>
      </c>
      <c r="D1749" s="21" t="s">
        <v>19</v>
      </c>
      <c r="E1749" s="20"/>
      <c r="F1749" s="22" t="s">
        <v>228</v>
      </c>
      <c r="G1749" s="252">
        <v>3602.79</v>
      </c>
      <c r="H1749" s="19"/>
      <c r="I1749" s="19">
        <f>COUNTIF(Tabela1[NF],Tabela1[[#This Row],[NF]])</f>
        <v>0</v>
      </c>
      <c r="J1749" s="22"/>
      <c r="K1749" s="21">
        <v>46076</v>
      </c>
      <c r="L1749" s="22"/>
      <c r="M1749" s="22"/>
      <c r="N1749" s="14" t="str" cm="1">
        <f t="array" ref="N1749">_xlfn.XLOOKUP(TRIM(D1749),TRIM(DFC!A:A),DFC!A:A,"NÃO ESTÁ NA DFC")</f>
        <v xml:space="preserve">      PEÇAS</v>
      </c>
    </row>
    <row r="1750" spans="1:14" customFormat="1" ht="15" customHeight="1" x14ac:dyDescent="0.3">
      <c r="A1750" s="19"/>
      <c r="B1750" s="21">
        <v>46076</v>
      </c>
      <c r="C1750" s="21" t="s">
        <v>15</v>
      </c>
      <c r="D1750" s="21" t="s">
        <v>215</v>
      </c>
      <c r="E1750" s="20" t="s">
        <v>630</v>
      </c>
      <c r="F1750" s="22" t="s">
        <v>381</v>
      </c>
      <c r="G1750" s="252">
        <v>1766.32</v>
      </c>
      <c r="H1750" s="19"/>
      <c r="I1750" s="19">
        <f>COUNTIF(Tabela1[NF],Tabela1[[#This Row],[NF]])</f>
        <v>0</v>
      </c>
      <c r="J1750" s="22"/>
      <c r="K1750" s="21">
        <v>46076</v>
      </c>
      <c r="L1750" s="22"/>
      <c r="M1750" s="22"/>
      <c r="N1750" s="14" t="str" cm="1">
        <f t="array" ref="N1750">_xlfn.XLOOKUP(TRIM(D1750),TRIM(DFC!A:A),DFC!A:A,"NÃO ESTÁ NA DFC")</f>
        <v xml:space="preserve">         DESIGNER GRAFICO</v>
      </c>
    </row>
    <row r="1751" spans="1:14" customFormat="1" ht="15" customHeight="1" x14ac:dyDescent="0.3">
      <c r="A1751" s="19"/>
      <c r="B1751" s="21">
        <v>46076</v>
      </c>
      <c r="C1751" s="21" t="s">
        <v>15</v>
      </c>
      <c r="D1751" s="21" t="s">
        <v>23</v>
      </c>
      <c r="E1751" s="20"/>
      <c r="F1751" s="22" t="s">
        <v>389</v>
      </c>
      <c r="G1751" s="252">
        <v>3927.9</v>
      </c>
      <c r="H1751" s="19"/>
      <c r="I1751" s="19">
        <f>COUNTIF(Tabela1[NF],Tabela1[[#This Row],[NF]])</f>
        <v>0</v>
      </c>
      <c r="J1751" s="22"/>
      <c r="K1751" s="21">
        <v>46076</v>
      </c>
      <c r="L1751" s="22"/>
      <c r="M1751" s="22"/>
      <c r="N1751" s="14" t="str" cm="1">
        <f t="array" ref="N1751">_xlfn.XLOOKUP(TRIM(D1751),TRIM(DFC!A:A),DFC!A:A,"NÃO ESTÁ NA DFC")</f>
        <v xml:space="preserve">         CONTABILIDADE</v>
      </c>
    </row>
    <row r="1752" spans="1:14" customFormat="1" ht="15" customHeight="1" x14ac:dyDescent="0.3">
      <c r="A1752" s="19"/>
      <c r="B1752" s="21">
        <v>46076</v>
      </c>
      <c r="C1752" s="21" t="s">
        <v>15</v>
      </c>
      <c r="D1752" s="21" t="s">
        <v>19</v>
      </c>
      <c r="E1752" s="20"/>
      <c r="F1752" s="22" t="s">
        <v>297</v>
      </c>
      <c r="G1752" s="252">
        <v>7656.07</v>
      </c>
      <c r="H1752" s="19"/>
      <c r="I1752" s="19">
        <f>COUNTIF(Tabela1[NF],Tabela1[[#This Row],[NF]])</f>
        <v>0</v>
      </c>
      <c r="J1752" s="22"/>
      <c r="K1752" s="21">
        <v>46076</v>
      </c>
      <c r="L1752" s="22"/>
      <c r="M1752" s="22"/>
      <c r="N1752" s="14" t="str" cm="1">
        <f t="array" ref="N1752">_xlfn.XLOOKUP(TRIM(D1752),TRIM(DFC!A:A),DFC!A:A,"NÃO ESTÁ NA DFC")</f>
        <v xml:space="preserve">      PEÇAS</v>
      </c>
    </row>
    <row r="1753" spans="1:14" customFormat="1" ht="15" customHeight="1" x14ac:dyDescent="0.3">
      <c r="A1753" s="19"/>
      <c r="B1753" s="21">
        <v>46076</v>
      </c>
      <c r="C1753" s="21" t="s">
        <v>15</v>
      </c>
      <c r="D1753" s="21" t="s">
        <v>590</v>
      </c>
      <c r="E1753" s="20"/>
      <c r="F1753" s="22" t="s">
        <v>698</v>
      </c>
      <c r="G1753" s="252">
        <v>1194.8499999999999</v>
      </c>
      <c r="H1753" s="19"/>
      <c r="I1753" s="19">
        <f>COUNTIF(Tabela1[NF],Tabela1[[#This Row],[NF]])</f>
        <v>0</v>
      </c>
      <c r="J1753" s="22"/>
      <c r="K1753" s="21">
        <v>46076</v>
      </c>
      <c r="L1753" s="22"/>
      <c r="M1753" s="22"/>
      <c r="N1753" s="14" t="str" cm="1">
        <f t="array" ref="N1753">_xlfn.XLOOKUP(TRIM(D1753),TRIM(DFC!A:A),DFC!A:A,"NÃO ESTÁ NA DFC")</f>
        <v xml:space="preserve">          DESPESAS MANUTENCAO VEICULOS</v>
      </c>
    </row>
    <row r="1754" spans="1:14" customFormat="1" ht="15" customHeight="1" x14ac:dyDescent="0.3">
      <c r="A1754" s="19"/>
      <c r="B1754" s="21">
        <v>46076</v>
      </c>
      <c r="C1754" s="21" t="s">
        <v>15</v>
      </c>
      <c r="D1754" s="21" t="s">
        <v>19</v>
      </c>
      <c r="E1754" s="20"/>
      <c r="F1754" s="22" t="s">
        <v>132</v>
      </c>
      <c r="G1754" s="252">
        <v>917.94</v>
      </c>
      <c r="H1754" s="19"/>
      <c r="I1754" s="19">
        <f>COUNTIF(Tabela1[NF],Tabela1[[#This Row],[NF]])</f>
        <v>0</v>
      </c>
      <c r="J1754" s="22"/>
      <c r="K1754" s="21">
        <v>46076</v>
      </c>
      <c r="L1754" s="22"/>
      <c r="M1754" s="22"/>
      <c r="N1754" s="14" t="str" cm="1">
        <f t="array" ref="N1754">_xlfn.XLOOKUP(TRIM(D1754),TRIM(DFC!A:A),DFC!A:A,"NÃO ESTÁ NA DFC")</f>
        <v xml:space="preserve">      PEÇAS</v>
      </c>
    </row>
    <row r="1755" spans="1:14" customFormat="1" ht="15" customHeight="1" x14ac:dyDescent="0.3">
      <c r="A1755" s="19"/>
      <c r="B1755" s="21">
        <v>46076</v>
      </c>
      <c r="C1755" s="21" t="s">
        <v>15</v>
      </c>
      <c r="D1755" s="21" t="s">
        <v>19</v>
      </c>
      <c r="E1755" s="20"/>
      <c r="F1755" s="22" t="s">
        <v>385</v>
      </c>
      <c r="G1755" s="252">
        <v>3232.33</v>
      </c>
      <c r="H1755" s="19"/>
      <c r="I1755" s="19">
        <f>COUNTIF(Tabela1[NF],Tabela1[[#This Row],[NF]])</f>
        <v>0</v>
      </c>
      <c r="J1755" s="22"/>
      <c r="K1755" s="21">
        <v>46076</v>
      </c>
      <c r="L1755" s="22"/>
      <c r="M1755" s="22"/>
      <c r="N1755" s="14" t="str" cm="1">
        <f t="array" ref="N1755">_xlfn.XLOOKUP(TRIM(D1755),TRIM(DFC!A:A),DFC!A:A,"NÃO ESTÁ NA DFC")</f>
        <v xml:space="preserve">      PEÇAS</v>
      </c>
    </row>
    <row r="1756" spans="1:14" customFormat="1" ht="15" customHeight="1" x14ac:dyDescent="0.3">
      <c r="A1756" s="19"/>
      <c r="B1756" s="21">
        <v>46076</v>
      </c>
      <c r="C1756" s="21" t="s">
        <v>15</v>
      </c>
      <c r="D1756" s="21" t="s">
        <v>29</v>
      </c>
      <c r="E1756" s="20"/>
      <c r="F1756" s="22" t="s">
        <v>699</v>
      </c>
      <c r="G1756" s="252">
        <v>65.59</v>
      </c>
      <c r="H1756" s="19"/>
      <c r="I1756" s="19">
        <f>COUNTIF(Tabela1[NF],Tabela1[[#This Row],[NF]])</f>
        <v>0</v>
      </c>
      <c r="J1756" s="22"/>
      <c r="K1756" s="21">
        <v>46076</v>
      </c>
      <c r="L1756" s="22"/>
      <c r="M1756" s="22"/>
      <c r="N1756" s="14" t="str" cm="1">
        <f t="array" ref="N1756">_xlfn.XLOOKUP(TRIM(D1756),TRIM(DFC!A:A),DFC!A:A,"NÃO ESTÁ NA DFC")</f>
        <v xml:space="preserve">      FRETE DE SAÍDA</v>
      </c>
    </row>
    <row r="1757" spans="1:14" customFormat="1" ht="15" customHeight="1" x14ac:dyDescent="0.3">
      <c r="A1757" s="19"/>
      <c r="B1757" s="21">
        <v>46076</v>
      </c>
      <c r="C1757" s="21" t="s">
        <v>15</v>
      </c>
      <c r="D1757" s="21" t="s">
        <v>154</v>
      </c>
      <c r="E1757" s="20" t="s">
        <v>700</v>
      </c>
      <c r="F1757" s="22" t="s">
        <v>103</v>
      </c>
      <c r="G1757" s="252">
        <v>1146</v>
      </c>
      <c r="H1757" s="19"/>
      <c r="I1757" s="19">
        <f>COUNTIF(Tabela1[NF],Tabela1[[#This Row],[NF]])</f>
        <v>0</v>
      </c>
      <c r="J1757" s="22"/>
      <c r="K1757" s="21">
        <v>46076</v>
      </c>
      <c r="L1757" s="22"/>
      <c r="M1757" s="22"/>
      <c r="N1757" s="14" t="str" cm="1">
        <f t="array" ref="N1757">_xlfn.XLOOKUP(TRIM(D1757),TRIM(DFC!A:A),DFC!A:A,"NÃO ESTÁ NA DFC")</f>
        <v xml:space="preserve">      EMBALAGENS</v>
      </c>
    </row>
    <row r="1758" spans="1:14" customFormat="1" ht="15" customHeight="1" x14ac:dyDescent="0.3">
      <c r="A1758" s="19"/>
      <c r="B1758" s="21">
        <v>46076</v>
      </c>
      <c r="C1758" s="21" t="s">
        <v>15</v>
      </c>
      <c r="D1758" s="21" t="s">
        <v>19</v>
      </c>
      <c r="E1758" s="20"/>
      <c r="F1758" s="22" t="s">
        <v>24</v>
      </c>
      <c r="G1758" s="252">
        <v>6058.12</v>
      </c>
      <c r="H1758" s="19"/>
      <c r="I1758" s="19">
        <f>COUNTIF(Tabela1[NF],Tabela1[[#This Row],[NF]])</f>
        <v>0</v>
      </c>
      <c r="J1758" s="22"/>
      <c r="K1758" s="21">
        <v>46076</v>
      </c>
      <c r="L1758" s="22"/>
      <c r="M1758" s="22"/>
      <c r="N1758" s="14" t="str" cm="1">
        <f t="array" ref="N1758">_xlfn.XLOOKUP(TRIM(D1758),TRIM(DFC!A:A),DFC!A:A,"NÃO ESTÁ NA DFC")</f>
        <v xml:space="preserve">      PEÇAS</v>
      </c>
    </row>
    <row r="1759" spans="1:14" customFormat="1" ht="15" customHeight="1" x14ac:dyDescent="0.3">
      <c r="A1759" s="19"/>
      <c r="B1759" s="21">
        <v>46076</v>
      </c>
      <c r="C1759" s="21" t="s">
        <v>15</v>
      </c>
      <c r="D1759" s="21" t="s">
        <v>19</v>
      </c>
      <c r="E1759" s="20"/>
      <c r="F1759" s="22" t="s">
        <v>24</v>
      </c>
      <c r="G1759" s="252">
        <v>17439.34</v>
      </c>
      <c r="H1759" s="19"/>
      <c r="I1759" s="19">
        <f>COUNTIF(Tabela1[NF],Tabela1[[#This Row],[NF]])</f>
        <v>0</v>
      </c>
      <c r="J1759" s="22"/>
      <c r="K1759" s="21">
        <v>46076</v>
      </c>
      <c r="L1759" s="22"/>
      <c r="M1759" s="22"/>
      <c r="N1759" s="14" t="str" cm="1">
        <f t="array" ref="N1759">_xlfn.XLOOKUP(TRIM(D1759),TRIM(DFC!A:A),DFC!A:A,"NÃO ESTÁ NA DFC")</f>
        <v xml:space="preserve">      PEÇAS</v>
      </c>
    </row>
    <row r="1760" spans="1:14" customFormat="1" ht="15" customHeight="1" x14ac:dyDescent="0.3">
      <c r="A1760" s="19"/>
      <c r="B1760" s="21">
        <v>46076</v>
      </c>
      <c r="C1760" s="21" t="s">
        <v>15</v>
      </c>
      <c r="D1760" s="21" t="s">
        <v>19</v>
      </c>
      <c r="E1760" s="20"/>
      <c r="F1760" s="22" t="s">
        <v>483</v>
      </c>
      <c r="G1760" s="252">
        <v>4429.7</v>
      </c>
      <c r="H1760" s="19"/>
      <c r="I1760" s="19">
        <f>COUNTIF(Tabela1[NF],Tabela1[[#This Row],[NF]])</f>
        <v>0</v>
      </c>
      <c r="J1760" s="22"/>
      <c r="K1760" s="21">
        <v>46076</v>
      </c>
      <c r="L1760" s="22"/>
      <c r="M1760" s="22"/>
      <c r="N1760" s="14" t="str" cm="1">
        <f t="array" ref="N1760">_xlfn.XLOOKUP(TRIM(D1760),TRIM(DFC!A:A),DFC!A:A,"NÃO ESTÁ NA DFC")</f>
        <v xml:space="preserve">      PEÇAS</v>
      </c>
    </row>
    <row r="1761" spans="1:14" customFormat="1" ht="15" customHeight="1" x14ac:dyDescent="0.3">
      <c r="A1761" s="19"/>
      <c r="B1761" s="21">
        <v>46077</v>
      </c>
      <c r="C1761" s="21" t="s">
        <v>15</v>
      </c>
      <c r="D1761" s="21" t="s">
        <v>154</v>
      </c>
      <c r="E1761" s="20"/>
      <c r="F1761" s="22" t="s">
        <v>621</v>
      </c>
      <c r="G1761" s="252">
        <v>1660.69</v>
      </c>
      <c r="H1761" s="19"/>
      <c r="I1761" s="19">
        <f>COUNTIF(Tabela1[NF],Tabela1[[#This Row],[NF]])</f>
        <v>0</v>
      </c>
      <c r="J1761" s="22"/>
      <c r="K1761" s="21">
        <v>46077</v>
      </c>
      <c r="L1761" s="22"/>
      <c r="M1761" s="22"/>
      <c r="N1761" s="14" t="str" cm="1">
        <f t="array" ref="N1761">_xlfn.XLOOKUP(TRIM(D1761),TRIM(DFC!A:A),DFC!A:A,"NÃO ESTÁ NA DFC")</f>
        <v xml:space="preserve">      EMBALAGENS</v>
      </c>
    </row>
    <row r="1762" spans="1:14" customFormat="1" ht="15" customHeight="1" x14ac:dyDescent="0.3">
      <c r="A1762" s="19"/>
      <c r="B1762" s="21">
        <v>46077</v>
      </c>
      <c r="C1762" s="21" t="s">
        <v>15</v>
      </c>
      <c r="D1762" s="21" t="s">
        <v>97</v>
      </c>
      <c r="E1762" s="20"/>
      <c r="F1762" s="22" t="s">
        <v>701</v>
      </c>
      <c r="G1762" s="252">
        <v>1320</v>
      </c>
      <c r="H1762" s="19"/>
      <c r="I1762" s="19">
        <f>COUNTIF(Tabela1[NF],Tabela1[[#This Row],[NF]])</f>
        <v>0</v>
      </c>
      <c r="J1762" s="22"/>
      <c r="K1762" s="21">
        <v>46077</v>
      </c>
      <c r="L1762" s="22"/>
      <c r="M1762" s="22"/>
      <c r="N1762" s="14" t="str" cm="1">
        <f t="array" ref="N1762">_xlfn.XLOOKUP(TRIM(D1762),TRIM(DFC!A:A),DFC!A:A,"NÃO ESTÁ NA DFC")</f>
        <v xml:space="preserve">          MANUTENÇÃO PREDIAL</v>
      </c>
    </row>
    <row r="1763" spans="1:14" customFormat="1" ht="15" customHeight="1" x14ac:dyDescent="0.3">
      <c r="A1763" s="19"/>
      <c r="B1763" s="21">
        <v>46077</v>
      </c>
      <c r="C1763" s="21" t="s">
        <v>15</v>
      </c>
      <c r="D1763" s="21" t="s">
        <v>37</v>
      </c>
      <c r="E1763" s="20"/>
      <c r="F1763" s="22" t="s">
        <v>341</v>
      </c>
      <c r="G1763" s="252">
        <v>191.11</v>
      </c>
      <c r="H1763" s="19"/>
      <c r="I1763" s="19">
        <f>COUNTIF(Tabela1[NF],Tabela1[[#This Row],[NF]])</f>
        <v>0</v>
      </c>
      <c r="J1763" s="22"/>
      <c r="K1763" s="21">
        <v>46077</v>
      </c>
      <c r="L1763" s="22"/>
      <c r="M1763" s="22"/>
      <c r="N1763" s="14" t="str" cm="1">
        <f t="array" ref="N1763">_xlfn.XLOOKUP(TRIM(D1763),TRIM(DFC!A:A),DFC!A:A,"NÃO ESTÁ NA DFC")</f>
        <v xml:space="preserve">          MATERIAL DE ESCRITÓRIO</v>
      </c>
    </row>
    <row r="1764" spans="1:14" customFormat="1" ht="15" customHeight="1" x14ac:dyDescent="0.3">
      <c r="A1764" s="19"/>
      <c r="B1764" s="21">
        <v>46077</v>
      </c>
      <c r="C1764" s="21" t="s">
        <v>15</v>
      </c>
      <c r="D1764" s="21" t="s">
        <v>19</v>
      </c>
      <c r="E1764" s="20"/>
      <c r="F1764" s="22" t="s">
        <v>24</v>
      </c>
      <c r="G1764" s="252">
        <v>236.48</v>
      </c>
      <c r="H1764" s="19"/>
      <c r="I1764" s="19">
        <f>COUNTIF(Tabela1[NF],Tabela1[[#This Row],[NF]])</f>
        <v>0</v>
      </c>
      <c r="J1764" s="22"/>
      <c r="K1764" s="21">
        <v>46077</v>
      </c>
      <c r="L1764" s="22"/>
      <c r="M1764" s="22"/>
      <c r="N1764" s="14" t="str" cm="1">
        <f t="array" ref="N1764">_xlfn.XLOOKUP(TRIM(D1764),TRIM(DFC!A:A),DFC!A:A,"NÃO ESTÁ NA DFC")</f>
        <v xml:space="preserve">      PEÇAS</v>
      </c>
    </row>
    <row r="1765" spans="1:14" customFormat="1" ht="15" customHeight="1" x14ac:dyDescent="0.3">
      <c r="A1765" s="19"/>
      <c r="B1765" s="21">
        <v>46077</v>
      </c>
      <c r="C1765" s="21" t="s">
        <v>15</v>
      </c>
      <c r="D1765" s="21" t="s">
        <v>156</v>
      </c>
      <c r="E1765" s="20" t="s">
        <v>597</v>
      </c>
      <c r="F1765" s="22" t="s">
        <v>314</v>
      </c>
      <c r="G1765" s="252">
        <v>1842.5</v>
      </c>
      <c r="H1765" s="19"/>
      <c r="I1765" s="19">
        <f>COUNTIF(Tabela1[NF],Tabela1[[#This Row],[NF]])</f>
        <v>0</v>
      </c>
      <c r="J1765" s="22"/>
      <c r="K1765" s="21">
        <v>46077</v>
      </c>
      <c r="L1765" s="22"/>
      <c r="M1765" s="22"/>
      <c r="N1765" s="14" t="str" cm="1">
        <f t="array" ref="N1765">_xlfn.XLOOKUP(TRIM(D1765),TRIM(DFC!A:A),DFC!A:A,"NÃO ESTÁ NA DFC")</f>
        <v xml:space="preserve">      MONTAGEM DE RODAS</v>
      </c>
    </row>
    <row r="1766" spans="1:14" customFormat="1" ht="15" customHeight="1" x14ac:dyDescent="0.3">
      <c r="A1766" s="19"/>
      <c r="B1766" s="21">
        <v>46077</v>
      </c>
      <c r="C1766" s="21" t="s">
        <v>15</v>
      </c>
      <c r="D1766" s="21" t="s">
        <v>82</v>
      </c>
      <c r="E1766" s="20" t="s">
        <v>164</v>
      </c>
      <c r="F1766" s="22" t="s">
        <v>411</v>
      </c>
      <c r="G1766" s="252">
        <v>320</v>
      </c>
      <c r="H1766" s="19"/>
      <c r="I1766" s="19">
        <f>COUNTIF(Tabela1[NF],Tabela1[[#This Row],[NF]])</f>
        <v>0</v>
      </c>
      <c r="J1766" s="22"/>
      <c r="K1766" s="21">
        <v>46077</v>
      </c>
      <c r="L1766" s="22"/>
      <c r="M1766" s="22"/>
      <c r="N1766" s="14" t="str" cm="1">
        <f t="array" ref="N1766">_xlfn.XLOOKUP(TRIM(D1766),TRIM(DFC!A:A),DFC!A:A,"NÃO ESTÁ NA DFC")</f>
        <v xml:space="preserve">          DIÁRIAS</v>
      </c>
    </row>
    <row r="1767" spans="1:14" customFormat="1" ht="15" customHeight="1" x14ac:dyDescent="0.3">
      <c r="A1767" s="19"/>
      <c r="B1767" s="21">
        <v>46077</v>
      </c>
      <c r="C1767" s="21" t="s">
        <v>15</v>
      </c>
      <c r="D1767" s="21" t="s">
        <v>19</v>
      </c>
      <c r="E1767" s="20"/>
      <c r="F1767" s="22" t="s">
        <v>372</v>
      </c>
      <c r="G1767" s="252">
        <v>2600</v>
      </c>
      <c r="H1767" s="19"/>
      <c r="I1767" s="19">
        <f>COUNTIF(Tabela1[NF],Tabela1[[#This Row],[NF]])</f>
        <v>0</v>
      </c>
      <c r="J1767" s="22"/>
      <c r="K1767" s="21">
        <v>46077</v>
      </c>
      <c r="L1767" s="22"/>
      <c r="M1767" s="22"/>
      <c r="N1767" s="14" t="str" cm="1">
        <f t="array" ref="N1767">_xlfn.XLOOKUP(TRIM(D1767),TRIM(DFC!A:A),DFC!A:A,"NÃO ESTÁ NA DFC")</f>
        <v xml:space="preserve">      PEÇAS</v>
      </c>
    </row>
    <row r="1768" spans="1:14" customFormat="1" ht="15" customHeight="1" x14ac:dyDescent="0.3">
      <c r="A1768" s="19"/>
      <c r="B1768" s="21">
        <v>46077</v>
      </c>
      <c r="C1768" s="21" t="s">
        <v>15</v>
      </c>
      <c r="D1768" s="21" t="s">
        <v>18</v>
      </c>
      <c r="E1768" s="20"/>
      <c r="F1768" s="22" t="s">
        <v>578</v>
      </c>
      <c r="G1768" s="252">
        <v>684.24</v>
      </c>
      <c r="H1768" s="19"/>
      <c r="I1768" s="19">
        <f>COUNTIF(Tabela1[NF],Tabela1[[#This Row],[NF]])</f>
        <v>0</v>
      </c>
      <c r="J1768" s="22"/>
      <c r="K1768" s="21">
        <v>46077</v>
      </c>
      <c r="L1768" s="22"/>
      <c r="M1768" s="22"/>
      <c r="N1768" s="14" t="str" cm="1">
        <f t="array" ref="N1768">_xlfn.XLOOKUP(TRIM(D1768),TRIM(DFC!A:A),DFC!A:A,"NÃO ESTÁ NA DFC")</f>
        <v xml:space="preserve">     COMISSÕES E TAXAS DOS MARKETPLACES</v>
      </c>
    </row>
    <row r="1769" spans="1:14" customFormat="1" ht="15" customHeight="1" x14ac:dyDescent="0.3">
      <c r="A1769" s="19"/>
      <c r="B1769" s="21">
        <v>46077</v>
      </c>
      <c r="C1769" s="21" t="s">
        <v>15</v>
      </c>
      <c r="D1769" s="21" t="s">
        <v>19</v>
      </c>
      <c r="E1769" s="20"/>
      <c r="F1769" s="22" t="s">
        <v>301</v>
      </c>
      <c r="G1769" s="252">
        <v>5341.7</v>
      </c>
      <c r="H1769" s="19"/>
      <c r="I1769" s="19">
        <f>COUNTIF(Tabela1[NF],Tabela1[[#This Row],[NF]])</f>
        <v>0</v>
      </c>
      <c r="J1769" s="22"/>
      <c r="K1769" s="21">
        <v>46077</v>
      </c>
      <c r="L1769" s="22"/>
      <c r="M1769" s="22"/>
      <c r="N1769" s="14" t="str" cm="1">
        <f t="array" ref="N1769">_xlfn.XLOOKUP(TRIM(D1769),TRIM(DFC!A:A),DFC!A:A,"NÃO ESTÁ NA DFC")</f>
        <v xml:space="preserve">      PEÇAS</v>
      </c>
    </row>
    <row r="1770" spans="1:14" customFormat="1" ht="15" customHeight="1" x14ac:dyDescent="0.3">
      <c r="A1770" s="19"/>
      <c r="B1770" s="21">
        <v>46077</v>
      </c>
      <c r="C1770" s="21" t="s">
        <v>15</v>
      </c>
      <c r="D1770" s="21" t="s">
        <v>215</v>
      </c>
      <c r="E1770" s="20" t="s">
        <v>630</v>
      </c>
      <c r="F1770" s="22" t="s">
        <v>381</v>
      </c>
      <c r="G1770" s="252">
        <v>3316.07</v>
      </c>
      <c r="H1770" s="19"/>
      <c r="I1770" s="19">
        <f>COUNTIF(Tabela1[NF],Tabela1[[#This Row],[NF]])</f>
        <v>0</v>
      </c>
      <c r="J1770" s="22"/>
      <c r="K1770" s="21">
        <v>46077</v>
      </c>
      <c r="L1770" s="22"/>
      <c r="M1770" s="22"/>
      <c r="N1770" s="14" t="str" cm="1">
        <f t="array" ref="N1770">_xlfn.XLOOKUP(TRIM(D1770),TRIM(DFC!A:A),DFC!A:A,"NÃO ESTÁ NA DFC")</f>
        <v xml:space="preserve">         DESIGNER GRAFICO</v>
      </c>
    </row>
    <row r="1771" spans="1:14" customFormat="1" ht="15" customHeight="1" x14ac:dyDescent="0.3">
      <c r="A1771" s="19"/>
      <c r="B1771" s="21">
        <v>46077</v>
      </c>
      <c r="C1771" s="21" t="s">
        <v>15</v>
      </c>
      <c r="D1771" s="21" t="s">
        <v>19</v>
      </c>
      <c r="E1771" s="20"/>
      <c r="F1771" s="22" t="s">
        <v>228</v>
      </c>
      <c r="G1771" s="252">
        <v>5582.03</v>
      </c>
      <c r="H1771" s="19"/>
      <c r="I1771" s="19">
        <f>COUNTIF(Tabela1[NF],Tabela1[[#This Row],[NF]])</f>
        <v>0</v>
      </c>
      <c r="J1771" s="22"/>
      <c r="K1771" s="21">
        <v>46077</v>
      </c>
      <c r="L1771" s="22"/>
      <c r="M1771" s="22"/>
      <c r="N1771" s="14" t="str" cm="1">
        <f t="array" ref="N1771">_xlfn.XLOOKUP(TRIM(D1771),TRIM(DFC!A:A),DFC!A:A,"NÃO ESTÁ NA DFC")</f>
        <v xml:space="preserve">      PEÇAS</v>
      </c>
    </row>
    <row r="1772" spans="1:14" customFormat="1" ht="15" customHeight="1" x14ac:dyDescent="0.3">
      <c r="A1772" s="19"/>
      <c r="B1772" s="21">
        <v>46077</v>
      </c>
      <c r="C1772" s="21" t="s">
        <v>15</v>
      </c>
      <c r="D1772" s="21" t="s">
        <v>19</v>
      </c>
      <c r="E1772" s="20"/>
      <c r="F1772" s="22" t="s">
        <v>702</v>
      </c>
      <c r="G1772" s="252">
        <v>2393.4</v>
      </c>
      <c r="H1772" s="19"/>
      <c r="I1772" s="19">
        <f>COUNTIF(Tabela1[NF],Tabela1[[#This Row],[NF]])</f>
        <v>0</v>
      </c>
      <c r="J1772" s="22"/>
      <c r="K1772" s="21">
        <v>46077</v>
      </c>
      <c r="L1772" s="22"/>
      <c r="M1772" s="22"/>
      <c r="N1772" s="14" t="str" cm="1">
        <f t="array" ref="N1772">_xlfn.XLOOKUP(TRIM(D1772),TRIM(DFC!A:A),DFC!A:A,"NÃO ESTÁ NA DFC")</f>
        <v xml:space="preserve">      PEÇAS</v>
      </c>
    </row>
    <row r="1773" spans="1:14" customFormat="1" ht="15" customHeight="1" x14ac:dyDescent="0.3">
      <c r="A1773" s="19"/>
      <c r="B1773" s="21">
        <v>46077</v>
      </c>
      <c r="C1773" s="21" t="s">
        <v>15</v>
      </c>
      <c r="D1773" s="21" t="s">
        <v>154</v>
      </c>
      <c r="E1773" s="20"/>
      <c r="F1773" s="22" t="s">
        <v>302</v>
      </c>
      <c r="G1773" s="252">
        <v>3030.85</v>
      </c>
      <c r="H1773" s="19"/>
      <c r="I1773" s="19">
        <f>COUNTIF(Tabela1[NF],Tabela1[[#This Row],[NF]])</f>
        <v>0</v>
      </c>
      <c r="J1773" s="22"/>
      <c r="K1773" s="21">
        <v>46077</v>
      </c>
      <c r="L1773" s="22"/>
      <c r="M1773" s="22"/>
      <c r="N1773" s="14" t="str" cm="1">
        <f t="array" ref="N1773">_xlfn.XLOOKUP(TRIM(D1773),TRIM(DFC!A:A),DFC!A:A,"NÃO ESTÁ NA DFC")</f>
        <v xml:space="preserve">      EMBALAGENS</v>
      </c>
    </row>
    <row r="1774" spans="1:14" customFormat="1" ht="15" customHeight="1" x14ac:dyDescent="0.3">
      <c r="A1774" s="19"/>
      <c r="B1774" s="21">
        <v>46077</v>
      </c>
      <c r="C1774" s="21" t="s">
        <v>15</v>
      </c>
      <c r="D1774" s="21" t="s">
        <v>154</v>
      </c>
      <c r="E1774" s="20"/>
      <c r="F1774" s="22" t="s">
        <v>302</v>
      </c>
      <c r="G1774" s="252">
        <v>3287.23</v>
      </c>
      <c r="H1774" s="19"/>
      <c r="I1774" s="19">
        <f>COUNTIF(Tabela1[NF],Tabela1[[#This Row],[NF]])</f>
        <v>0</v>
      </c>
      <c r="J1774" s="22"/>
      <c r="K1774" s="21">
        <v>46077</v>
      </c>
      <c r="L1774" s="22"/>
      <c r="M1774" s="22"/>
      <c r="N1774" s="14" t="str" cm="1">
        <f t="array" ref="N1774">_xlfn.XLOOKUP(TRIM(D1774),TRIM(DFC!A:A),DFC!A:A,"NÃO ESTÁ NA DFC")</f>
        <v xml:space="preserve">      EMBALAGENS</v>
      </c>
    </row>
    <row r="1775" spans="1:14" customFormat="1" ht="15" customHeight="1" x14ac:dyDescent="0.3">
      <c r="A1775" s="19"/>
      <c r="B1775" s="21">
        <v>46077</v>
      </c>
      <c r="C1775" s="21" t="s">
        <v>15</v>
      </c>
      <c r="D1775" s="21" t="s">
        <v>19</v>
      </c>
      <c r="E1775" s="20"/>
      <c r="F1775" s="22" t="s">
        <v>228</v>
      </c>
      <c r="G1775" s="252">
        <v>3546.76</v>
      </c>
      <c r="H1775" s="19"/>
      <c r="I1775" s="19">
        <f>COUNTIF(Tabela1[NF],Tabela1[[#This Row],[NF]])</f>
        <v>0</v>
      </c>
      <c r="J1775" s="22"/>
      <c r="K1775" s="21">
        <v>46077</v>
      </c>
      <c r="L1775" s="22"/>
      <c r="M1775" s="22"/>
      <c r="N1775" s="14" t="str" cm="1">
        <f t="array" ref="N1775">_xlfn.XLOOKUP(TRIM(D1775),TRIM(DFC!A:A),DFC!A:A,"NÃO ESTÁ NA DFC")</f>
        <v xml:space="preserve">      PEÇAS</v>
      </c>
    </row>
    <row r="1776" spans="1:14" customFormat="1" ht="15" customHeight="1" x14ac:dyDescent="0.3">
      <c r="A1776" s="19"/>
      <c r="B1776" s="21">
        <v>46077</v>
      </c>
      <c r="C1776" s="21" t="s">
        <v>15</v>
      </c>
      <c r="D1776" s="21" t="s">
        <v>19</v>
      </c>
      <c r="E1776" s="20"/>
      <c r="F1776" s="22" t="s">
        <v>301</v>
      </c>
      <c r="G1776" s="252">
        <v>6854.67</v>
      </c>
      <c r="H1776" s="19"/>
      <c r="I1776" s="19">
        <f>COUNTIF(Tabela1[NF],Tabela1[[#This Row],[NF]])</f>
        <v>0</v>
      </c>
      <c r="J1776" s="22"/>
      <c r="K1776" s="21">
        <v>46077</v>
      </c>
      <c r="L1776" s="22"/>
      <c r="M1776" s="22"/>
      <c r="N1776" s="14" t="str" cm="1">
        <f t="array" ref="N1776">_xlfn.XLOOKUP(TRIM(D1776),TRIM(DFC!A:A),DFC!A:A,"NÃO ESTÁ NA DFC")</f>
        <v xml:space="preserve">      PEÇAS</v>
      </c>
    </row>
    <row r="1777" spans="1:14" customFormat="1" ht="15" customHeight="1" x14ac:dyDescent="0.3">
      <c r="A1777" s="19"/>
      <c r="B1777" s="21">
        <v>46077</v>
      </c>
      <c r="C1777" s="21" t="s">
        <v>15</v>
      </c>
      <c r="D1777" s="21" t="s">
        <v>19</v>
      </c>
      <c r="E1777" s="20"/>
      <c r="F1777" s="22" t="s">
        <v>228</v>
      </c>
      <c r="G1777" s="252">
        <v>3289.4</v>
      </c>
      <c r="H1777" s="19"/>
      <c r="I1777" s="19">
        <f>COUNTIF(Tabela1[NF],Tabela1[[#This Row],[NF]])</f>
        <v>0</v>
      </c>
      <c r="J1777" s="22"/>
      <c r="K1777" s="21">
        <v>46077</v>
      </c>
      <c r="L1777" s="22"/>
      <c r="M1777" s="22"/>
      <c r="N1777" s="14" t="str" cm="1">
        <f t="array" ref="N1777">_xlfn.XLOOKUP(TRIM(D1777),TRIM(DFC!A:A),DFC!A:A,"NÃO ESTÁ NA DFC")</f>
        <v xml:space="preserve">      PEÇAS</v>
      </c>
    </row>
    <row r="1778" spans="1:14" customFormat="1" ht="15" customHeight="1" x14ac:dyDescent="0.3">
      <c r="A1778" s="19"/>
      <c r="B1778" s="21">
        <v>46077</v>
      </c>
      <c r="C1778" s="21" t="s">
        <v>15</v>
      </c>
      <c r="D1778" s="21" t="s">
        <v>29</v>
      </c>
      <c r="E1778" s="20"/>
      <c r="F1778" s="22" t="s">
        <v>548</v>
      </c>
      <c r="G1778" s="252">
        <v>1058.23</v>
      </c>
      <c r="H1778" s="19"/>
      <c r="I1778" s="19">
        <f>COUNTIF(Tabela1[NF],Tabela1[[#This Row],[NF]])</f>
        <v>0</v>
      </c>
      <c r="J1778" s="22"/>
      <c r="K1778" s="21">
        <v>46077</v>
      </c>
      <c r="L1778" s="22"/>
      <c r="M1778" s="22"/>
      <c r="N1778" s="14" t="str" cm="1">
        <f t="array" ref="N1778">_xlfn.XLOOKUP(TRIM(D1778),TRIM(DFC!A:A),DFC!A:A,"NÃO ESTÁ NA DFC")</f>
        <v xml:space="preserve">      FRETE DE SAÍDA</v>
      </c>
    </row>
    <row r="1779" spans="1:14" customFormat="1" ht="15" customHeight="1" x14ac:dyDescent="0.3">
      <c r="A1779" s="19"/>
      <c r="B1779" s="21">
        <v>46077</v>
      </c>
      <c r="C1779" s="21" t="s">
        <v>15</v>
      </c>
      <c r="D1779" s="21" t="s">
        <v>19</v>
      </c>
      <c r="E1779" s="20"/>
      <c r="F1779" s="22" t="s">
        <v>310</v>
      </c>
      <c r="G1779" s="252">
        <v>12350</v>
      </c>
      <c r="H1779" s="19"/>
      <c r="I1779" s="19">
        <f>COUNTIF(Tabela1[NF],Tabela1[[#This Row],[NF]])</f>
        <v>0</v>
      </c>
      <c r="J1779" s="22"/>
      <c r="K1779" s="21">
        <v>46077</v>
      </c>
      <c r="L1779" s="22"/>
      <c r="M1779" s="22"/>
      <c r="N1779" s="14" t="str" cm="1">
        <f t="array" ref="N1779">_xlfn.XLOOKUP(TRIM(D1779),TRIM(DFC!A:A),DFC!A:A,"NÃO ESTÁ NA DFC")</f>
        <v xml:space="preserve">      PEÇAS</v>
      </c>
    </row>
    <row r="1780" spans="1:14" customFormat="1" ht="15" customHeight="1" x14ac:dyDescent="0.3">
      <c r="A1780" s="19"/>
      <c r="B1780" s="21">
        <v>46077</v>
      </c>
      <c r="C1780" s="21" t="s">
        <v>15</v>
      </c>
      <c r="D1780" s="21" t="s">
        <v>19</v>
      </c>
      <c r="E1780" s="20"/>
      <c r="F1780" s="22" t="s">
        <v>310</v>
      </c>
      <c r="G1780" s="252">
        <v>4217</v>
      </c>
      <c r="H1780" s="19"/>
      <c r="I1780" s="19">
        <f>COUNTIF(Tabela1[NF],Tabela1[[#This Row],[NF]])</f>
        <v>0</v>
      </c>
      <c r="J1780" s="22"/>
      <c r="K1780" s="21">
        <v>46077</v>
      </c>
      <c r="L1780" s="22"/>
      <c r="M1780" s="22"/>
      <c r="N1780" s="14" t="str" cm="1">
        <f t="array" ref="N1780">_xlfn.XLOOKUP(TRIM(D1780),TRIM(DFC!A:A),DFC!A:A,"NÃO ESTÁ NA DFC")</f>
        <v xml:space="preserve">      PEÇAS</v>
      </c>
    </row>
    <row r="1781" spans="1:14" customFormat="1" ht="15" customHeight="1" x14ac:dyDescent="0.3">
      <c r="A1781" s="19"/>
      <c r="B1781" s="21">
        <v>46077</v>
      </c>
      <c r="C1781" s="21" t="s">
        <v>15</v>
      </c>
      <c r="D1781" s="21" t="s">
        <v>19</v>
      </c>
      <c r="E1781" s="20" t="s">
        <v>690</v>
      </c>
      <c r="F1781" s="22" t="s">
        <v>340</v>
      </c>
      <c r="G1781" s="252">
        <v>6273.25</v>
      </c>
      <c r="H1781" s="19"/>
      <c r="I1781" s="19">
        <f>COUNTIF(Tabela1[NF],Tabela1[[#This Row],[NF]])</f>
        <v>0</v>
      </c>
      <c r="J1781" s="22"/>
      <c r="K1781" s="21">
        <v>46077</v>
      </c>
      <c r="L1781" s="22"/>
      <c r="M1781" s="22"/>
      <c r="N1781" s="14" t="str" cm="1">
        <f t="array" ref="N1781">_xlfn.XLOOKUP(TRIM(D1781),TRIM(DFC!A:A),DFC!A:A,"NÃO ESTÁ NA DFC")</f>
        <v xml:space="preserve">      PEÇAS</v>
      </c>
    </row>
    <row r="1782" spans="1:14" customFormat="1" ht="15" customHeight="1" x14ac:dyDescent="0.3">
      <c r="A1782" s="19"/>
      <c r="B1782" s="21">
        <v>46077</v>
      </c>
      <c r="C1782" s="21" t="s">
        <v>15</v>
      </c>
      <c r="D1782" s="21" t="s">
        <v>19</v>
      </c>
      <c r="E1782" s="20" t="s">
        <v>690</v>
      </c>
      <c r="F1782" s="22" t="s">
        <v>344</v>
      </c>
      <c r="G1782" s="252">
        <v>6273.25</v>
      </c>
      <c r="H1782" s="19"/>
      <c r="I1782" s="19">
        <f>COUNTIF(Tabela1[NF],Tabela1[[#This Row],[NF]])</f>
        <v>0</v>
      </c>
      <c r="J1782" s="22"/>
      <c r="K1782" s="21">
        <v>46077</v>
      </c>
      <c r="L1782" s="22"/>
      <c r="M1782" s="22"/>
      <c r="N1782" s="14" t="str" cm="1">
        <f t="array" ref="N1782">_xlfn.XLOOKUP(TRIM(D1782),TRIM(DFC!A:A),DFC!A:A,"NÃO ESTÁ NA DFC")</f>
        <v xml:space="preserve">      PEÇAS</v>
      </c>
    </row>
    <row r="1783" spans="1:14" customFormat="1" ht="15" customHeight="1" x14ac:dyDescent="0.3">
      <c r="A1783" s="19"/>
      <c r="B1783" s="21">
        <v>46078</v>
      </c>
      <c r="C1783" s="21" t="s">
        <v>15</v>
      </c>
      <c r="D1783" s="21" t="s">
        <v>19</v>
      </c>
      <c r="E1783" s="20"/>
      <c r="F1783" s="22" t="s">
        <v>407</v>
      </c>
      <c r="G1783" s="252">
        <v>3199.68</v>
      </c>
      <c r="H1783" s="19"/>
      <c r="I1783" s="19">
        <f>COUNTIF(Tabela1[NF],Tabela1[[#This Row],[NF]])</f>
        <v>0</v>
      </c>
      <c r="J1783" s="22"/>
      <c r="K1783" s="21">
        <v>46078</v>
      </c>
      <c r="L1783" s="22"/>
      <c r="M1783" s="22"/>
      <c r="N1783" s="14" t="str" cm="1">
        <f t="array" ref="N1783">_xlfn.XLOOKUP(TRIM(D1783),TRIM(DFC!A:A),DFC!A:A,"NÃO ESTÁ NA DFC")</f>
        <v xml:space="preserve">      PEÇAS</v>
      </c>
    </row>
    <row r="1784" spans="1:14" customFormat="1" ht="15" customHeight="1" x14ac:dyDescent="0.3">
      <c r="A1784" s="19"/>
      <c r="B1784" s="21">
        <v>46078</v>
      </c>
      <c r="C1784" s="21" t="s">
        <v>15</v>
      </c>
      <c r="D1784" s="21" t="s">
        <v>19</v>
      </c>
      <c r="E1784" s="20"/>
      <c r="F1784" s="22" t="s">
        <v>407</v>
      </c>
      <c r="G1784" s="252">
        <v>1066.56</v>
      </c>
      <c r="H1784" s="19"/>
      <c r="I1784" s="19">
        <f>COUNTIF(Tabela1[NF],Tabela1[[#This Row],[NF]])</f>
        <v>0</v>
      </c>
      <c r="J1784" s="22"/>
      <c r="K1784" s="21">
        <v>46078</v>
      </c>
      <c r="L1784" s="22"/>
      <c r="M1784" s="22"/>
      <c r="N1784" s="14" t="str" cm="1">
        <f t="array" ref="N1784">_xlfn.XLOOKUP(TRIM(D1784),TRIM(DFC!A:A),DFC!A:A,"NÃO ESTÁ NA DFC")</f>
        <v xml:space="preserve">      PEÇAS</v>
      </c>
    </row>
    <row r="1785" spans="1:14" customFormat="1" ht="15" customHeight="1" x14ac:dyDescent="0.3">
      <c r="A1785" s="19"/>
      <c r="B1785" s="21">
        <v>46078</v>
      </c>
      <c r="C1785" s="21" t="s">
        <v>15</v>
      </c>
      <c r="D1785" s="21" t="s">
        <v>19</v>
      </c>
      <c r="E1785" s="20"/>
      <c r="F1785" s="22" t="s">
        <v>407</v>
      </c>
      <c r="G1785" s="252">
        <v>3199.68</v>
      </c>
      <c r="H1785" s="19"/>
      <c r="I1785" s="19">
        <f>COUNTIF(Tabela1[NF],Tabela1[[#This Row],[NF]])</f>
        <v>0</v>
      </c>
      <c r="J1785" s="22"/>
      <c r="K1785" s="21">
        <v>46078</v>
      </c>
      <c r="L1785" s="22"/>
      <c r="M1785" s="22"/>
      <c r="N1785" s="14" t="str" cm="1">
        <f t="array" ref="N1785">_xlfn.XLOOKUP(TRIM(D1785),TRIM(DFC!A:A),DFC!A:A,"NÃO ESTÁ NA DFC")</f>
        <v xml:space="preserve">      PEÇAS</v>
      </c>
    </row>
    <row r="1786" spans="1:14" customFormat="1" ht="15" customHeight="1" x14ac:dyDescent="0.3">
      <c r="A1786" s="19"/>
      <c r="B1786" s="21">
        <v>46078</v>
      </c>
      <c r="C1786" s="21" t="s">
        <v>15</v>
      </c>
      <c r="D1786" s="21" t="s">
        <v>19</v>
      </c>
      <c r="E1786" s="20"/>
      <c r="F1786" s="22" t="s">
        <v>615</v>
      </c>
      <c r="G1786" s="252">
        <v>792.5</v>
      </c>
      <c r="H1786" s="19"/>
      <c r="I1786" s="19">
        <f>COUNTIF(Tabela1[NF],Tabela1[[#This Row],[NF]])</f>
        <v>0</v>
      </c>
      <c r="J1786" s="22"/>
      <c r="K1786" s="21">
        <v>46078</v>
      </c>
      <c r="L1786" s="22"/>
      <c r="M1786" s="22"/>
      <c r="N1786" s="14" t="str" cm="1">
        <f t="array" ref="N1786">_xlfn.XLOOKUP(TRIM(D1786),TRIM(DFC!A:A),DFC!A:A,"NÃO ESTÁ NA DFC")</f>
        <v xml:space="preserve">      PEÇAS</v>
      </c>
    </row>
    <row r="1787" spans="1:14" customFormat="1" ht="15" customHeight="1" x14ac:dyDescent="0.3">
      <c r="A1787" s="19"/>
      <c r="B1787" s="21">
        <v>46078</v>
      </c>
      <c r="C1787" s="21" t="s">
        <v>15</v>
      </c>
      <c r="D1787" s="21" t="s">
        <v>29</v>
      </c>
      <c r="E1787" s="20"/>
      <c r="F1787" s="22" t="s">
        <v>318</v>
      </c>
      <c r="G1787" s="252">
        <v>470.92</v>
      </c>
      <c r="H1787" s="19"/>
      <c r="I1787" s="19">
        <f>COUNTIF(Tabela1[NF],Tabela1[[#This Row],[NF]])</f>
        <v>0</v>
      </c>
      <c r="J1787" s="22"/>
      <c r="K1787" s="21">
        <v>46078</v>
      </c>
      <c r="L1787" s="22"/>
      <c r="M1787" s="22"/>
      <c r="N1787" s="14" t="str" cm="1">
        <f t="array" ref="N1787">_xlfn.XLOOKUP(TRIM(D1787),TRIM(DFC!A:A),DFC!A:A,"NÃO ESTÁ NA DFC")</f>
        <v xml:space="preserve">      FRETE DE SAÍDA</v>
      </c>
    </row>
    <row r="1788" spans="1:14" customFormat="1" ht="15" customHeight="1" x14ac:dyDescent="0.3">
      <c r="A1788" s="19"/>
      <c r="B1788" s="21">
        <v>46078</v>
      </c>
      <c r="C1788" s="21" t="s">
        <v>15</v>
      </c>
      <c r="D1788" s="21" t="s">
        <v>19</v>
      </c>
      <c r="E1788" s="20"/>
      <c r="F1788" s="22" t="s">
        <v>407</v>
      </c>
      <c r="G1788" s="252">
        <v>1066.56</v>
      </c>
      <c r="H1788" s="19"/>
      <c r="I1788" s="19">
        <f>COUNTIF(Tabela1[NF],Tabela1[[#This Row],[NF]])</f>
        <v>0</v>
      </c>
      <c r="J1788" s="22"/>
      <c r="K1788" s="21">
        <v>46078</v>
      </c>
      <c r="L1788" s="22"/>
      <c r="M1788" s="22"/>
      <c r="N1788" s="14" t="str" cm="1">
        <f t="array" ref="N1788">_xlfn.XLOOKUP(TRIM(D1788),TRIM(DFC!A:A),DFC!A:A,"NÃO ESTÁ NA DFC")</f>
        <v xml:space="preserve">      PEÇAS</v>
      </c>
    </row>
    <row r="1789" spans="1:14" customFormat="1" ht="15" customHeight="1" x14ac:dyDescent="0.3">
      <c r="A1789" s="19"/>
      <c r="B1789" s="21">
        <v>46078</v>
      </c>
      <c r="C1789" s="21" t="s">
        <v>15</v>
      </c>
      <c r="D1789" s="21" t="s">
        <v>19</v>
      </c>
      <c r="E1789" s="20"/>
      <c r="F1789" s="22" t="s">
        <v>235</v>
      </c>
      <c r="G1789" s="252">
        <v>1107.5999999999999</v>
      </c>
      <c r="H1789" s="19"/>
      <c r="I1789" s="19">
        <f>COUNTIF(Tabela1[NF],Tabela1[[#This Row],[NF]])</f>
        <v>0</v>
      </c>
      <c r="J1789" s="22"/>
      <c r="K1789" s="21">
        <v>46078</v>
      </c>
      <c r="L1789" s="22"/>
      <c r="M1789" s="22"/>
      <c r="N1789" s="14" t="str" cm="1">
        <f t="array" ref="N1789">_xlfn.XLOOKUP(TRIM(D1789),TRIM(DFC!A:A),DFC!A:A,"NÃO ESTÁ NA DFC")</f>
        <v xml:space="preserve">      PEÇAS</v>
      </c>
    </row>
    <row r="1790" spans="1:14" customFormat="1" ht="15" customHeight="1" x14ac:dyDescent="0.3">
      <c r="A1790" s="19"/>
      <c r="B1790" s="21">
        <v>46078</v>
      </c>
      <c r="C1790" s="21" t="s">
        <v>15</v>
      </c>
      <c r="D1790" s="21" t="s">
        <v>19</v>
      </c>
      <c r="E1790" s="20"/>
      <c r="F1790" s="22" t="s">
        <v>344</v>
      </c>
      <c r="G1790" s="252">
        <v>2641.67</v>
      </c>
      <c r="H1790" s="19"/>
      <c r="I1790" s="19">
        <f>COUNTIF(Tabela1[NF],Tabela1[[#This Row],[NF]])</f>
        <v>0</v>
      </c>
      <c r="J1790" s="22"/>
      <c r="K1790" s="21">
        <v>46078</v>
      </c>
      <c r="L1790" s="22"/>
      <c r="M1790" s="22"/>
      <c r="N1790" s="14" t="str" cm="1">
        <f t="array" ref="N1790">_xlfn.XLOOKUP(TRIM(D1790),TRIM(DFC!A:A),DFC!A:A,"NÃO ESTÁ NA DFC")</f>
        <v xml:space="preserve">      PEÇAS</v>
      </c>
    </row>
    <row r="1791" spans="1:14" customFormat="1" ht="15" customHeight="1" x14ac:dyDescent="0.3">
      <c r="A1791" s="19"/>
      <c r="B1791" s="21">
        <v>46078</v>
      </c>
      <c r="C1791" s="21" t="s">
        <v>15</v>
      </c>
      <c r="D1791" s="21" t="s">
        <v>19</v>
      </c>
      <c r="E1791" s="20"/>
      <c r="F1791" s="22" t="s">
        <v>340</v>
      </c>
      <c r="G1791" s="252">
        <v>7924.98</v>
      </c>
      <c r="H1791" s="19"/>
      <c r="I1791" s="19">
        <f>COUNTIF(Tabela1[NF],Tabela1[[#This Row],[NF]])</f>
        <v>0</v>
      </c>
      <c r="J1791" s="22"/>
      <c r="K1791" s="21">
        <v>46078</v>
      </c>
      <c r="L1791" s="22"/>
      <c r="M1791" s="22"/>
      <c r="N1791" s="14" t="str" cm="1">
        <f t="array" ref="N1791">_xlfn.XLOOKUP(TRIM(D1791),TRIM(DFC!A:A),DFC!A:A,"NÃO ESTÁ NA DFC")</f>
        <v xml:space="preserve">      PEÇAS</v>
      </c>
    </row>
    <row r="1792" spans="1:14" customFormat="1" ht="15" customHeight="1" x14ac:dyDescent="0.3">
      <c r="A1792" s="19"/>
      <c r="B1792" s="21">
        <v>46078</v>
      </c>
      <c r="C1792" s="21" t="s">
        <v>15</v>
      </c>
      <c r="D1792" s="21" t="s">
        <v>19</v>
      </c>
      <c r="E1792" s="20"/>
      <c r="F1792" s="22" t="s">
        <v>344</v>
      </c>
      <c r="G1792" s="252">
        <v>1496.24</v>
      </c>
      <c r="H1792" s="19"/>
      <c r="I1792" s="19">
        <f>COUNTIF(Tabela1[NF],Tabela1[[#This Row],[NF]])</f>
        <v>0</v>
      </c>
      <c r="J1792" s="22"/>
      <c r="K1792" s="21">
        <v>46078</v>
      </c>
      <c r="L1792" s="22"/>
      <c r="M1792" s="22"/>
      <c r="N1792" s="14" t="str" cm="1">
        <f t="array" ref="N1792">_xlfn.XLOOKUP(TRIM(D1792),TRIM(DFC!A:A),DFC!A:A,"NÃO ESTÁ NA DFC")</f>
        <v xml:space="preserve">      PEÇAS</v>
      </c>
    </row>
    <row r="1793" spans="1:18" ht="15" customHeight="1" x14ac:dyDescent="0.3">
      <c r="A1793" s="19"/>
      <c r="B1793" s="21">
        <v>46078</v>
      </c>
      <c r="C1793" s="21" t="s">
        <v>15</v>
      </c>
      <c r="D1793" s="21" t="s">
        <v>65</v>
      </c>
      <c r="E1793" s="20"/>
      <c r="F1793" s="22" t="s">
        <v>103</v>
      </c>
      <c r="G1793" s="252">
        <v>10000</v>
      </c>
      <c r="H1793" s="19"/>
      <c r="I1793" s="19">
        <f>COUNTIF(Tabela1[NF],Tabela1[[#This Row],[NF]])</f>
        <v>0</v>
      </c>
      <c r="J1793" s="22"/>
      <c r="K1793" s="21">
        <v>46078</v>
      </c>
      <c r="L1793" s="22"/>
      <c r="M1793" s="22"/>
      <c r="N1793" s="14" t="str" cm="1">
        <f t="array" ref="N1793">_xlfn.XLOOKUP(TRIM(D1793),TRIM(DFC!A:A),DFC!A:A,"NÃO ESTÁ NA DFC")</f>
        <v xml:space="preserve">          AMORTIZAÇÃO FELIPE </v>
      </c>
      <c r="P1793"/>
      <c r="Q1793"/>
    </row>
    <row r="1794" spans="1:18" ht="15" customHeight="1" x14ac:dyDescent="0.3">
      <c r="A1794" s="19"/>
      <c r="B1794" s="21">
        <v>46079</v>
      </c>
      <c r="C1794" s="21" t="s">
        <v>15</v>
      </c>
      <c r="D1794" s="21" t="s">
        <v>111</v>
      </c>
      <c r="E1794" s="20"/>
      <c r="F1794" s="22" t="s">
        <v>114</v>
      </c>
      <c r="G1794" s="252">
        <v>10</v>
      </c>
      <c r="H1794" s="19"/>
      <c r="I1794" s="19">
        <f>COUNTIF(Tabela1[NF],Tabela1[[#This Row],[NF]])</f>
        <v>0</v>
      </c>
      <c r="J1794" s="22"/>
      <c r="K1794" s="21">
        <v>46079</v>
      </c>
      <c r="L1794" s="22"/>
      <c r="M1794" s="22"/>
      <c r="N1794" s="14" t="str" cm="1">
        <f t="array" ref="N1794">_xlfn.XLOOKUP(TRIM(D1794),TRIM(DFC!A:A),DFC!A:A,"NÃO ESTÁ NA DFC")</f>
        <v xml:space="preserve">          TX. BANCÁRIA</v>
      </c>
      <c r="P1794"/>
      <c r="Q1794"/>
    </row>
    <row r="1795" spans="1:18" ht="15" customHeight="1" x14ac:dyDescent="0.3">
      <c r="A1795" s="19"/>
      <c r="B1795" s="21">
        <v>46079</v>
      </c>
      <c r="C1795" s="21" t="s">
        <v>15</v>
      </c>
      <c r="D1795" s="21" t="s">
        <v>246</v>
      </c>
      <c r="E1795" s="20" t="s">
        <v>703</v>
      </c>
      <c r="F1795" s="22" t="s">
        <v>327</v>
      </c>
      <c r="G1795" s="252">
        <v>500</v>
      </c>
      <c r="H1795" s="19"/>
      <c r="I1795" s="19">
        <f>COUNTIF(Tabela1[NF],Tabela1[[#This Row],[NF]])</f>
        <v>0</v>
      </c>
      <c r="J1795" s="22"/>
      <c r="K1795" s="21">
        <v>46079</v>
      </c>
      <c r="L1795" s="22"/>
      <c r="M1795" s="22"/>
      <c r="N1795" s="14" t="str" cm="1">
        <f t="array" ref="N1795">_xlfn.XLOOKUP(TRIM(D1795),TRIM(DFC!A:A),DFC!A:A,"NÃO ESTÁ NA DFC")</f>
        <v xml:space="preserve">          VALES</v>
      </c>
      <c r="P1795"/>
      <c r="Q1795"/>
    </row>
    <row r="1796" spans="1:18" ht="15" customHeight="1" x14ac:dyDescent="0.3">
      <c r="A1796" s="19"/>
      <c r="B1796" s="21">
        <v>46079</v>
      </c>
      <c r="C1796" s="21" t="s">
        <v>15</v>
      </c>
      <c r="D1796" s="21" t="s">
        <v>19</v>
      </c>
      <c r="E1796" s="20"/>
      <c r="F1796" s="22" t="s">
        <v>310</v>
      </c>
      <c r="G1796" s="252">
        <v>802</v>
      </c>
      <c r="H1796" s="19"/>
      <c r="I1796" s="19">
        <f>COUNTIF(Tabela1[NF],Tabela1[[#This Row],[NF]])</f>
        <v>0</v>
      </c>
      <c r="J1796" s="22"/>
      <c r="K1796" s="21">
        <v>46079</v>
      </c>
      <c r="L1796" s="22"/>
      <c r="M1796" s="22"/>
      <c r="N1796" s="14" t="str" cm="1">
        <f t="array" ref="N1796">_xlfn.XLOOKUP(TRIM(D1796),TRIM(DFC!A:A),DFC!A:A,"NÃO ESTÁ NA DFC")</f>
        <v xml:space="preserve">      PEÇAS</v>
      </c>
      <c r="P1796"/>
      <c r="Q1796"/>
    </row>
    <row r="1797" spans="1:18" ht="15" customHeight="1" x14ac:dyDescent="0.3">
      <c r="A1797" s="19"/>
      <c r="B1797" s="21">
        <v>46079</v>
      </c>
      <c r="C1797" s="21" t="s">
        <v>15</v>
      </c>
      <c r="D1797" s="21" t="s">
        <v>19</v>
      </c>
      <c r="E1797" s="20"/>
      <c r="F1797" s="22" t="s">
        <v>310</v>
      </c>
      <c r="G1797" s="252">
        <v>5334</v>
      </c>
      <c r="H1797" s="19"/>
      <c r="I1797" s="19">
        <f>COUNTIF(Tabela1[NF],Tabela1[[#This Row],[NF]])</f>
        <v>0</v>
      </c>
      <c r="J1797" s="22"/>
      <c r="K1797" s="21">
        <v>46079</v>
      </c>
      <c r="L1797" s="22"/>
      <c r="M1797" s="22"/>
      <c r="N1797" s="14" t="str" cm="1">
        <f t="array" ref="N1797">_xlfn.XLOOKUP(TRIM(D1797),TRIM(DFC!A:A),DFC!A:A,"NÃO ESTÁ NA DFC")</f>
        <v xml:space="preserve">      PEÇAS</v>
      </c>
      <c r="P1797"/>
      <c r="Q1797"/>
    </row>
    <row r="1798" spans="1:18" ht="15" customHeight="1" x14ac:dyDescent="0.3">
      <c r="A1798" s="19"/>
      <c r="B1798" s="21">
        <v>46079</v>
      </c>
      <c r="C1798" s="21" t="s">
        <v>15</v>
      </c>
      <c r="D1798" s="21" t="s">
        <v>19</v>
      </c>
      <c r="E1798" s="20"/>
      <c r="F1798" s="22" t="s">
        <v>341</v>
      </c>
      <c r="G1798" s="252">
        <v>718.58</v>
      </c>
      <c r="H1798" s="19"/>
      <c r="I1798" s="19">
        <f>COUNTIF(Tabela1[NF],Tabela1[[#This Row],[NF]])</f>
        <v>0</v>
      </c>
      <c r="J1798" s="22"/>
      <c r="K1798" s="21">
        <v>46079</v>
      </c>
      <c r="L1798" s="22"/>
      <c r="M1798" s="22"/>
      <c r="N1798" s="14" t="str" cm="1">
        <f t="array" ref="N1798">_xlfn.XLOOKUP(TRIM(D1798),TRIM(DFC!A:A),DFC!A:A,"NÃO ESTÁ NA DFC")</f>
        <v xml:space="preserve">      PEÇAS</v>
      </c>
      <c r="P1798"/>
      <c r="Q1798"/>
    </row>
    <row r="1799" spans="1:18" ht="15" customHeight="1" x14ac:dyDescent="0.3">
      <c r="A1799" s="19"/>
      <c r="B1799" s="21">
        <v>46079</v>
      </c>
      <c r="C1799" s="21" t="s">
        <v>15</v>
      </c>
      <c r="D1799" s="21" t="s">
        <v>19</v>
      </c>
      <c r="E1799" s="20"/>
      <c r="F1799" s="22" t="s">
        <v>304</v>
      </c>
      <c r="G1799" s="252">
        <v>2403.44</v>
      </c>
      <c r="H1799" s="19"/>
      <c r="I1799" s="19">
        <f>COUNTIF(Tabela1[NF],Tabela1[[#This Row],[NF]])</f>
        <v>0</v>
      </c>
      <c r="J1799" s="22"/>
      <c r="K1799" s="21">
        <v>46079</v>
      </c>
      <c r="L1799" s="22"/>
      <c r="M1799" s="22"/>
      <c r="N1799" s="14" t="str" cm="1">
        <f t="array" ref="N1799">_xlfn.XLOOKUP(TRIM(D1799),TRIM(DFC!A:A),DFC!A:A,"NÃO ESTÁ NA DFC")</f>
        <v xml:space="preserve">      PEÇAS</v>
      </c>
      <c r="P1799"/>
      <c r="Q1799"/>
    </row>
    <row r="1800" spans="1:18" ht="15" customHeight="1" x14ac:dyDescent="0.3">
      <c r="A1800" s="19"/>
      <c r="B1800" s="21">
        <v>46080</v>
      </c>
      <c r="C1800" s="21" t="s">
        <v>15</v>
      </c>
      <c r="D1800" s="21" t="s">
        <v>111</v>
      </c>
      <c r="E1800" s="20"/>
      <c r="F1800" s="22" t="s">
        <v>620</v>
      </c>
      <c r="G1800" s="252">
        <v>50</v>
      </c>
      <c r="H1800" s="19"/>
      <c r="I1800" s="19">
        <f>COUNTIF(Tabela1[NF],Tabela1[[#This Row],[NF]])</f>
        <v>0</v>
      </c>
      <c r="J1800" s="22"/>
      <c r="K1800" s="21">
        <v>46080</v>
      </c>
      <c r="L1800" s="22"/>
      <c r="M1800" s="22"/>
      <c r="N1800" s="14" t="str" cm="1">
        <f t="array" ref="N1800">_xlfn.XLOOKUP(TRIM(D1800),TRIM(DFC!A:A),DFC!A:A,"NÃO ESTÁ NA DFC")</f>
        <v xml:space="preserve">          TX. BANCÁRIA</v>
      </c>
      <c r="P1800"/>
      <c r="Q1800"/>
    </row>
    <row r="1801" spans="1:18" ht="15" customHeight="1" x14ac:dyDescent="0.3">
      <c r="A1801" s="19"/>
      <c r="B1801" s="21">
        <v>46080</v>
      </c>
      <c r="C1801" s="21" t="s">
        <v>15</v>
      </c>
      <c r="D1801" s="21" t="s">
        <v>82</v>
      </c>
      <c r="E1801" s="20"/>
      <c r="F1801" s="22" t="s">
        <v>697</v>
      </c>
      <c r="G1801" s="252">
        <v>500</v>
      </c>
      <c r="H1801" s="19"/>
      <c r="I1801" s="19">
        <f>COUNTIF(Tabela1[NF],Tabela1[[#This Row],[NF]])</f>
        <v>0</v>
      </c>
      <c r="J1801" s="22"/>
      <c r="K1801" s="21">
        <v>46080</v>
      </c>
      <c r="L1801" s="22"/>
      <c r="M1801" s="22"/>
      <c r="N1801" s="14" t="str" cm="1">
        <f t="array" ref="N1801">_xlfn.XLOOKUP(TRIM(D1801),TRIM(DFC!A:A),DFC!A:A,"NÃO ESTÁ NA DFC")</f>
        <v xml:space="preserve">          DIÁRIAS</v>
      </c>
      <c r="P1801"/>
      <c r="Q1801"/>
    </row>
    <row r="1802" spans="1:18" ht="15" customHeight="1" x14ac:dyDescent="0.3">
      <c r="A1802" s="19"/>
      <c r="B1802" s="21">
        <v>46080</v>
      </c>
      <c r="C1802" s="21" t="s">
        <v>15</v>
      </c>
      <c r="D1802" s="21" t="s">
        <v>19</v>
      </c>
      <c r="E1802" s="20"/>
      <c r="F1802" s="22" t="s">
        <v>310</v>
      </c>
      <c r="G1802" s="252">
        <v>10583</v>
      </c>
      <c r="H1802" s="19"/>
      <c r="I1802" s="19">
        <f>COUNTIF(Tabela1[NF],Tabela1[[#This Row],[NF]])</f>
        <v>0</v>
      </c>
      <c r="J1802" s="22"/>
      <c r="K1802" s="21">
        <v>46080</v>
      </c>
      <c r="L1802" s="22"/>
      <c r="M1802" s="22"/>
      <c r="N1802" s="14" t="str" cm="1">
        <f t="array" ref="N1802">_xlfn.XLOOKUP(TRIM(D1802),TRIM(DFC!A:A),DFC!A:A,"NÃO ESTÁ NA DFC")</f>
        <v xml:space="preserve">      PEÇAS</v>
      </c>
      <c r="P1802"/>
      <c r="Q1802"/>
    </row>
    <row r="1803" spans="1:18" ht="15" customHeight="1" x14ac:dyDescent="0.3">
      <c r="A1803" s="19"/>
      <c r="B1803" s="21">
        <v>46080</v>
      </c>
      <c r="C1803" s="21" t="s">
        <v>15</v>
      </c>
      <c r="D1803" s="21" t="s">
        <v>19</v>
      </c>
      <c r="E1803" s="20"/>
      <c r="F1803" s="22" t="s">
        <v>301</v>
      </c>
      <c r="G1803" s="252">
        <v>1943.76</v>
      </c>
      <c r="H1803" s="19"/>
      <c r="I1803" s="19">
        <f>COUNTIF(Tabela1[NF],Tabela1[[#This Row],[NF]])</f>
        <v>0</v>
      </c>
      <c r="J1803" s="22"/>
      <c r="K1803" s="21">
        <v>46080</v>
      </c>
      <c r="L1803" s="22"/>
      <c r="M1803" s="22"/>
      <c r="N1803" s="14" t="str" cm="1">
        <f t="array" ref="N1803">_xlfn.XLOOKUP(TRIM(D1803),TRIM(DFC!A:A),DFC!A:A,"NÃO ESTÁ NA DFC")</f>
        <v xml:space="preserve">      PEÇAS</v>
      </c>
      <c r="P1803"/>
      <c r="Q1803"/>
    </row>
    <row r="1804" spans="1:18" ht="15" customHeight="1" x14ac:dyDescent="0.3">
      <c r="A1804" s="19"/>
      <c r="B1804" s="21">
        <v>46080</v>
      </c>
      <c r="C1804" s="21" t="s">
        <v>15</v>
      </c>
      <c r="D1804" s="21" t="s">
        <v>154</v>
      </c>
      <c r="E1804" s="20"/>
      <c r="F1804" s="22" t="s">
        <v>302</v>
      </c>
      <c r="G1804" s="252">
        <v>3255.82</v>
      </c>
      <c r="H1804" s="19"/>
      <c r="I1804" s="19">
        <f>COUNTIF(Tabela1[NF],Tabela1[[#This Row],[NF]])</f>
        <v>0</v>
      </c>
      <c r="J1804" s="22"/>
      <c r="K1804" s="21">
        <v>46080</v>
      </c>
      <c r="L1804" s="22"/>
      <c r="M1804" s="22"/>
      <c r="N1804" s="14" t="str" cm="1">
        <f t="array" ref="N1804">_xlfn.XLOOKUP(TRIM(D1804),TRIM(DFC!A:A),DFC!A:A,"NÃO ESTÁ NA DFC")</f>
        <v xml:space="preserve">      EMBALAGENS</v>
      </c>
      <c r="P1804"/>
      <c r="Q1804"/>
    </row>
    <row r="1805" spans="1:18" ht="15" customHeight="1" x14ac:dyDescent="0.3">
      <c r="A1805" s="19"/>
      <c r="B1805" s="21">
        <v>46080</v>
      </c>
      <c r="C1805" s="21" t="s">
        <v>15</v>
      </c>
      <c r="D1805" s="21" t="s">
        <v>29</v>
      </c>
      <c r="E1805" s="20"/>
      <c r="F1805" s="22" t="s">
        <v>548</v>
      </c>
      <c r="G1805" s="252">
        <v>395.99</v>
      </c>
      <c r="H1805" s="19"/>
      <c r="I1805" s="19">
        <f>COUNTIF(Tabela1[NF],Tabela1[[#This Row],[NF]])</f>
        <v>0</v>
      </c>
      <c r="J1805" s="22"/>
      <c r="K1805" s="21">
        <v>46080</v>
      </c>
      <c r="L1805" s="22"/>
      <c r="M1805" s="22"/>
      <c r="N1805" s="14" t="str" cm="1">
        <f t="array" ref="N1805">_xlfn.XLOOKUP(TRIM(D1805),TRIM(DFC!A:A),DFC!A:A,"NÃO ESTÁ NA DFC")</f>
        <v xml:space="preserve">      FRETE DE SAÍDA</v>
      </c>
      <c r="P1805"/>
      <c r="Q1805"/>
    </row>
    <row r="1806" spans="1:18" ht="15" customHeight="1" x14ac:dyDescent="0.3">
      <c r="A1806" s="19"/>
      <c r="B1806" s="21">
        <v>46083</v>
      </c>
      <c r="C1806" s="21" t="s">
        <v>15</v>
      </c>
      <c r="D1806" s="21" t="s">
        <v>22</v>
      </c>
      <c r="E1806" s="20"/>
      <c r="F1806" s="22" t="s">
        <v>428</v>
      </c>
      <c r="G1806" s="252">
        <v>4000</v>
      </c>
      <c r="I1806" s="1">
        <f>COUNTIF(Tabela1[NF],Tabela1[[#This Row],[NF]])</f>
        <v>0</v>
      </c>
      <c r="K1806" s="26">
        <f>Tabela1[[#This Row],[DT. VENCIMENTO]]</f>
        <v>46083</v>
      </c>
      <c r="N1806" s="14" t="str" cm="1">
        <f t="array" ref="N1806">_xlfn.XLOOKUP(TRIM(D1806),TRIM(DFC!A:A),DFC!A:A,"NÃO ESTÁ NA DFC")</f>
        <v xml:space="preserve">         CONSULTORIAS</v>
      </c>
      <c r="O1806" s="291"/>
      <c r="P1806" s="303">
        <v>46083</v>
      </c>
      <c r="Q1806" s="262">
        <f>SUMIF(K1806:K2090,P1806,G1806:G2090)</f>
        <v>43610.1</v>
      </c>
      <c r="R1806" t="s">
        <v>704</v>
      </c>
    </row>
    <row r="1807" spans="1:18" ht="15" customHeight="1" x14ac:dyDescent="0.3">
      <c r="A1807" s="19"/>
      <c r="B1807" s="21">
        <v>46083</v>
      </c>
      <c r="C1807" s="21" t="s">
        <v>15</v>
      </c>
      <c r="D1807" s="21" t="s">
        <v>72</v>
      </c>
      <c r="E1807" s="20"/>
      <c r="F1807" s="22" t="s">
        <v>380</v>
      </c>
      <c r="G1807" s="252">
        <v>358.7</v>
      </c>
      <c r="I1807" s="1">
        <f>COUNTIF(Tabela1[NF],Tabela1[[#This Row],[NF]])</f>
        <v>0</v>
      </c>
      <c r="K1807" s="26">
        <f>Tabela1[[#This Row],[DT. VENCIMENTO]]</f>
        <v>46083</v>
      </c>
      <c r="N1807" s="14" t="str" cm="1">
        <f t="array" ref="N1807">_xlfn.XLOOKUP(TRIM(D1807),TRIM(DFC!A:A),DFC!A:A,"NÃO ESTÁ NA DFC")</f>
        <v xml:space="preserve">          COMBUSTÍVEL</v>
      </c>
      <c r="O1807" s="291"/>
      <c r="P1807" s="303">
        <v>46084</v>
      </c>
      <c r="Q1807" s="262">
        <f>SUMIF(K1807:K2090,P1807,G1807:G2090)</f>
        <v>33574.129999999997</v>
      </c>
      <c r="R1807" t="s">
        <v>704</v>
      </c>
    </row>
    <row r="1808" spans="1:18" ht="15" customHeight="1" x14ac:dyDescent="0.3">
      <c r="A1808" s="19"/>
      <c r="B1808" s="21">
        <v>46083</v>
      </c>
      <c r="C1808" s="21" t="s">
        <v>15</v>
      </c>
      <c r="D1808" s="21" t="s">
        <v>110</v>
      </c>
      <c r="E1808" s="28" t="s">
        <v>705</v>
      </c>
      <c r="F1808" s="22" t="s">
        <v>706</v>
      </c>
      <c r="G1808" s="252">
        <v>591</v>
      </c>
      <c r="I1808" s="1">
        <f>COUNTIF(Tabela1[NF],Tabela1[[#This Row],[NF]])</f>
        <v>0</v>
      </c>
      <c r="K1808" s="26">
        <f>Tabela1[[#This Row],[DT. VENCIMENTO]]</f>
        <v>46083</v>
      </c>
      <c r="N1808" s="14" t="str" cm="1">
        <f t="array" ref="N1808">_xlfn.XLOOKUP(TRIM(D1808),TRIM(DFC!A:A),DFC!A:A,"NÃO ESTÁ NA DFC")</f>
        <v xml:space="preserve">          REEMBOLSO</v>
      </c>
      <c r="P1808" s="303">
        <v>46085</v>
      </c>
      <c r="Q1808" s="262">
        <f>SUMIF(K1808:K2090,P1808,G1808:G2090)</f>
        <v>34217.240000000005</v>
      </c>
      <c r="R1808" t="s">
        <v>704</v>
      </c>
    </row>
    <row r="1809" spans="1:18" ht="15" customHeight="1" x14ac:dyDescent="0.3">
      <c r="A1809" s="19"/>
      <c r="B1809" s="21">
        <v>46083</v>
      </c>
      <c r="C1809" s="21" t="s">
        <v>15</v>
      </c>
      <c r="D1809" s="21" t="s">
        <v>19</v>
      </c>
      <c r="E1809" s="20"/>
      <c r="F1809" s="22" t="s">
        <v>344</v>
      </c>
      <c r="G1809" s="252">
        <v>1666.66</v>
      </c>
      <c r="I1809" s="1">
        <f>COUNTIF(Tabela1[NF],Tabela1[[#This Row],[NF]])</f>
        <v>0</v>
      </c>
      <c r="K1809" s="26">
        <f>Tabela1[[#This Row],[DT. VENCIMENTO]]</f>
        <v>46083</v>
      </c>
      <c r="N1809" s="14" t="str" cm="1">
        <f t="array" ref="N1809">_xlfn.XLOOKUP(TRIM(D1809),TRIM(DFC!A:A),DFC!A:A,"NÃO ESTÁ NA DFC")</f>
        <v xml:space="preserve">      PEÇAS</v>
      </c>
      <c r="P1809" s="303">
        <v>46086</v>
      </c>
      <c r="Q1809" s="262">
        <f>SUMIF(K1809:K2090,P1809,G1809:G2090)</f>
        <v>36077.97</v>
      </c>
      <c r="R1809" t="s">
        <v>704</v>
      </c>
    </row>
    <row r="1810" spans="1:18" ht="15" customHeight="1" x14ac:dyDescent="0.3">
      <c r="A1810" s="19"/>
      <c r="B1810" s="21">
        <v>46083</v>
      </c>
      <c r="C1810" s="21" t="s">
        <v>15</v>
      </c>
      <c r="D1810" s="21" t="s">
        <v>19</v>
      </c>
      <c r="E1810" s="20"/>
      <c r="F1810" s="22" t="s">
        <v>301</v>
      </c>
      <c r="G1810" s="252">
        <v>4533.2</v>
      </c>
      <c r="I1810" s="1">
        <f>COUNTIF(Tabela1[NF],Tabela1[[#This Row],[NF]])</f>
        <v>0</v>
      </c>
      <c r="K1810" s="26">
        <f>Tabela1[[#This Row],[DT. VENCIMENTO]]</f>
        <v>46083</v>
      </c>
      <c r="N1810" s="14" t="str" cm="1">
        <f t="array" ref="N1810">_xlfn.XLOOKUP(TRIM(D1810),TRIM(DFC!A:A),DFC!A:A,"NÃO ESTÁ NA DFC")</f>
        <v xml:space="preserve">      PEÇAS</v>
      </c>
      <c r="P1810" s="303">
        <v>46087</v>
      </c>
      <c r="Q1810" s="262">
        <f>SUMIF(K1810:K2090,P1810,G1810:G2090)</f>
        <v>14697.61</v>
      </c>
      <c r="R1810" t="s">
        <v>704</v>
      </c>
    </row>
    <row r="1811" spans="1:18" ht="15" customHeight="1" x14ac:dyDescent="0.3">
      <c r="A1811" s="19"/>
      <c r="B1811" s="21">
        <v>46083</v>
      </c>
      <c r="C1811" s="21" t="s">
        <v>15</v>
      </c>
      <c r="D1811" s="21" t="s">
        <v>19</v>
      </c>
      <c r="E1811" s="20"/>
      <c r="F1811" s="22" t="s">
        <v>132</v>
      </c>
      <c r="G1811" s="252">
        <v>2057.94</v>
      </c>
      <c r="I1811" s="1">
        <f>COUNTIF(Tabela1[NF],Tabela1[[#This Row],[NF]])</f>
        <v>0</v>
      </c>
      <c r="K1811" s="26">
        <f>Tabela1[[#This Row],[DT. VENCIMENTO]]</f>
        <v>46083</v>
      </c>
      <c r="N1811" s="14" t="str" cm="1">
        <f t="array" ref="N1811">_xlfn.XLOOKUP(TRIM(D1811),TRIM(DFC!A:A),DFC!A:A,"NÃO ESTÁ NA DFC")</f>
        <v xml:space="preserve">      PEÇAS</v>
      </c>
      <c r="P1811" s="303">
        <v>46088</v>
      </c>
      <c r="Q1811" s="262">
        <f>SUMIF(K1811:K2090,P1811,G1811:G2090)</f>
        <v>0</v>
      </c>
      <c r="R1811" t="s">
        <v>704</v>
      </c>
    </row>
    <row r="1812" spans="1:18" ht="15" customHeight="1" x14ac:dyDescent="0.3">
      <c r="A1812" s="19"/>
      <c r="B1812" s="21">
        <v>46083</v>
      </c>
      <c r="C1812" s="21" t="s">
        <v>15</v>
      </c>
      <c r="D1812" s="21" t="s">
        <v>19</v>
      </c>
      <c r="E1812" s="20"/>
      <c r="F1812" s="22" t="s">
        <v>301</v>
      </c>
      <c r="G1812" s="252">
        <v>1705.2</v>
      </c>
      <c r="I1812" s="1">
        <f>COUNTIF(Tabela1[NF],Tabela1[[#This Row],[NF]])</f>
        <v>0</v>
      </c>
      <c r="K1812" s="26">
        <f>Tabela1[[#This Row],[DT. VENCIMENTO]]</f>
        <v>46083</v>
      </c>
      <c r="N1812" s="14" t="str" cm="1">
        <f t="array" ref="N1812">_xlfn.XLOOKUP(TRIM(D1812),TRIM(DFC!A:A),DFC!A:A,"NÃO ESTÁ NA DFC")</f>
        <v xml:space="preserve">      PEÇAS</v>
      </c>
      <c r="P1812" s="303">
        <v>46089</v>
      </c>
      <c r="Q1812" s="262">
        <f>SUMIF(K1812:K2090,P1812,G1812:G2090)</f>
        <v>0</v>
      </c>
      <c r="R1812" t="s">
        <v>704</v>
      </c>
    </row>
    <row r="1813" spans="1:18" ht="15" customHeight="1" x14ac:dyDescent="0.3">
      <c r="A1813" s="19"/>
      <c r="B1813" s="21">
        <v>46083</v>
      </c>
      <c r="C1813" s="21" t="s">
        <v>15</v>
      </c>
      <c r="D1813" s="21" t="s">
        <v>19</v>
      </c>
      <c r="E1813" s="20"/>
      <c r="F1813" s="22" t="s">
        <v>455</v>
      </c>
      <c r="G1813" s="252">
        <v>485.63</v>
      </c>
      <c r="I1813" s="1">
        <f>COUNTIF(Tabela1[NF],Tabela1[[#This Row],[NF]])</f>
        <v>0</v>
      </c>
      <c r="K1813" s="26">
        <f>Tabela1[[#This Row],[DT. VENCIMENTO]]</f>
        <v>46083</v>
      </c>
      <c r="N1813" s="14" t="str" cm="1">
        <f t="array" ref="N1813">_xlfn.XLOOKUP(TRIM(D1813),TRIM(DFC!A:A),DFC!A:A,"NÃO ESTÁ NA DFC")</f>
        <v xml:space="preserve">      PEÇAS</v>
      </c>
      <c r="P1813" s="303">
        <v>46090</v>
      </c>
      <c r="Q1813" s="262">
        <f>SUMIF(K1813:K2090,P1813,G1813:G2090)</f>
        <v>89212.920000000027</v>
      </c>
      <c r="R1813" t="s">
        <v>704</v>
      </c>
    </row>
    <row r="1814" spans="1:18" ht="15" customHeight="1" x14ac:dyDescent="0.3">
      <c r="A1814" s="19"/>
      <c r="B1814" s="21">
        <v>46083</v>
      </c>
      <c r="C1814" s="21" t="s">
        <v>15</v>
      </c>
      <c r="D1814" s="21" t="s">
        <v>19</v>
      </c>
      <c r="E1814" s="20"/>
      <c r="F1814" s="22" t="s">
        <v>228</v>
      </c>
      <c r="G1814" s="252">
        <v>2911.3</v>
      </c>
      <c r="I1814" s="1">
        <f>COUNTIF(Tabela1[NF],Tabela1[[#This Row],[NF]])</f>
        <v>0</v>
      </c>
      <c r="K1814" s="26">
        <f>Tabela1[[#This Row],[DT. VENCIMENTO]]</f>
        <v>46083</v>
      </c>
      <c r="N1814" s="14" t="str" cm="1">
        <f t="array" ref="N1814">_xlfn.XLOOKUP(TRIM(D1814),TRIM(DFC!A:A),DFC!A:A,"NÃO ESTÁ NA DFC")</f>
        <v xml:space="preserve">      PEÇAS</v>
      </c>
      <c r="P1814" s="303">
        <v>46091</v>
      </c>
      <c r="Q1814" s="262">
        <f>SUMIF(K1814:K2090,P1814,G1814:G2090)</f>
        <v>49705.120000000003</v>
      </c>
      <c r="R1814" t="s">
        <v>704</v>
      </c>
    </row>
    <row r="1815" spans="1:18" ht="15" customHeight="1" x14ac:dyDescent="0.3">
      <c r="A1815" s="19"/>
      <c r="B1815" s="21">
        <v>46083</v>
      </c>
      <c r="C1815" s="21" t="s">
        <v>15</v>
      </c>
      <c r="D1815" s="21" t="s">
        <v>154</v>
      </c>
      <c r="E1815" s="20"/>
      <c r="F1815" s="22" t="s">
        <v>235</v>
      </c>
      <c r="G1815" s="252">
        <v>1107.5999999999999</v>
      </c>
      <c r="I1815" s="1">
        <f>COUNTIF(Tabela1[NF],Tabela1[[#This Row],[NF]])</f>
        <v>0</v>
      </c>
      <c r="K1815" s="26">
        <f>Tabela1[[#This Row],[DT. VENCIMENTO]]</f>
        <v>46083</v>
      </c>
      <c r="N1815" s="14" t="str" cm="1">
        <f t="array" ref="N1815">_xlfn.XLOOKUP(TRIM(D1815),TRIM(DFC!A:A),DFC!A:A,"NÃO ESTÁ NA DFC")</f>
        <v xml:space="preserve">      EMBALAGENS</v>
      </c>
      <c r="P1815" s="303">
        <v>46092</v>
      </c>
      <c r="Q1815" s="262">
        <f>SUMIF(K1815:K2090,P1815,G1815:G2090)</f>
        <v>26491.620000000006</v>
      </c>
      <c r="R1815" t="s">
        <v>704</v>
      </c>
    </row>
    <row r="1816" spans="1:18" ht="15" customHeight="1" x14ac:dyDescent="0.3">
      <c r="A1816" s="19"/>
      <c r="B1816" s="21">
        <v>46083</v>
      </c>
      <c r="C1816" s="21" t="s">
        <v>15</v>
      </c>
      <c r="D1816" s="21" t="s">
        <v>154</v>
      </c>
      <c r="E1816" s="20"/>
      <c r="F1816" s="22" t="s">
        <v>621</v>
      </c>
      <c r="G1816" s="252">
        <v>1660.69</v>
      </c>
      <c r="I1816" s="1">
        <f>COUNTIF(Tabela1[NF],Tabela1[[#This Row],[NF]])</f>
        <v>0</v>
      </c>
      <c r="K1816" s="26">
        <f>Tabela1[[#This Row],[DT. VENCIMENTO]]</f>
        <v>46083</v>
      </c>
      <c r="N1816" s="14" t="str" cm="1">
        <f t="array" ref="N1816">_xlfn.XLOOKUP(TRIM(D1816),TRIM(DFC!A:A),DFC!A:A,"NÃO ESTÁ NA DFC")</f>
        <v xml:space="preserve">      EMBALAGENS</v>
      </c>
      <c r="P1816" s="303">
        <v>46093</v>
      </c>
      <c r="Q1816" s="262">
        <f>SUMIF(K1816:K2090,P1816,G1816:G2090)</f>
        <v>27733.75</v>
      </c>
      <c r="R1816" t="s">
        <v>704</v>
      </c>
    </row>
    <row r="1817" spans="1:18" ht="15" customHeight="1" x14ac:dyDescent="0.3">
      <c r="A1817" s="19"/>
      <c r="B1817" s="21">
        <v>46083</v>
      </c>
      <c r="C1817" s="21" t="s">
        <v>15</v>
      </c>
      <c r="D1817" s="21" t="s">
        <v>19</v>
      </c>
      <c r="E1817" s="20"/>
      <c r="F1817" s="22" t="s">
        <v>344</v>
      </c>
      <c r="G1817" s="252">
        <v>833.33</v>
      </c>
      <c r="I1817" s="1">
        <f>COUNTIF(Tabela1[NF],Tabela1[[#This Row],[NF]])</f>
        <v>0</v>
      </c>
      <c r="K1817" s="26">
        <f>Tabela1[[#This Row],[DT. VENCIMENTO]]</f>
        <v>46083</v>
      </c>
      <c r="N1817" s="14" t="str" cm="1">
        <f t="array" ref="N1817">_xlfn.XLOOKUP(TRIM(D1817),TRIM(DFC!A:A),DFC!A:A,"NÃO ESTÁ NA DFC")</f>
        <v xml:space="preserve">      PEÇAS</v>
      </c>
      <c r="P1817" s="303">
        <v>46094</v>
      </c>
      <c r="Q1817" s="262">
        <f>SUMIF(K1817:K2090,P1817,G1817:G2090)</f>
        <v>1386.6</v>
      </c>
      <c r="R1817" t="s">
        <v>704</v>
      </c>
    </row>
    <row r="1818" spans="1:18" ht="15" customHeight="1" x14ac:dyDescent="0.3">
      <c r="A1818" s="19"/>
      <c r="B1818" s="21">
        <v>46083</v>
      </c>
      <c r="C1818" s="21" t="s">
        <v>15</v>
      </c>
      <c r="D1818" s="21" t="s">
        <v>19</v>
      </c>
      <c r="E1818" s="20"/>
      <c r="F1818" s="22" t="s">
        <v>340</v>
      </c>
      <c r="G1818" s="252">
        <v>4999.99</v>
      </c>
      <c r="I1818" s="1">
        <f>COUNTIF(Tabela1[NF],Tabela1[[#This Row],[NF]])</f>
        <v>0</v>
      </c>
      <c r="K1818" s="26">
        <f>Tabela1[[#This Row],[DT. VENCIMENTO]]</f>
        <v>46083</v>
      </c>
      <c r="N1818" s="14" t="str" cm="1">
        <f t="array" ref="N1818">_xlfn.XLOOKUP(TRIM(D1818),TRIM(DFC!A:A),DFC!A:A,"NÃO ESTÁ NA DFC")</f>
        <v xml:space="preserve">      PEÇAS</v>
      </c>
      <c r="P1818" s="303">
        <v>46095</v>
      </c>
      <c r="Q1818" s="262">
        <f>SUMIF(K1818:K2090,P1818,G1818:G2090)</f>
        <v>0</v>
      </c>
      <c r="R1818" t="s">
        <v>704</v>
      </c>
    </row>
    <row r="1819" spans="1:18" ht="15" customHeight="1" x14ac:dyDescent="0.3">
      <c r="A1819" s="19"/>
      <c r="B1819" s="21">
        <v>46083</v>
      </c>
      <c r="C1819" s="21" t="s">
        <v>15</v>
      </c>
      <c r="D1819" s="21" t="s">
        <v>19</v>
      </c>
      <c r="E1819" s="20"/>
      <c r="F1819" s="22" t="s">
        <v>340</v>
      </c>
      <c r="G1819" s="252">
        <v>2500</v>
      </c>
      <c r="I1819" s="1">
        <f>COUNTIF(Tabela1[NF],Tabela1[[#This Row],[NF]])</f>
        <v>0</v>
      </c>
      <c r="K1819" s="26">
        <f>Tabela1[[#This Row],[DT. VENCIMENTO]]</f>
        <v>46083</v>
      </c>
      <c r="N1819" s="14" t="str" cm="1">
        <f t="array" ref="N1819">_xlfn.XLOOKUP(TRIM(D1819),TRIM(DFC!A:A),DFC!A:A,"NÃO ESTÁ NA DFC")</f>
        <v xml:space="preserve">      PEÇAS</v>
      </c>
      <c r="P1819" s="303">
        <v>46096</v>
      </c>
      <c r="Q1819" s="262">
        <f>SUMIF(K1819:K2090,P1819,G1819:G2090)</f>
        <v>0</v>
      </c>
      <c r="R1819" t="s">
        <v>704</v>
      </c>
    </row>
    <row r="1820" spans="1:18" ht="15" customHeight="1" x14ac:dyDescent="0.3">
      <c r="A1820" s="19"/>
      <c r="B1820" s="21">
        <v>46083</v>
      </c>
      <c r="C1820" s="21" t="s">
        <v>15</v>
      </c>
      <c r="D1820" s="21" t="s">
        <v>19</v>
      </c>
      <c r="E1820" s="20"/>
      <c r="F1820" s="22" t="s">
        <v>344</v>
      </c>
      <c r="G1820" s="252">
        <v>7473.33</v>
      </c>
      <c r="I1820" s="1">
        <f>COUNTIF(Tabela1[NF],Tabela1[[#This Row],[NF]])</f>
        <v>0</v>
      </c>
      <c r="K1820" s="26">
        <f>Tabela1[[#This Row],[DT. VENCIMENTO]]</f>
        <v>46083</v>
      </c>
      <c r="N1820" s="14" t="str" cm="1">
        <f t="array" ref="N1820">_xlfn.XLOOKUP(TRIM(D1820),TRIM(DFC!A:A),DFC!A:A,"NÃO ESTÁ NA DFC")</f>
        <v xml:space="preserve">      PEÇAS</v>
      </c>
      <c r="P1820" s="303">
        <v>46097</v>
      </c>
      <c r="Q1820" s="262">
        <f>SUMIF(K1820:K2090,P1820,G1820:G2090)</f>
        <v>37875.79</v>
      </c>
      <c r="R1820" t="s">
        <v>704</v>
      </c>
    </row>
    <row r="1821" spans="1:18" ht="15" customHeight="1" x14ac:dyDescent="0.3">
      <c r="A1821" s="19"/>
      <c r="B1821" s="21">
        <v>46083</v>
      </c>
      <c r="C1821" s="21" t="s">
        <v>15</v>
      </c>
      <c r="D1821" s="21" t="s">
        <v>707</v>
      </c>
      <c r="E1821" s="20"/>
      <c r="F1821" s="22" t="s">
        <v>708</v>
      </c>
      <c r="G1821" s="252">
        <v>1128</v>
      </c>
      <c r="I1821" s="1">
        <f>COUNTIF(Tabela1[NF],Tabela1[[#This Row],[NF]])</f>
        <v>0</v>
      </c>
      <c r="K1821" s="26">
        <f>Tabela1[[#This Row],[DT. VENCIMENTO]]</f>
        <v>46083</v>
      </c>
      <c r="N1821" s="14" t="str" cm="1">
        <f t="array" ref="N1821">_xlfn.XLOOKUP(TRIM(D1821),TRIM(DFC!A:A),DFC!A:A,"NÃO ESTÁ NA DFC")</f>
        <v xml:space="preserve">         RECRUTAMENTO</v>
      </c>
      <c r="P1821" s="303">
        <v>46098</v>
      </c>
      <c r="Q1821" s="262">
        <f>SUMIF(K1821:K2154,P1821,G1821:G2154)</f>
        <v>17932</v>
      </c>
      <c r="R1821" t="s">
        <v>704</v>
      </c>
    </row>
    <row r="1822" spans="1:18" ht="15" customHeight="1" x14ac:dyDescent="0.3">
      <c r="A1822" s="19"/>
      <c r="B1822" s="21">
        <v>46083</v>
      </c>
      <c r="C1822" s="21" t="s">
        <v>15</v>
      </c>
      <c r="D1822" s="21" t="s">
        <v>19</v>
      </c>
      <c r="E1822" s="20"/>
      <c r="F1822" s="22" t="s">
        <v>654</v>
      </c>
      <c r="G1822" s="252">
        <v>4439.88</v>
      </c>
      <c r="I1822" s="1">
        <f>COUNTIF(Tabela1[NF],Tabela1[[#This Row],[NF]])</f>
        <v>0</v>
      </c>
      <c r="K1822" s="26">
        <f>Tabela1[[#This Row],[DT. VENCIMENTO]]</f>
        <v>46083</v>
      </c>
      <c r="N1822" s="14" t="str" cm="1">
        <f t="array" ref="N1822">_xlfn.XLOOKUP(TRIM(D1822),TRIM(DFC!A:A),DFC!A:A,"NÃO ESTÁ NA DFC")</f>
        <v xml:space="preserve">      PEÇAS</v>
      </c>
      <c r="P1822" s="303">
        <v>46099</v>
      </c>
      <c r="Q1822" s="262">
        <f>SUMIF(K1822:K2090,P1822,G1822:G2090)</f>
        <v>65576.509999999995</v>
      </c>
      <c r="R1822" t="s">
        <v>704</v>
      </c>
    </row>
    <row r="1823" spans="1:18" ht="15" customHeight="1" x14ac:dyDescent="0.3">
      <c r="A1823" s="19"/>
      <c r="B1823" s="21">
        <v>46083</v>
      </c>
      <c r="C1823" s="21" t="s">
        <v>15</v>
      </c>
      <c r="D1823" s="21" t="s">
        <v>19</v>
      </c>
      <c r="E1823" s="20"/>
      <c r="F1823" s="22" t="s">
        <v>297</v>
      </c>
      <c r="G1823" s="252">
        <v>672.02</v>
      </c>
      <c r="I1823" s="1">
        <f>COUNTIF(Tabela1[NF],Tabela1[[#This Row],[NF]])</f>
        <v>0</v>
      </c>
      <c r="K1823" s="26">
        <f>Tabela1[[#This Row],[DT. VENCIMENTO]]</f>
        <v>46083</v>
      </c>
      <c r="N1823" s="14" t="str" cm="1">
        <f t="array" ref="N1823">_xlfn.XLOOKUP(TRIM(D1823),TRIM(DFC!A:A),DFC!A:A,"NÃO ESTÁ NA DFC")</f>
        <v xml:space="preserve">      PEÇAS</v>
      </c>
      <c r="P1823" s="303">
        <v>46100</v>
      </c>
      <c r="Q1823" s="262">
        <f>SUMIF(K1806:K2090,P1823,G1806:G2090)</f>
        <v>121258.22999999998</v>
      </c>
      <c r="R1823" t="s">
        <v>704</v>
      </c>
    </row>
    <row r="1824" spans="1:18" ht="15" customHeight="1" x14ac:dyDescent="0.3">
      <c r="A1824" s="19"/>
      <c r="B1824" s="21">
        <v>46083</v>
      </c>
      <c r="C1824" s="21" t="s">
        <v>15</v>
      </c>
      <c r="D1824" s="21" t="s">
        <v>29</v>
      </c>
      <c r="E1824" s="20"/>
      <c r="F1824" s="22" t="s">
        <v>548</v>
      </c>
      <c r="G1824" s="252">
        <v>395.99</v>
      </c>
      <c r="I1824" s="1">
        <f>COUNTIF(Tabela1[NF],Tabela1[[#This Row],[NF]])</f>
        <v>0</v>
      </c>
      <c r="K1824" s="26">
        <f>Tabela1[[#This Row],[DT. VENCIMENTO]]</f>
        <v>46083</v>
      </c>
      <c r="N1824" s="14" t="str" cm="1">
        <f t="array" ref="N1824">_xlfn.XLOOKUP(TRIM(D1824),TRIM(DFC!A:A),DFC!A:A,"NÃO ESTÁ NA DFC")</f>
        <v xml:space="preserve">      FRETE DE SAÍDA</v>
      </c>
      <c r="O1824" s="262"/>
      <c r="P1824" s="303">
        <v>46101</v>
      </c>
      <c r="Q1824" s="262">
        <f>SUMIF(K1807:K2155,P1824,G1807:G2155)</f>
        <v>59077.579999999994</v>
      </c>
      <c r="R1824" t="s">
        <v>704</v>
      </c>
    </row>
    <row r="1825" spans="1:18" ht="15" customHeight="1" x14ac:dyDescent="0.3">
      <c r="A1825" s="19"/>
      <c r="B1825" s="21">
        <v>46083</v>
      </c>
      <c r="C1825" s="21" t="s">
        <v>15</v>
      </c>
      <c r="D1825" s="21" t="s">
        <v>111</v>
      </c>
      <c r="E1825" s="20"/>
      <c r="F1825" s="22" t="s">
        <v>626</v>
      </c>
      <c r="G1825" s="252">
        <v>0.08</v>
      </c>
      <c r="I1825" s="1">
        <f>COUNTIF(Tabela1[NF],Tabela1[[#This Row],[NF]])</f>
        <v>0</v>
      </c>
      <c r="K1825" s="26">
        <f>Tabela1[[#This Row],[DT. VENCIMENTO]]</f>
        <v>46083</v>
      </c>
      <c r="N1825" s="14" t="str" cm="1">
        <f t="array" ref="N1825">_xlfn.XLOOKUP(TRIM(D1825),TRIM(DFC!A:A),DFC!A:A,"NÃO ESTÁ NA DFC")</f>
        <v xml:space="preserve">          TX. BANCÁRIA</v>
      </c>
      <c r="P1825" s="303">
        <v>46102</v>
      </c>
      <c r="Q1825" s="262">
        <f>SUMIF(K1825:K2090,P1825,G1825:G2090)</f>
        <v>0</v>
      </c>
      <c r="R1825" t="s">
        <v>704</v>
      </c>
    </row>
    <row r="1826" spans="1:18" ht="15" customHeight="1" x14ac:dyDescent="0.3">
      <c r="A1826" s="19"/>
      <c r="B1826" s="21">
        <v>46083</v>
      </c>
      <c r="C1826" s="21" t="s">
        <v>15</v>
      </c>
      <c r="D1826" s="21" t="s">
        <v>111</v>
      </c>
      <c r="E1826" s="20"/>
      <c r="F1826" s="22" t="s">
        <v>453</v>
      </c>
      <c r="G1826" s="252">
        <v>1.48</v>
      </c>
      <c r="I1826" s="1">
        <f>COUNTIF(Tabela1[NF],Tabela1[[#This Row],[NF]])</f>
        <v>0</v>
      </c>
      <c r="K1826" s="26">
        <f>Tabela1[[#This Row],[DT. VENCIMENTO]]</f>
        <v>46083</v>
      </c>
      <c r="N1826" s="14" t="str" cm="1">
        <f t="array" ref="N1826">_xlfn.XLOOKUP(TRIM(D1826),TRIM(DFC!A:A),DFC!A:A,"NÃO ESTÁ NA DFC")</f>
        <v xml:space="preserve">          TX. BANCÁRIA</v>
      </c>
      <c r="P1826" s="303">
        <v>46103</v>
      </c>
      <c r="Q1826" s="262">
        <f>SUMIF(K1826:K2090,P1826,G1826:G2090)</f>
        <v>0</v>
      </c>
      <c r="R1826" t="s">
        <v>704</v>
      </c>
    </row>
    <row r="1827" spans="1:18" ht="15" customHeight="1" x14ac:dyDescent="0.3">
      <c r="A1827" s="19"/>
      <c r="B1827" s="21">
        <v>46083</v>
      </c>
      <c r="C1827" s="21" t="s">
        <v>15</v>
      </c>
      <c r="D1827" s="21" t="s">
        <v>96</v>
      </c>
      <c r="E1827" s="20"/>
      <c r="F1827" s="22" t="s">
        <v>627</v>
      </c>
      <c r="G1827" s="252">
        <v>15.72</v>
      </c>
      <c r="I1827" s="1">
        <f>COUNTIF(Tabela1[NF],Tabela1[[#This Row],[NF]])</f>
        <v>0</v>
      </c>
      <c r="K1827" s="26">
        <f>Tabela1[[#This Row],[DT. VENCIMENTO]]</f>
        <v>46083</v>
      </c>
      <c r="N1827" s="14" t="str" cm="1">
        <f t="array" ref="N1827">_xlfn.XLOOKUP(TRIM(D1827),TRIM(DFC!A:A),DFC!A:A,"NÃO ESTÁ NA DFC")</f>
        <v xml:space="preserve">           JUROS CHEQUE ESPECIAL</v>
      </c>
      <c r="P1827" s="303">
        <v>46104</v>
      </c>
      <c r="Q1827" s="262">
        <f>SUMIF(K1827:K2157,P1827,G1827:G2157)</f>
        <v>117494.67</v>
      </c>
      <c r="R1827" t="s">
        <v>704</v>
      </c>
    </row>
    <row r="1828" spans="1:18" ht="15" customHeight="1" x14ac:dyDescent="0.3">
      <c r="A1828" s="19"/>
      <c r="B1828" s="21">
        <v>46083</v>
      </c>
      <c r="C1828" s="21" t="s">
        <v>15</v>
      </c>
      <c r="D1828" s="21" t="s">
        <v>111</v>
      </c>
      <c r="E1828" s="20"/>
      <c r="F1828" s="22" t="s">
        <v>628</v>
      </c>
      <c r="G1828" s="252">
        <v>11.41</v>
      </c>
      <c r="I1828" s="1">
        <f>COUNTIF(Tabela1[NF],Tabela1[[#This Row],[NF]])</f>
        <v>0</v>
      </c>
      <c r="K1828" s="26">
        <f>Tabela1[[#This Row],[DT. VENCIMENTO]]</f>
        <v>46083</v>
      </c>
      <c r="N1828" s="14" t="str" cm="1">
        <f t="array" ref="N1828">_xlfn.XLOOKUP(TRIM(D1828),TRIM(DFC!A:A),DFC!A:A,"NÃO ESTÁ NA DFC")</f>
        <v xml:space="preserve">          TX. BANCÁRIA</v>
      </c>
      <c r="P1828" s="303">
        <v>46105</v>
      </c>
      <c r="Q1828" s="262">
        <f>SUMIF(K1828:K2096,P1828,G1828:G2096)</f>
        <v>34881.29</v>
      </c>
      <c r="R1828" t="s">
        <v>704</v>
      </c>
    </row>
    <row r="1829" spans="1:18" ht="15" customHeight="1" x14ac:dyDescent="0.3">
      <c r="A1829" s="19"/>
      <c r="B1829" s="21">
        <v>46083</v>
      </c>
      <c r="C1829" s="21" t="s">
        <v>15</v>
      </c>
      <c r="D1829" s="21" t="s">
        <v>111</v>
      </c>
      <c r="E1829" s="20"/>
      <c r="F1829" s="22" t="s">
        <v>559</v>
      </c>
      <c r="G1829" s="252">
        <v>60.95</v>
      </c>
      <c r="I1829" s="1">
        <f>COUNTIF(Tabela1[NF],Tabela1[[#This Row],[NF]])</f>
        <v>0</v>
      </c>
      <c r="K1829" s="26">
        <f>Tabela1[[#This Row],[DT. VENCIMENTO]]</f>
        <v>46083</v>
      </c>
      <c r="N1829" s="14" t="str" cm="1">
        <f t="array" ref="N1829">_xlfn.XLOOKUP(TRIM(D1829),TRIM(DFC!A:A),DFC!A:A,"NÃO ESTÁ NA DFC")</f>
        <v xml:space="preserve">          TX. BANCÁRIA</v>
      </c>
      <c r="P1829" s="303">
        <v>46106</v>
      </c>
      <c r="Q1829" s="262">
        <f>SUMIF(K1829:K2110,P1829,G1829:G2110)</f>
        <v>28890.84</v>
      </c>
      <c r="R1829" t="s">
        <v>704</v>
      </c>
    </row>
    <row r="1830" spans="1:18" ht="15" customHeight="1" x14ac:dyDescent="0.3">
      <c r="A1830" s="19"/>
      <c r="B1830" s="21">
        <v>46084</v>
      </c>
      <c r="C1830" s="21" t="s">
        <v>15</v>
      </c>
      <c r="D1830" s="21" t="s">
        <v>40</v>
      </c>
      <c r="E1830" s="20"/>
      <c r="F1830" s="22" t="s">
        <v>522</v>
      </c>
      <c r="G1830" s="252">
        <v>1500</v>
      </c>
      <c r="I1830" s="1">
        <f>COUNTIF(Tabela1[NF],Tabela1[[#This Row],[NF]])</f>
        <v>0</v>
      </c>
      <c r="K1830" s="26">
        <f>Tabela1[[#This Row],[DT. VENCIMENTO]]</f>
        <v>46084</v>
      </c>
      <c r="N1830" s="14" t="str" cm="1">
        <f t="array" ref="N1830">_xlfn.XLOOKUP(TRIM(D1830),TRIM(DFC!A:A),DFC!A:A,"NÃO ESTÁ NA DFC")</f>
        <v xml:space="preserve">         SERVIÇO TERCEIRIZADO</v>
      </c>
      <c r="P1830" s="303">
        <v>46107</v>
      </c>
      <c r="Q1830" s="262">
        <f>SUMIF(K1830:K2122,P1830,G1830:G2122)</f>
        <v>58997.62</v>
      </c>
      <c r="R1830" t="s">
        <v>704</v>
      </c>
    </row>
    <row r="1831" spans="1:18" ht="15" customHeight="1" x14ac:dyDescent="0.3">
      <c r="A1831" s="19"/>
      <c r="B1831" s="21">
        <v>46084</v>
      </c>
      <c r="C1831" s="21" t="s">
        <v>15</v>
      </c>
      <c r="D1831" s="21" t="s">
        <v>156</v>
      </c>
      <c r="E1831" s="28" t="s">
        <v>597</v>
      </c>
      <c r="F1831" s="22" t="s">
        <v>314</v>
      </c>
      <c r="G1831" s="252">
        <v>1882.5</v>
      </c>
      <c r="I1831" s="1">
        <f>COUNTIF(Tabela1[NF],Tabela1[[#This Row],[NF]])</f>
        <v>0</v>
      </c>
      <c r="K1831" s="26">
        <f>Tabela1[[#This Row],[DT. VENCIMENTO]]</f>
        <v>46084</v>
      </c>
      <c r="N1831" s="14" t="str" cm="1">
        <f t="array" ref="N1831">_xlfn.XLOOKUP(TRIM(D1831),TRIM(DFC!A:A),DFC!A:A,"NÃO ESTÁ NA DFC")</f>
        <v xml:space="preserve">      MONTAGEM DE RODAS</v>
      </c>
      <c r="P1831" s="303">
        <v>46108</v>
      </c>
      <c r="Q1831" s="262">
        <f>SUMIF(K1831:K2129,P1831,G1831:G2129)</f>
        <v>10790.6</v>
      </c>
      <c r="R1831" t="s">
        <v>704</v>
      </c>
    </row>
    <row r="1832" spans="1:18" ht="15" customHeight="1" x14ac:dyDescent="0.3">
      <c r="A1832" s="19"/>
      <c r="B1832" s="21">
        <v>46084</v>
      </c>
      <c r="C1832" s="21" t="s">
        <v>15</v>
      </c>
      <c r="D1832" s="21" t="s">
        <v>19</v>
      </c>
      <c r="E1832" s="20"/>
      <c r="F1832" s="22" t="s">
        <v>228</v>
      </c>
      <c r="G1832" s="252">
        <v>19184.13</v>
      </c>
      <c r="I1832" s="1">
        <f>COUNTIF(Tabela1[NF],Tabela1[[#This Row],[NF]])</f>
        <v>0</v>
      </c>
      <c r="K1832" s="26">
        <f>Tabela1[[#This Row],[DT. VENCIMENTO]]</f>
        <v>46084</v>
      </c>
      <c r="N1832" s="14" t="str" cm="1">
        <f t="array" ref="N1832">_xlfn.XLOOKUP(TRIM(D1832),TRIM(DFC!A:A),DFC!A:A,"NÃO ESTÁ NA DFC")</f>
        <v xml:space="preserve">      PEÇAS</v>
      </c>
      <c r="P1832" s="303">
        <v>46109</v>
      </c>
      <c r="Q1832" s="262">
        <f>SUMIF(K1832:K2090,P1832,G1832:G2090)</f>
        <v>0</v>
      </c>
      <c r="R1832" t="s">
        <v>704</v>
      </c>
    </row>
    <row r="1833" spans="1:18" ht="15" customHeight="1" x14ac:dyDescent="0.3">
      <c r="A1833" s="19"/>
      <c r="B1833" s="21">
        <v>46084</v>
      </c>
      <c r="C1833" s="21" t="s">
        <v>15</v>
      </c>
      <c r="D1833" s="21" t="s">
        <v>19</v>
      </c>
      <c r="E1833" s="20"/>
      <c r="F1833" s="22" t="s">
        <v>300</v>
      </c>
      <c r="G1833" s="252">
        <v>8784.9599999999991</v>
      </c>
      <c r="I1833" s="1">
        <f>COUNTIF(Tabela1[NF],Tabela1[[#This Row],[NF]])</f>
        <v>0</v>
      </c>
      <c r="K1833" s="26">
        <f>Tabela1[[#This Row],[DT. VENCIMENTO]]</f>
        <v>46084</v>
      </c>
      <c r="N1833" s="14" t="str" cm="1">
        <f t="array" ref="N1833">_xlfn.XLOOKUP(TRIM(D1833),TRIM(DFC!A:A),DFC!A:A,"NÃO ESTÁ NA DFC")</f>
        <v xml:space="preserve">      PEÇAS</v>
      </c>
      <c r="P1833" s="303">
        <v>46110</v>
      </c>
      <c r="Q1833" s="262">
        <f>SUMIF(K1833:K2090,P1833,G1833:G2090)</f>
        <v>0</v>
      </c>
      <c r="R1833" t="s">
        <v>704</v>
      </c>
    </row>
    <row r="1834" spans="1:18" ht="15" customHeight="1" x14ac:dyDescent="0.3">
      <c r="A1834" s="19"/>
      <c r="B1834" s="21">
        <v>46084</v>
      </c>
      <c r="C1834" s="21" t="s">
        <v>15</v>
      </c>
      <c r="D1834" s="21" t="s">
        <v>154</v>
      </c>
      <c r="E1834" s="20"/>
      <c r="F1834" s="22" t="s">
        <v>394</v>
      </c>
      <c r="G1834" s="252">
        <v>1084.1300000000001</v>
      </c>
      <c r="I1834" s="1">
        <f>COUNTIF(Tabela1[NF],Tabela1[[#This Row],[NF]])</f>
        <v>0</v>
      </c>
      <c r="K1834" s="26">
        <f>Tabela1[[#This Row],[DT. VENCIMENTO]]</f>
        <v>46084</v>
      </c>
      <c r="N1834" s="14" t="str" cm="1">
        <f t="array" ref="N1834">_xlfn.XLOOKUP(TRIM(D1834),TRIM(DFC!A:A),DFC!A:A,"NÃO ESTÁ NA DFC")</f>
        <v xml:space="preserve">      EMBALAGENS</v>
      </c>
      <c r="P1834" s="303">
        <v>46111</v>
      </c>
      <c r="Q1834" s="262">
        <f>SUMIF(K1834:K2141,P1834,G1834:G2141)</f>
        <v>35796.15</v>
      </c>
      <c r="R1834" t="s">
        <v>704</v>
      </c>
    </row>
    <row r="1835" spans="1:18" ht="15" customHeight="1" x14ac:dyDescent="0.3">
      <c r="A1835" s="19"/>
      <c r="B1835" s="21">
        <v>46084</v>
      </c>
      <c r="C1835" s="21" t="s">
        <v>15</v>
      </c>
      <c r="D1835" s="21" t="s">
        <v>29</v>
      </c>
      <c r="E1835" s="20"/>
      <c r="F1835" s="22" t="s">
        <v>420</v>
      </c>
      <c r="G1835" s="252">
        <v>1101.42</v>
      </c>
      <c r="I1835" s="1">
        <f>COUNTIF(Tabela1[NF],Tabela1[[#This Row],[NF]])</f>
        <v>0</v>
      </c>
      <c r="K1835" s="26">
        <f>Tabela1[[#This Row],[DT. VENCIMENTO]]</f>
        <v>46084</v>
      </c>
      <c r="N1835" s="14" t="str" cm="1">
        <f t="array" ref="N1835">_xlfn.XLOOKUP(TRIM(D1835),TRIM(DFC!A:A),DFC!A:A,"NÃO ESTÁ NA DFC")</f>
        <v xml:space="preserve">      FRETE DE SAÍDA</v>
      </c>
      <c r="P1835" s="303">
        <v>46112</v>
      </c>
      <c r="Q1835" s="262">
        <f>SUMIF(K1835:K2148,P1835,G1835:G2148)</f>
        <v>15936.000000000002</v>
      </c>
      <c r="R1835" t="s">
        <v>704</v>
      </c>
    </row>
    <row r="1836" spans="1:18" ht="15" customHeight="1" x14ac:dyDescent="0.3">
      <c r="A1836" s="19"/>
      <c r="B1836" s="21">
        <v>46084</v>
      </c>
      <c r="C1836" s="21" t="s">
        <v>15</v>
      </c>
      <c r="D1836" s="21" t="s">
        <v>29</v>
      </c>
      <c r="E1836" s="20"/>
      <c r="F1836" s="22" t="s">
        <v>548</v>
      </c>
      <c r="G1836" s="252">
        <v>36.99</v>
      </c>
      <c r="I1836" s="1">
        <f>COUNTIF(Tabela1[NF],Tabela1[[#This Row],[NF]])</f>
        <v>0</v>
      </c>
      <c r="K1836" s="26">
        <f>Tabela1[[#This Row],[DT. VENCIMENTO]]</f>
        <v>46084</v>
      </c>
      <c r="N1836" s="14" t="str" cm="1">
        <f t="array" ref="N1836">_xlfn.XLOOKUP(TRIM(D1836),TRIM(DFC!A:A),DFC!A:A,"NÃO ESTÁ NA DFC")</f>
        <v xml:space="preserve">      FRETE DE SAÍDA</v>
      </c>
      <c r="P1836" s="303">
        <v>46113</v>
      </c>
    </row>
    <row r="1837" spans="1:18" ht="15" customHeight="1" x14ac:dyDescent="0.3">
      <c r="A1837" s="19"/>
      <c r="B1837" s="21">
        <v>46085</v>
      </c>
      <c r="C1837" s="21" t="s">
        <v>15</v>
      </c>
      <c r="D1837" s="21" t="s">
        <v>111</v>
      </c>
      <c r="E1837" s="20"/>
      <c r="F1837" s="22" t="s">
        <v>114</v>
      </c>
      <c r="G1837" s="252">
        <v>19.96</v>
      </c>
      <c r="I1837" s="1">
        <f>COUNTIF(Tabela1[NF],Tabela1[[#This Row],[NF]])</f>
        <v>0</v>
      </c>
      <c r="K1837" s="26">
        <f>Tabela1[[#This Row],[DT. VENCIMENTO]]</f>
        <v>46085</v>
      </c>
      <c r="N1837" s="14" t="str" cm="1">
        <f t="array" ref="N1837">_xlfn.XLOOKUP(TRIM(D1837),TRIM(DFC!A:A),DFC!A:A,"NÃO ESTÁ NA DFC")</f>
        <v xml:space="preserve">          TX. BANCÁRIA</v>
      </c>
      <c r="P1837" s="303">
        <v>46114</v>
      </c>
    </row>
    <row r="1838" spans="1:18" ht="15" customHeight="1" x14ac:dyDescent="0.3">
      <c r="A1838" s="19"/>
      <c r="B1838" s="21">
        <v>46085</v>
      </c>
      <c r="C1838" s="21" t="s">
        <v>15</v>
      </c>
      <c r="D1838" s="21" t="s">
        <v>111</v>
      </c>
      <c r="E1838" s="20"/>
      <c r="F1838" s="22" t="s">
        <v>432</v>
      </c>
      <c r="G1838" s="252">
        <v>30</v>
      </c>
      <c r="I1838" s="1">
        <f>COUNTIF(Tabela1[NF],Tabela1[[#This Row],[NF]])</f>
        <v>0</v>
      </c>
      <c r="K1838" s="26">
        <f>Tabela1[[#This Row],[DT. VENCIMENTO]]</f>
        <v>46085</v>
      </c>
      <c r="N1838" s="14" t="str" cm="1">
        <f t="array" ref="N1838">_xlfn.XLOOKUP(TRIM(D1838),TRIM(DFC!A:A),DFC!A:A,"NÃO ESTÁ NA DFC")</f>
        <v xml:space="preserve">          TX. BANCÁRIA</v>
      </c>
    </row>
    <row r="1839" spans="1:18" ht="15" customHeight="1" x14ac:dyDescent="0.3">
      <c r="A1839" s="19"/>
      <c r="B1839" s="21">
        <v>46085</v>
      </c>
      <c r="C1839" s="21" t="s">
        <v>15</v>
      </c>
      <c r="D1839" s="21" t="s">
        <v>19</v>
      </c>
      <c r="E1839" s="20"/>
      <c r="F1839" s="22" t="s">
        <v>228</v>
      </c>
      <c r="G1839" s="252">
        <v>1933.39</v>
      </c>
      <c r="I1839" s="1">
        <f>COUNTIF(Tabela1[NF],Tabela1[[#This Row],[NF]])</f>
        <v>0</v>
      </c>
      <c r="K1839" s="26">
        <f>Tabela1[[#This Row],[DT. VENCIMENTO]]</f>
        <v>46085</v>
      </c>
      <c r="N1839" s="14" t="str" cm="1">
        <f t="array" ref="N1839">_xlfn.XLOOKUP(TRIM(D1839),TRIM(DFC!A:A),DFC!A:A,"NÃO ESTÁ NA DFC")</f>
        <v xml:space="preserve">      PEÇAS</v>
      </c>
    </row>
    <row r="1840" spans="1:18" ht="15" customHeight="1" x14ac:dyDescent="0.3">
      <c r="A1840" s="19"/>
      <c r="B1840" s="21">
        <v>46085</v>
      </c>
      <c r="C1840" s="21" t="s">
        <v>15</v>
      </c>
      <c r="D1840" s="21" t="s">
        <v>19</v>
      </c>
      <c r="E1840" s="20"/>
      <c r="F1840" s="22" t="s">
        <v>301</v>
      </c>
      <c r="G1840" s="252">
        <v>2002.27</v>
      </c>
      <c r="I1840" s="1">
        <f>COUNTIF(Tabela1[NF],Tabela1[[#This Row],[NF]])</f>
        <v>0</v>
      </c>
      <c r="K1840" s="26">
        <f>Tabela1[[#This Row],[DT. VENCIMENTO]]</f>
        <v>46085</v>
      </c>
      <c r="N1840" s="14" t="str" cm="1">
        <f t="array" ref="N1840">_xlfn.XLOOKUP(TRIM(D1840),TRIM(DFC!A:A),DFC!A:A,"NÃO ESTÁ NA DFC")</f>
        <v xml:space="preserve">      PEÇAS</v>
      </c>
    </row>
    <row r="1841" spans="1:14" ht="15" customHeight="1" x14ac:dyDescent="0.3">
      <c r="A1841" s="19"/>
      <c r="B1841" s="21">
        <v>46085</v>
      </c>
      <c r="C1841" s="21" t="s">
        <v>15</v>
      </c>
      <c r="D1841" s="21" t="s">
        <v>19</v>
      </c>
      <c r="E1841" s="20"/>
      <c r="F1841" s="22" t="s">
        <v>395</v>
      </c>
      <c r="G1841" s="252">
        <v>930.1</v>
      </c>
      <c r="I1841" s="1">
        <f>COUNTIF(Tabela1[NF],Tabela1[[#This Row],[NF]])</f>
        <v>0</v>
      </c>
      <c r="K1841" s="26">
        <f>Tabela1[[#This Row],[DT. VENCIMENTO]]</f>
        <v>46085</v>
      </c>
      <c r="N1841" s="14" t="str" cm="1">
        <f t="array" ref="N1841">_xlfn.XLOOKUP(TRIM(D1841),TRIM(DFC!A:A),DFC!A:A,"NÃO ESTÁ NA DFC")</f>
        <v xml:space="preserve">      PEÇAS</v>
      </c>
    </row>
    <row r="1842" spans="1:14" ht="15" customHeight="1" x14ac:dyDescent="0.3">
      <c r="A1842" s="19"/>
      <c r="B1842" s="21">
        <v>46085</v>
      </c>
      <c r="C1842" s="21" t="s">
        <v>15</v>
      </c>
      <c r="D1842" s="21" t="s">
        <v>19</v>
      </c>
      <c r="E1842" s="20"/>
      <c r="F1842" s="22" t="s">
        <v>340</v>
      </c>
      <c r="G1842" s="252">
        <v>15968.2</v>
      </c>
      <c r="I1842" s="1">
        <f>COUNTIF(Tabela1[NF],Tabela1[[#This Row],[NF]])</f>
        <v>0</v>
      </c>
      <c r="K1842" s="26">
        <f>Tabela1[[#This Row],[DT. VENCIMENTO]]</f>
        <v>46085</v>
      </c>
      <c r="N1842" s="14" t="str" cm="1">
        <f t="array" ref="N1842">_xlfn.XLOOKUP(TRIM(D1842),TRIM(DFC!A:A),DFC!A:A,"NÃO ESTÁ NA DFC")</f>
        <v xml:space="preserve">      PEÇAS</v>
      </c>
    </row>
    <row r="1843" spans="1:14" ht="15" customHeight="1" x14ac:dyDescent="0.3">
      <c r="A1843" s="19"/>
      <c r="B1843" s="21">
        <v>46085</v>
      </c>
      <c r="C1843" s="21" t="s">
        <v>15</v>
      </c>
      <c r="D1843" s="21" t="s">
        <v>19</v>
      </c>
      <c r="E1843" s="20" t="s">
        <v>491</v>
      </c>
      <c r="F1843" s="22" t="s">
        <v>103</v>
      </c>
      <c r="G1843" s="252">
        <v>6666.66</v>
      </c>
      <c r="I1843" s="1">
        <f>COUNTIF(Tabela1[NF],Tabela1[[#This Row],[NF]])</f>
        <v>0</v>
      </c>
      <c r="K1843" s="26">
        <f>Tabela1[[#This Row],[DT. VENCIMENTO]]</f>
        <v>46085</v>
      </c>
      <c r="N1843" s="14" t="str" cm="1">
        <f t="array" ref="N1843">_xlfn.XLOOKUP(TRIM(D1843),TRIM(DFC!A:A),DFC!A:A,"NÃO ESTÁ NA DFC")</f>
        <v xml:space="preserve">      PEÇAS</v>
      </c>
    </row>
    <row r="1844" spans="1:14" ht="15" customHeight="1" x14ac:dyDescent="0.3">
      <c r="A1844" s="19"/>
      <c r="B1844" s="21">
        <v>46085</v>
      </c>
      <c r="C1844" s="21" t="s">
        <v>15</v>
      </c>
      <c r="D1844" s="21" t="s">
        <v>19</v>
      </c>
      <c r="E1844" s="20" t="s">
        <v>491</v>
      </c>
      <c r="F1844" s="22" t="s">
        <v>103</v>
      </c>
      <c r="G1844" s="252">
        <v>3333.33</v>
      </c>
      <c r="I1844" s="1">
        <f>COUNTIF(Tabela1[NF],Tabela1[[#This Row],[NF]])</f>
        <v>0</v>
      </c>
      <c r="K1844" s="26">
        <f>Tabela1[[#This Row],[DT. VENCIMENTO]]</f>
        <v>46085</v>
      </c>
      <c r="N1844" s="14" t="str" cm="1">
        <f t="array" ref="N1844">_xlfn.XLOOKUP(TRIM(D1844),TRIM(DFC!A:A),DFC!A:A,"NÃO ESTÁ NA DFC")</f>
        <v xml:space="preserve">      PEÇAS</v>
      </c>
    </row>
    <row r="1845" spans="1:14" ht="15" customHeight="1" x14ac:dyDescent="0.3">
      <c r="A1845" s="19"/>
      <c r="B1845" s="21">
        <v>46085</v>
      </c>
      <c r="C1845" s="21" t="s">
        <v>15</v>
      </c>
      <c r="D1845" s="21" t="s">
        <v>19</v>
      </c>
      <c r="E1845" s="20" t="s">
        <v>491</v>
      </c>
      <c r="F1845" s="22" t="s">
        <v>103</v>
      </c>
      <c r="G1845" s="252">
        <v>3333.33</v>
      </c>
      <c r="I1845" s="1">
        <f>COUNTIF(Tabela1[NF],Tabela1[[#This Row],[NF]])</f>
        <v>0</v>
      </c>
      <c r="K1845" s="26">
        <f>Tabela1[[#This Row],[DT. VENCIMENTO]]</f>
        <v>46085</v>
      </c>
      <c r="N1845" s="14" t="str" cm="1">
        <f t="array" ref="N1845">_xlfn.XLOOKUP(TRIM(D1845),TRIM(DFC!A:A),DFC!A:A,"NÃO ESTÁ NA DFC")</f>
        <v xml:space="preserve">      PEÇAS</v>
      </c>
    </row>
    <row r="1846" spans="1:14" ht="15" customHeight="1" x14ac:dyDescent="0.3">
      <c r="A1846" s="19"/>
      <c r="B1846" s="21">
        <v>46086</v>
      </c>
      <c r="C1846" s="21" t="s">
        <v>15</v>
      </c>
      <c r="D1846" s="21" t="s">
        <v>111</v>
      </c>
      <c r="E1846" s="20"/>
      <c r="F1846" s="22" t="s">
        <v>114</v>
      </c>
      <c r="G1846" s="252">
        <v>6.67</v>
      </c>
      <c r="I1846" s="1">
        <f>COUNTIF(Tabela1[NF],Tabela1[[#This Row],[NF]])</f>
        <v>0</v>
      </c>
      <c r="K1846" s="26">
        <f>Tabela1[[#This Row],[DT. VENCIMENTO]]</f>
        <v>46086</v>
      </c>
      <c r="N1846" s="14" t="str" cm="1">
        <f t="array" ref="N1846">_xlfn.XLOOKUP(TRIM(D1846),TRIM(DFC!A:A),DFC!A:A,"NÃO ESTÁ NA DFC")</f>
        <v xml:space="preserve">          TX. BANCÁRIA</v>
      </c>
    </row>
    <row r="1847" spans="1:14" ht="15" customHeight="1" x14ac:dyDescent="0.3">
      <c r="A1847" s="19"/>
      <c r="B1847" s="21">
        <v>46086</v>
      </c>
      <c r="C1847" s="21" t="s">
        <v>15</v>
      </c>
      <c r="D1847" s="21" t="s">
        <v>154</v>
      </c>
      <c r="E1847" s="20"/>
      <c r="F1847" s="22" t="s">
        <v>302</v>
      </c>
      <c r="G1847" s="252">
        <v>3551.8</v>
      </c>
      <c r="I1847" s="1">
        <f>COUNTIF(Tabela1[NF],Tabela1[[#This Row],[NF]])</f>
        <v>0</v>
      </c>
      <c r="K1847" s="26">
        <f>Tabela1[[#This Row],[DT. VENCIMENTO]]</f>
        <v>46086</v>
      </c>
      <c r="N1847" s="14" t="str" cm="1">
        <f t="array" ref="N1847">_xlfn.XLOOKUP(TRIM(D1847),TRIM(DFC!A:A),DFC!A:A,"NÃO ESTÁ NA DFC")</f>
        <v xml:space="preserve">      EMBALAGENS</v>
      </c>
    </row>
    <row r="1848" spans="1:14" ht="15" customHeight="1" x14ac:dyDescent="0.3">
      <c r="A1848" s="19"/>
      <c r="B1848" s="21">
        <v>46086</v>
      </c>
      <c r="C1848" s="21" t="s">
        <v>15</v>
      </c>
      <c r="D1848" s="21" t="s">
        <v>19</v>
      </c>
      <c r="E1848" s="20"/>
      <c r="F1848" s="22" t="s">
        <v>132</v>
      </c>
      <c r="G1848" s="252">
        <v>5789.1</v>
      </c>
      <c r="I1848" s="1">
        <f>COUNTIF(Tabela1[NF],Tabela1[[#This Row],[NF]])</f>
        <v>0</v>
      </c>
      <c r="K1848" s="26">
        <f>Tabela1[[#This Row],[DT. VENCIMENTO]]</f>
        <v>46086</v>
      </c>
      <c r="N1848" s="14" t="str" cm="1">
        <f t="array" ref="N1848">_xlfn.XLOOKUP(TRIM(D1848),TRIM(DFC!A:A),DFC!A:A,"NÃO ESTÁ NA DFC")</f>
        <v xml:space="preserve">      PEÇAS</v>
      </c>
    </row>
    <row r="1849" spans="1:14" ht="15" customHeight="1" x14ac:dyDescent="0.3">
      <c r="A1849" s="19"/>
      <c r="B1849" s="21">
        <v>46086</v>
      </c>
      <c r="C1849" s="21" t="s">
        <v>15</v>
      </c>
      <c r="D1849" s="21" t="s">
        <v>127</v>
      </c>
      <c r="E1849" s="20"/>
      <c r="F1849" s="22" t="s">
        <v>153</v>
      </c>
      <c r="G1849" s="252">
        <v>152</v>
      </c>
      <c r="I1849" s="1">
        <f>COUNTIF(Tabela1[NF],Tabela1[[#This Row],[NF]])</f>
        <v>0</v>
      </c>
      <c r="K1849" s="26">
        <f>Tabela1[[#This Row],[DT. VENCIMENTO]]</f>
        <v>46086</v>
      </c>
      <c r="N1849" s="14" t="str" cm="1">
        <f t="array" ref="N1849">_xlfn.XLOOKUP(TRIM(D1849),TRIM(DFC!A:A),DFC!A:A,"NÃO ESTÁ NA DFC")</f>
        <v xml:space="preserve">          SERVIÇOS DE SEGURANÇA</v>
      </c>
    </row>
    <row r="1850" spans="1:14" ht="15" customHeight="1" x14ac:dyDescent="0.3">
      <c r="A1850" s="19"/>
      <c r="B1850" s="21">
        <v>46086</v>
      </c>
      <c r="C1850" s="21" t="s">
        <v>15</v>
      </c>
      <c r="D1850" s="21" t="s">
        <v>19</v>
      </c>
      <c r="E1850" s="20"/>
      <c r="F1850" s="22" t="s">
        <v>301</v>
      </c>
      <c r="G1850" s="252">
        <v>1453.2</v>
      </c>
      <c r="I1850" s="1">
        <f>COUNTIF(Tabela1[NF],Tabela1[[#This Row],[NF]])</f>
        <v>0</v>
      </c>
      <c r="K1850" s="26">
        <f>Tabela1[[#This Row],[DT. VENCIMENTO]]</f>
        <v>46086</v>
      </c>
      <c r="N1850" s="14" t="str" cm="1">
        <f t="array" ref="N1850">_xlfn.XLOOKUP(TRIM(D1850),TRIM(DFC!A:A),DFC!A:A,"NÃO ESTÁ NA DFC")</f>
        <v xml:space="preserve">      PEÇAS</v>
      </c>
    </row>
    <row r="1851" spans="1:14" ht="15" customHeight="1" x14ac:dyDescent="0.3">
      <c r="A1851" s="19"/>
      <c r="B1851" s="21">
        <v>46086</v>
      </c>
      <c r="C1851" s="21" t="s">
        <v>15</v>
      </c>
      <c r="D1851" s="21" t="s">
        <v>19</v>
      </c>
      <c r="E1851" s="20"/>
      <c r="F1851" s="22" t="s">
        <v>483</v>
      </c>
      <c r="G1851" s="252">
        <v>2728.65</v>
      </c>
      <c r="I1851" s="1">
        <f>COUNTIF(Tabela1[NF],Tabela1[[#This Row],[NF]])</f>
        <v>0</v>
      </c>
      <c r="K1851" s="26">
        <f>Tabela1[[#This Row],[DT. VENCIMENTO]]</f>
        <v>46086</v>
      </c>
      <c r="N1851" s="14" t="str" cm="1">
        <f t="array" ref="N1851">_xlfn.XLOOKUP(TRIM(D1851),TRIM(DFC!A:A),DFC!A:A,"NÃO ESTÁ NA DFC")</f>
        <v xml:space="preserve">      PEÇAS</v>
      </c>
    </row>
    <row r="1852" spans="1:14" ht="15" customHeight="1" x14ac:dyDescent="0.3">
      <c r="A1852" s="19"/>
      <c r="B1852" s="21">
        <v>46086</v>
      </c>
      <c r="C1852" s="21" t="s">
        <v>15</v>
      </c>
      <c r="D1852" s="21" t="s">
        <v>29</v>
      </c>
      <c r="E1852" s="20"/>
      <c r="F1852" s="22" t="s">
        <v>149</v>
      </c>
      <c r="G1852" s="252">
        <v>2439.2399999999998</v>
      </c>
      <c r="I1852" s="1">
        <f>COUNTIF(Tabela1[NF],Tabela1[[#This Row],[NF]])</f>
        <v>0</v>
      </c>
      <c r="K1852" s="26">
        <f>Tabela1[[#This Row],[DT. VENCIMENTO]]</f>
        <v>46086</v>
      </c>
      <c r="N1852" s="14" t="str" cm="1">
        <f t="array" ref="N1852">_xlfn.XLOOKUP(TRIM(D1852),TRIM(DFC!A:A),DFC!A:A,"NÃO ESTÁ NA DFC")</f>
        <v xml:space="preserve">      FRETE DE SAÍDA</v>
      </c>
    </row>
    <row r="1853" spans="1:14" ht="15" customHeight="1" x14ac:dyDescent="0.3">
      <c r="A1853" s="19"/>
      <c r="B1853" s="21">
        <v>46086</v>
      </c>
      <c r="C1853" s="21" t="s">
        <v>15</v>
      </c>
      <c r="D1853" s="21" t="s">
        <v>19</v>
      </c>
      <c r="E1853" s="20" t="s">
        <v>583</v>
      </c>
      <c r="F1853" s="22" t="s">
        <v>103</v>
      </c>
      <c r="G1853" s="252">
        <v>19957.310000000001</v>
      </c>
      <c r="I1853" s="1">
        <f>COUNTIF(Tabela1[NF],Tabela1[[#This Row],[NF]])</f>
        <v>0</v>
      </c>
      <c r="K1853" s="26">
        <f>Tabela1[[#This Row],[DT. VENCIMENTO]]</f>
        <v>46086</v>
      </c>
      <c r="N1853" s="14" t="str" cm="1">
        <f t="array" ref="N1853">_xlfn.XLOOKUP(TRIM(D1853),TRIM(DFC!A:A),DFC!A:A,"NÃO ESTÁ NA DFC")</f>
        <v xml:space="preserve">      PEÇAS</v>
      </c>
    </row>
    <row r="1854" spans="1:14" ht="15" customHeight="1" x14ac:dyDescent="0.3">
      <c r="A1854" s="19"/>
      <c r="B1854" s="21">
        <v>46087</v>
      </c>
      <c r="C1854" s="21" t="s">
        <v>15</v>
      </c>
      <c r="D1854" s="21" t="s">
        <v>96</v>
      </c>
      <c r="E1854" s="20"/>
      <c r="F1854" s="22" t="s">
        <v>627</v>
      </c>
      <c r="G1854" s="252">
        <v>2.61</v>
      </c>
      <c r="I1854" s="1">
        <f>COUNTIF(Tabela1[NF],Tabela1[[#This Row],[NF]])</f>
        <v>0</v>
      </c>
      <c r="K1854" s="26">
        <f>Tabela1[[#This Row],[DT. VENCIMENTO]]</f>
        <v>46087</v>
      </c>
      <c r="N1854" s="14" t="str" cm="1">
        <f t="array" ref="N1854">_xlfn.XLOOKUP(TRIM(D1854),TRIM(DFC!A:A),DFC!A:A,"NÃO ESTÁ NA DFC")</f>
        <v xml:space="preserve">           JUROS CHEQUE ESPECIAL</v>
      </c>
    </row>
    <row r="1855" spans="1:14" ht="15" customHeight="1" x14ac:dyDescent="0.3">
      <c r="A1855" s="19"/>
      <c r="B1855" s="21">
        <v>46087</v>
      </c>
      <c r="C1855" s="21" t="s">
        <v>15</v>
      </c>
      <c r="D1855" s="21" t="s">
        <v>19</v>
      </c>
      <c r="E1855" s="28" t="s">
        <v>19</v>
      </c>
      <c r="F1855" s="22" t="s">
        <v>709</v>
      </c>
      <c r="G1855" s="252">
        <v>10000</v>
      </c>
      <c r="I1855" s="1">
        <f>COUNTIF(Tabela1[NF],Tabela1[[#This Row],[NF]])</f>
        <v>0</v>
      </c>
      <c r="K1855" s="26">
        <f>Tabela1[[#This Row],[DT. VENCIMENTO]]</f>
        <v>46087</v>
      </c>
      <c r="N1855" s="14" t="str" cm="1">
        <f t="array" ref="N1855">_xlfn.XLOOKUP(TRIM(D1855),TRIM(DFC!A:A),DFC!A:A,"NÃO ESTÁ NA DFC")</f>
        <v xml:space="preserve">      PEÇAS</v>
      </c>
    </row>
    <row r="1856" spans="1:14" ht="15" customHeight="1" x14ac:dyDescent="0.3">
      <c r="A1856" s="19"/>
      <c r="B1856" s="21">
        <v>46087</v>
      </c>
      <c r="C1856" s="21" t="s">
        <v>15</v>
      </c>
      <c r="D1856" s="21" t="s">
        <v>117</v>
      </c>
      <c r="E1856" s="20"/>
      <c r="F1856" s="22" t="s">
        <v>116</v>
      </c>
      <c r="G1856" s="252">
        <v>994.6</v>
      </c>
      <c r="I1856" s="1">
        <f>COUNTIF(Tabela1[NF],Tabela1[[#This Row],[NF]])</f>
        <v>0</v>
      </c>
      <c r="K1856" s="26">
        <f>Tabela1[[#This Row],[DT. VENCIMENTO]]</f>
        <v>46087</v>
      </c>
      <c r="N1856" s="14" t="str" cm="1">
        <f t="array" ref="N1856">_xlfn.XLOOKUP(TRIM(D1856),TRIM(DFC!A:A),DFC!A:A,"NÃO ESTÁ NA DFC")</f>
        <v xml:space="preserve">          SALÁRIOS</v>
      </c>
    </row>
    <row r="1857" spans="1:14" ht="15" customHeight="1" x14ac:dyDescent="0.3">
      <c r="A1857" s="19"/>
      <c r="B1857" s="21">
        <v>46087</v>
      </c>
      <c r="C1857" s="21" t="s">
        <v>15</v>
      </c>
      <c r="D1857" s="21" t="s">
        <v>117</v>
      </c>
      <c r="E1857" s="20"/>
      <c r="F1857" s="22" t="s">
        <v>581</v>
      </c>
      <c r="G1857" s="252">
        <v>1247.57</v>
      </c>
      <c r="I1857" s="1">
        <f>COUNTIF(Tabela1[NF],Tabela1[[#This Row],[NF]])</f>
        <v>0</v>
      </c>
      <c r="K1857" s="26">
        <f>Tabela1[[#This Row],[DT. VENCIMENTO]]</f>
        <v>46087</v>
      </c>
      <c r="N1857" s="14" t="str" cm="1">
        <f t="array" ref="N1857">_xlfn.XLOOKUP(TRIM(D1857),TRIM(DFC!A:A),DFC!A:A,"NÃO ESTÁ NA DFC")</f>
        <v xml:space="preserve">          SALÁRIOS</v>
      </c>
    </row>
    <row r="1858" spans="1:14" ht="15" customHeight="1" x14ac:dyDescent="0.3">
      <c r="A1858" s="19"/>
      <c r="B1858" s="21">
        <v>46087</v>
      </c>
      <c r="C1858" s="21" t="s">
        <v>15</v>
      </c>
      <c r="D1858" s="21" t="s">
        <v>117</v>
      </c>
      <c r="E1858" s="20"/>
      <c r="F1858" s="22" t="s">
        <v>696</v>
      </c>
      <c r="G1858" s="252">
        <v>1107.4000000000001</v>
      </c>
      <c r="I1858" s="1">
        <f>COUNTIF(Tabela1[NF],Tabela1[[#This Row],[NF]])</f>
        <v>0</v>
      </c>
      <c r="K1858" s="26">
        <f>Tabela1[[#This Row],[DT. VENCIMENTO]]</f>
        <v>46087</v>
      </c>
      <c r="N1858" s="14" t="str" cm="1">
        <f t="array" ref="N1858">_xlfn.XLOOKUP(TRIM(D1858),TRIM(DFC!A:A),DFC!A:A,"NÃO ESTÁ NA DFC")</f>
        <v xml:space="preserve">          SALÁRIOS</v>
      </c>
    </row>
    <row r="1859" spans="1:14" ht="15" customHeight="1" x14ac:dyDescent="0.3">
      <c r="A1859" s="19"/>
      <c r="B1859" s="21">
        <v>46087</v>
      </c>
      <c r="C1859" s="21" t="s">
        <v>15</v>
      </c>
      <c r="D1859" s="21" t="s">
        <v>117</v>
      </c>
      <c r="E1859" s="20"/>
      <c r="F1859" s="22" t="s">
        <v>319</v>
      </c>
      <c r="G1859" s="252">
        <v>1345.43</v>
      </c>
      <c r="I1859" s="1">
        <f>COUNTIF(Tabela1[NF],Tabela1[[#This Row],[NF]])</f>
        <v>0</v>
      </c>
      <c r="K1859" s="26">
        <f>Tabela1[[#This Row],[DT. VENCIMENTO]]</f>
        <v>46087</v>
      </c>
      <c r="N1859" s="14" t="str" cm="1">
        <f t="array" ref="N1859">_xlfn.XLOOKUP(TRIM(D1859),TRIM(DFC!A:A),DFC!A:A,"NÃO ESTÁ NA DFC")</f>
        <v xml:space="preserve">          SALÁRIOS</v>
      </c>
    </row>
    <row r="1860" spans="1:14" ht="15" customHeight="1" x14ac:dyDescent="0.3">
      <c r="A1860" s="19"/>
      <c r="B1860" s="21">
        <v>46090</v>
      </c>
      <c r="C1860" s="21" t="s">
        <v>15</v>
      </c>
      <c r="D1860" s="21" t="s">
        <v>117</v>
      </c>
      <c r="E1860" s="20"/>
      <c r="F1860" s="22" t="s">
        <v>595</v>
      </c>
      <c r="G1860" s="252">
        <v>1371.84</v>
      </c>
      <c r="I1860" s="1">
        <f>COUNTIF(Tabela1[NF],Tabela1[[#This Row],[NF]])</f>
        <v>0</v>
      </c>
      <c r="K1860" s="26">
        <f>Tabela1[[#This Row],[DT. VENCIMENTO]]</f>
        <v>46090</v>
      </c>
      <c r="N1860" s="14" t="str" cm="1">
        <f t="array" ref="N1860">_xlfn.XLOOKUP(TRIM(D1860),TRIM(DFC!A:A),DFC!A:A,"NÃO ESTÁ NA DFC")</f>
        <v xml:space="preserve">          SALÁRIOS</v>
      </c>
    </row>
    <row r="1861" spans="1:14" ht="15" customHeight="1" x14ac:dyDescent="0.3">
      <c r="A1861" s="19"/>
      <c r="B1861" s="21">
        <v>46090</v>
      </c>
      <c r="C1861" s="21" t="s">
        <v>15</v>
      </c>
      <c r="D1861" s="21" t="s">
        <v>117</v>
      </c>
      <c r="E1861" s="20"/>
      <c r="F1861" s="22" t="s">
        <v>629</v>
      </c>
      <c r="G1861" s="252">
        <v>533.78</v>
      </c>
      <c r="I1861" s="1">
        <f>COUNTIF(Tabela1[NF],Tabela1[[#This Row],[NF]])</f>
        <v>0</v>
      </c>
      <c r="K1861" s="26">
        <f>Tabela1[[#This Row],[DT. VENCIMENTO]]</f>
        <v>46090</v>
      </c>
      <c r="N1861" s="14" t="str" cm="1">
        <f t="array" ref="N1861">_xlfn.XLOOKUP(TRIM(D1861),TRIM(DFC!A:A),DFC!A:A,"NÃO ESTÁ NA DFC")</f>
        <v xml:space="preserve">          SALÁRIOS</v>
      </c>
    </row>
    <row r="1862" spans="1:14" ht="15" customHeight="1" x14ac:dyDescent="0.3">
      <c r="A1862" s="19"/>
      <c r="B1862" s="21">
        <v>46090</v>
      </c>
      <c r="C1862" s="21" t="s">
        <v>15</v>
      </c>
      <c r="D1862" s="21" t="s">
        <v>117</v>
      </c>
      <c r="E1862" s="20"/>
      <c r="F1862" s="22" t="s">
        <v>326</v>
      </c>
      <c r="G1862" s="252">
        <v>2470.41</v>
      </c>
      <c r="I1862" s="1">
        <f>COUNTIF(Tabela1[NF],Tabela1[[#This Row],[NF]])</f>
        <v>0</v>
      </c>
      <c r="K1862" s="26">
        <f>Tabela1[[#This Row],[DT. VENCIMENTO]]</f>
        <v>46090</v>
      </c>
      <c r="N1862" s="14" t="str" cm="1">
        <f t="array" ref="N1862">_xlfn.XLOOKUP(TRIM(D1862),TRIM(DFC!A:A),DFC!A:A,"NÃO ESTÁ NA DFC")</f>
        <v xml:space="preserve">          SALÁRIOS</v>
      </c>
    </row>
    <row r="1863" spans="1:14" ht="15" customHeight="1" x14ac:dyDescent="0.3">
      <c r="A1863" s="19"/>
      <c r="B1863" s="21">
        <v>46090</v>
      </c>
      <c r="C1863" s="21" t="s">
        <v>15</v>
      </c>
      <c r="D1863" s="21" t="s">
        <v>82</v>
      </c>
      <c r="E1863" s="20" t="s">
        <v>572</v>
      </c>
      <c r="F1863" s="22" t="s">
        <v>411</v>
      </c>
      <c r="G1863" s="252">
        <v>320</v>
      </c>
      <c r="I1863" s="1">
        <f>COUNTIF(Tabela1[NF],Tabela1[[#This Row],[NF]])</f>
        <v>0</v>
      </c>
      <c r="K1863" s="26">
        <f>Tabela1[[#This Row],[DT. VENCIMENTO]]</f>
        <v>46090</v>
      </c>
      <c r="N1863" s="14" t="str" cm="1">
        <f t="array" ref="N1863">_xlfn.XLOOKUP(TRIM(D1863),TRIM(DFC!A:A),DFC!A:A,"NÃO ESTÁ NA DFC")</f>
        <v xml:space="preserve">          DIÁRIAS</v>
      </c>
    </row>
    <row r="1864" spans="1:14" ht="15" customHeight="1" x14ac:dyDescent="0.3">
      <c r="A1864" s="19"/>
      <c r="B1864" s="21">
        <v>46090</v>
      </c>
      <c r="C1864" s="21" t="s">
        <v>15</v>
      </c>
      <c r="D1864" s="84" t="s">
        <v>117</v>
      </c>
      <c r="E1864" s="81"/>
      <c r="F1864" s="22" t="s">
        <v>320</v>
      </c>
      <c r="G1864" s="252">
        <v>4152.2299999999996</v>
      </c>
      <c r="I1864" s="1">
        <f>COUNTIF(Tabela1[NF],Tabela1[[#This Row],[NF]])</f>
        <v>0</v>
      </c>
      <c r="K1864" s="26">
        <f>Tabela1[[#This Row],[DT. VENCIMENTO]]</f>
        <v>46090</v>
      </c>
      <c r="N1864" s="14" t="str" cm="1">
        <f t="array" ref="N1864">_xlfn.XLOOKUP(TRIM(D1864),TRIM(DFC!A:A),DFC!A:A,"NÃO ESTÁ NA DFC")</f>
        <v xml:space="preserve">          SALÁRIOS</v>
      </c>
    </row>
    <row r="1865" spans="1:14" ht="15" customHeight="1" x14ac:dyDescent="0.3">
      <c r="A1865" s="19"/>
      <c r="B1865" s="21">
        <v>46090</v>
      </c>
      <c r="C1865" s="21" t="s">
        <v>15</v>
      </c>
      <c r="D1865" s="21" t="s">
        <v>117</v>
      </c>
      <c r="E1865" s="20"/>
      <c r="F1865" s="22" t="s">
        <v>643</v>
      </c>
      <c r="G1865" s="252">
        <v>1178.3399999999999</v>
      </c>
      <c r="I1865" s="1">
        <f>COUNTIF(Tabela1[NF],Tabela1[[#This Row],[NF]])</f>
        <v>0</v>
      </c>
      <c r="K1865" s="26">
        <f>Tabela1[[#This Row],[DT. VENCIMENTO]]</f>
        <v>46090</v>
      </c>
      <c r="N1865" s="14" t="str" cm="1">
        <f t="array" ref="N1865">_xlfn.XLOOKUP(TRIM(D1865),TRIM(DFC!A:A),DFC!A:A,"NÃO ESTÁ NA DFC")</f>
        <v xml:space="preserve">          SALÁRIOS</v>
      </c>
    </row>
    <row r="1866" spans="1:14" ht="15" customHeight="1" x14ac:dyDescent="0.3">
      <c r="A1866" s="19"/>
      <c r="B1866" s="21">
        <v>46090</v>
      </c>
      <c r="C1866" s="21" t="s">
        <v>15</v>
      </c>
      <c r="D1866" s="21" t="s">
        <v>117</v>
      </c>
      <c r="E1866" s="20"/>
      <c r="F1866" s="22" t="s">
        <v>632</v>
      </c>
      <c r="G1866" s="252">
        <v>1538.62</v>
      </c>
      <c r="I1866" s="1">
        <f>COUNTIF(Tabela1[NF],Tabela1[[#This Row],[NF]])</f>
        <v>0</v>
      </c>
      <c r="K1866" s="26">
        <f>Tabela1[[#This Row],[DT. VENCIMENTO]]</f>
        <v>46090</v>
      </c>
      <c r="N1866" s="14" t="str" cm="1">
        <f t="array" ref="N1866">_xlfn.XLOOKUP(TRIM(D1866),TRIM(DFC!A:A),DFC!A:A,"NÃO ESTÁ NA DFC")</f>
        <v xml:space="preserve">          SALÁRIOS</v>
      </c>
    </row>
    <row r="1867" spans="1:14" ht="15" customHeight="1" x14ac:dyDescent="0.3">
      <c r="A1867" s="19"/>
      <c r="B1867" s="21">
        <v>46090</v>
      </c>
      <c r="C1867" s="21" t="s">
        <v>15</v>
      </c>
      <c r="D1867" s="21" t="s">
        <v>117</v>
      </c>
      <c r="E1867" s="20"/>
      <c r="F1867" s="22" t="s">
        <v>322</v>
      </c>
      <c r="G1867" s="252">
        <v>1416.05</v>
      </c>
      <c r="I1867" s="1">
        <f>COUNTIF(Tabela1[NF],Tabela1[[#This Row],[NF]])</f>
        <v>0</v>
      </c>
      <c r="K1867" s="26">
        <f>Tabela1[[#This Row],[DT. VENCIMENTO]]</f>
        <v>46090</v>
      </c>
      <c r="N1867" s="14" t="str" cm="1">
        <f t="array" ref="N1867">_xlfn.XLOOKUP(TRIM(D1867),TRIM(DFC!A:A),DFC!A:A,"NÃO ESTÁ NA DFC")</f>
        <v xml:space="preserve">          SALÁRIOS</v>
      </c>
    </row>
    <row r="1868" spans="1:14" ht="15" customHeight="1" x14ac:dyDescent="0.3">
      <c r="A1868" s="19"/>
      <c r="B1868" s="21">
        <v>46090</v>
      </c>
      <c r="C1868" s="21" t="s">
        <v>15</v>
      </c>
      <c r="D1868" s="21" t="s">
        <v>117</v>
      </c>
      <c r="E1868" s="20"/>
      <c r="F1868" s="22" t="s">
        <v>327</v>
      </c>
      <c r="G1868" s="252">
        <v>2429.8000000000002</v>
      </c>
      <c r="I1868" s="1">
        <f>COUNTIF(Tabela1[NF],Tabela1[[#This Row],[NF]])</f>
        <v>0</v>
      </c>
      <c r="K1868" s="26">
        <f>Tabela1[[#This Row],[DT. VENCIMENTO]]</f>
        <v>46090</v>
      </c>
      <c r="N1868" s="14" t="str" cm="1">
        <f t="array" ref="N1868">_xlfn.XLOOKUP(TRIM(D1868),TRIM(DFC!A:A),DFC!A:A,"NÃO ESTÁ NA DFC")</f>
        <v xml:space="preserve">          SALÁRIOS</v>
      </c>
    </row>
    <row r="1869" spans="1:14" ht="15" customHeight="1" x14ac:dyDescent="0.3">
      <c r="A1869" s="19"/>
      <c r="B1869" s="21">
        <v>46090</v>
      </c>
      <c r="C1869" s="21" t="s">
        <v>15</v>
      </c>
      <c r="D1869" s="21" t="s">
        <v>82</v>
      </c>
      <c r="E1869" s="20"/>
      <c r="F1869" s="22" t="s">
        <v>710</v>
      </c>
      <c r="G1869" s="252">
        <v>300</v>
      </c>
      <c r="I1869" s="1">
        <f>COUNTIF(Tabela1[NF],Tabela1[[#This Row],[NF]])</f>
        <v>0</v>
      </c>
      <c r="K1869" s="26">
        <f>Tabela1[[#This Row],[DT. VENCIMENTO]]</f>
        <v>46090</v>
      </c>
      <c r="N1869" s="14" t="str" cm="1">
        <f t="array" ref="N1869">_xlfn.XLOOKUP(TRIM(D1869),TRIM(DFC!A:A),DFC!A:A,"NÃO ESTÁ NA DFC")</f>
        <v xml:space="preserve">          DIÁRIAS</v>
      </c>
    </row>
    <row r="1870" spans="1:14" ht="15" customHeight="1" x14ac:dyDescent="0.3">
      <c r="A1870" s="19"/>
      <c r="B1870" s="21">
        <v>46090</v>
      </c>
      <c r="C1870" s="21" t="s">
        <v>15</v>
      </c>
      <c r="D1870" s="21" t="s">
        <v>82</v>
      </c>
      <c r="E1870" s="20"/>
      <c r="F1870" s="22" t="s">
        <v>697</v>
      </c>
      <c r="G1870" s="252">
        <v>200</v>
      </c>
      <c r="I1870" s="1">
        <f>COUNTIF(Tabela1[NF],Tabela1[[#This Row],[NF]])</f>
        <v>0</v>
      </c>
      <c r="K1870" s="26">
        <f>Tabela1[[#This Row],[DT. VENCIMENTO]]</f>
        <v>46090</v>
      </c>
      <c r="N1870" s="14" t="str" cm="1">
        <f t="array" ref="N1870">_xlfn.XLOOKUP(TRIM(D1870),TRIM(DFC!A:A),DFC!A:A,"NÃO ESTÁ NA DFC")</f>
        <v xml:space="preserve">          DIÁRIAS</v>
      </c>
    </row>
    <row r="1871" spans="1:14" ht="15" customHeight="1" x14ac:dyDescent="0.3">
      <c r="A1871" s="19"/>
      <c r="B1871" s="21">
        <v>46090</v>
      </c>
      <c r="C1871" s="21" t="s">
        <v>15</v>
      </c>
      <c r="D1871" s="21" t="s">
        <v>111</v>
      </c>
      <c r="E1871" s="20"/>
      <c r="F1871" s="22" t="s">
        <v>620</v>
      </c>
      <c r="G1871" s="252">
        <v>50</v>
      </c>
      <c r="I1871" s="1">
        <f>COUNTIF(Tabela1[NF],Tabela1[[#This Row],[NF]])</f>
        <v>0</v>
      </c>
      <c r="K1871" s="26">
        <f>Tabela1[[#This Row],[DT. VENCIMENTO]]</f>
        <v>46090</v>
      </c>
      <c r="N1871" s="14" t="str" cm="1">
        <f t="array" ref="N1871">_xlfn.XLOOKUP(TRIM(D1871),TRIM(DFC!A:A),DFC!A:A,"NÃO ESTÁ NA DFC")</f>
        <v xml:space="preserve">          TX. BANCÁRIA</v>
      </c>
    </row>
    <row r="1872" spans="1:14" ht="15" customHeight="1" x14ac:dyDescent="0.3">
      <c r="A1872" s="19"/>
      <c r="B1872" s="21">
        <v>46090</v>
      </c>
      <c r="C1872" s="21" t="s">
        <v>15</v>
      </c>
      <c r="D1872" s="21" t="s">
        <v>111</v>
      </c>
      <c r="E1872" s="20"/>
      <c r="F1872" s="22" t="s">
        <v>114</v>
      </c>
      <c r="G1872" s="252">
        <v>19.96</v>
      </c>
      <c r="I1872" s="1">
        <f>COUNTIF(Tabela1[NF],Tabela1[[#This Row],[NF]])</f>
        <v>0</v>
      </c>
      <c r="K1872" s="26">
        <f>Tabela1[[#This Row],[DT. VENCIMENTO]]</f>
        <v>46090</v>
      </c>
      <c r="N1872" s="14" t="str" cm="1">
        <f t="array" ref="N1872">_xlfn.XLOOKUP(TRIM(D1872),TRIM(DFC!A:A),DFC!A:A,"NÃO ESTÁ NA DFC")</f>
        <v xml:space="preserve">          TX. BANCÁRIA</v>
      </c>
    </row>
    <row r="1873" spans="1:14" ht="15" customHeight="1" x14ac:dyDescent="0.3">
      <c r="A1873" s="19"/>
      <c r="B1873" s="21">
        <v>46090</v>
      </c>
      <c r="C1873" s="21" t="s">
        <v>15</v>
      </c>
      <c r="D1873" s="21" t="s">
        <v>111</v>
      </c>
      <c r="E1873" s="20"/>
      <c r="F1873" s="22" t="s">
        <v>620</v>
      </c>
      <c r="G1873" s="252">
        <v>50</v>
      </c>
      <c r="I1873" s="1">
        <f>COUNTIF(Tabela1[NF],Tabela1[[#This Row],[NF]])</f>
        <v>0</v>
      </c>
      <c r="K1873" s="26">
        <f>Tabela1[[#This Row],[DT. VENCIMENTO]]</f>
        <v>46090</v>
      </c>
      <c r="N1873" s="14" t="str" cm="1">
        <f t="array" ref="N1873">_xlfn.XLOOKUP(TRIM(D1873),TRIM(DFC!A:A),DFC!A:A,"NÃO ESTÁ NA DFC")</f>
        <v xml:space="preserve">          TX. BANCÁRIA</v>
      </c>
    </row>
    <row r="1874" spans="1:14" ht="15" customHeight="1" x14ac:dyDescent="0.3">
      <c r="A1874" s="19"/>
      <c r="B1874" s="21">
        <v>46090</v>
      </c>
      <c r="C1874" s="21" t="s">
        <v>15</v>
      </c>
      <c r="D1874" s="21" t="s">
        <v>19</v>
      </c>
      <c r="E1874" s="20"/>
      <c r="F1874" s="22" t="s">
        <v>344</v>
      </c>
      <c r="G1874" s="252">
        <v>16219.27</v>
      </c>
      <c r="I1874" s="1">
        <f>COUNTIF(Tabela1[NF],Tabela1[[#This Row],[NF]])</f>
        <v>0</v>
      </c>
      <c r="K1874" s="26">
        <f>Tabela1[[#This Row],[DT. VENCIMENTO]]</f>
        <v>46090</v>
      </c>
      <c r="N1874" s="14" t="str" cm="1">
        <f t="array" ref="N1874">_xlfn.XLOOKUP(TRIM(D1874),TRIM(DFC!A:A),DFC!A:A,"NÃO ESTÁ NA DFC")</f>
        <v xml:space="preserve">      PEÇAS</v>
      </c>
    </row>
    <row r="1875" spans="1:14" ht="15" customHeight="1" x14ac:dyDescent="0.3">
      <c r="A1875" s="19"/>
      <c r="B1875" s="21">
        <v>46090</v>
      </c>
      <c r="C1875" s="21" t="s">
        <v>15</v>
      </c>
      <c r="D1875" s="21" t="s">
        <v>19</v>
      </c>
      <c r="E1875" s="20" t="s">
        <v>711</v>
      </c>
      <c r="F1875" s="22" t="s">
        <v>712</v>
      </c>
      <c r="G1875" s="252">
        <v>459</v>
      </c>
      <c r="I1875" s="1">
        <f>COUNTIF(Tabela1[NF],Tabela1[[#This Row],[NF]])</f>
        <v>0</v>
      </c>
      <c r="K1875" s="26">
        <f>Tabela1[[#This Row],[DT. VENCIMENTO]]</f>
        <v>46090</v>
      </c>
      <c r="N1875" s="14" t="str" cm="1">
        <f t="array" ref="N1875">_xlfn.XLOOKUP(TRIM(D1875),TRIM(DFC!A:A),DFC!A:A,"NÃO ESTÁ NA DFC")</f>
        <v xml:space="preserve">      PEÇAS</v>
      </c>
    </row>
    <row r="1876" spans="1:14" ht="15" customHeight="1" x14ac:dyDescent="0.3">
      <c r="A1876" s="19"/>
      <c r="B1876" s="21">
        <v>46090</v>
      </c>
      <c r="C1876" s="21" t="s">
        <v>15</v>
      </c>
      <c r="D1876" s="21" t="s">
        <v>19</v>
      </c>
      <c r="E1876" s="20" t="s">
        <v>711</v>
      </c>
      <c r="F1876" s="22" t="s">
        <v>713</v>
      </c>
      <c r="G1876" s="252">
        <v>808</v>
      </c>
      <c r="I1876" s="1">
        <f>COUNTIF(Tabela1[NF],Tabela1[[#This Row],[NF]])</f>
        <v>0</v>
      </c>
      <c r="K1876" s="26">
        <f>Tabela1[[#This Row],[DT. VENCIMENTO]]</f>
        <v>46090</v>
      </c>
      <c r="N1876" s="14" t="str" cm="1">
        <f t="array" ref="N1876">_xlfn.XLOOKUP(TRIM(D1876),TRIM(DFC!A:A),DFC!A:A,"NÃO ESTÁ NA DFC")</f>
        <v xml:space="preserve">      PEÇAS</v>
      </c>
    </row>
    <row r="1877" spans="1:14" ht="15" customHeight="1" x14ac:dyDescent="0.3">
      <c r="A1877" s="19"/>
      <c r="B1877" s="21">
        <v>46090</v>
      </c>
      <c r="C1877" s="21" t="s">
        <v>15</v>
      </c>
      <c r="D1877" s="21" t="s">
        <v>19</v>
      </c>
      <c r="E1877" s="20" t="s">
        <v>711</v>
      </c>
      <c r="F1877" s="22" t="s">
        <v>714</v>
      </c>
      <c r="G1877" s="252">
        <v>439.37</v>
      </c>
      <c r="I1877" s="1">
        <f>COUNTIF(Tabela1[NF],Tabela1[[#This Row],[NF]])</f>
        <v>0</v>
      </c>
      <c r="K1877" s="26">
        <f>Tabela1[[#This Row],[DT. VENCIMENTO]]</f>
        <v>46090</v>
      </c>
      <c r="N1877" s="14" t="str" cm="1">
        <f t="array" ref="N1877">_xlfn.XLOOKUP(TRIM(D1877),TRIM(DFC!A:A),DFC!A:A,"NÃO ESTÁ NA DFC")</f>
        <v xml:space="preserve">      PEÇAS</v>
      </c>
    </row>
    <row r="1878" spans="1:14" ht="15" customHeight="1" x14ac:dyDescent="0.3">
      <c r="A1878" s="19"/>
      <c r="B1878" s="21">
        <v>46090</v>
      </c>
      <c r="C1878" s="21" t="s">
        <v>15</v>
      </c>
      <c r="D1878" s="21" t="s">
        <v>60</v>
      </c>
      <c r="E1878" s="20" t="s">
        <v>715</v>
      </c>
      <c r="F1878" s="22" t="s">
        <v>147</v>
      </c>
      <c r="G1878" s="252">
        <v>418.33</v>
      </c>
      <c r="I1878" s="1">
        <f>COUNTIF(Tabela1[NF],Tabela1[[#This Row],[NF]])</f>
        <v>0</v>
      </c>
      <c r="K1878" s="26">
        <f>Tabela1[[#This Row],[DT. VENCIMENTO]]</f>
        <v>46090</v>
      </c>
      <c r="N1878" s="14" t="str" cm="1">
        <f t="array" ref="N1878">_xlfn.XLOOKUP(TRIM(D1878),TRIM(DFC!A:A),DFC!A:A,"NÃO ESTÁ NA DFC")</f>
        <v xml:space="preserve">          ALUGUEL</v>
      </c>
    </row>
    <row r="1879" spans="1:14" ht="15" customHeight="1" x14ac:dyDescent="0.3">
      <c r="A1879" s="19"/>
      <c r="B1879" s="21">
        <v>46090</v>
      </c>
      <c r="C1879" s="21" t="s">
        <v>15</v>
      </c>
      <c r="D1879" s="21" t="s">
        <v>19</v>
      </c>
      <c r="E1879" s="20" t="s">
        <v>573</v>
      </c>
      <c r="F1879" s="22" t="s">
        <v>483</v>
      </c>
      <c r="G1879" s="252">
        <v>4429.71</v>
      </c>
      <c r="I1879" s="1">
        <f>COUNTIF(Tabela1[NF],Tabela1[[#This Row],[NF]])</f>
        <v>0</v>
      </c>
      <c r="K1879" s="26">
        <f>Tabela1[[#This Row],[DT. VENCIMENTO]]</f>
        <v>46090</v>
      </c>
      <c r="N1879" s="14" t="str" cm="1">
        <f t="array" ref="N1879">_xlfn.XLOOKUP(TRIM(D1879),TRIM(DFC!A:A),DFC!A:A,"NÃO ESTÁ NA DFC")</f>
        <v xml:space="preserve">      PEÇAS</v>
      </c>
    </row>
    <row r="1880" spans="1:14" ht="15" customHeight="1" x14ac:dyDescent="0.3">
      <c r="A1880" s="19"/>
      <c r="B1880" s="21">
        <v>46090</v>
      </c>
      <c r="C1880" s="21" t="s">
        <v>15</v>
      </c>
      <c r="D1880" s="21" t="s">
        <v>29</v>
      </c>
      <c r="E1880" s="20" t="s">
        <v>716</v>
      </c>
      <c r="F1880" s="22" t="s">
        <v>467</v>
      </c>
      <c r="G1880" s="252">
        <v>369.05</v>
      </c>
      <c r="I1880" s="1">
        <f>COUNTIF(Tabela1[NF],Tabela1[[#This Row],[NF]])</f>
        <v>0</v>
      </c>
      <c r="K1880" s="26">
        <f>Tabela1[[#This Row],[DT. VENCIMENTO]]</f>
        <v>46090</v>
      </c>
      <c r="N1880" s="14" t="str" cm="1">
        <f t="array" ref="N1880">_xlfn.XLOOKUP(TRIM(D1880),TRIM(DFC!A:A),DFC!A:A,"NÃO ESTÁ NA DFC")</f>
        <v xml:space="preserve">      FRETE DE SAÍDA</v>
      </c>
    </row>
    <row r="1881" spans="1:14" ht="15" customHeight="1" x14ac:dyDescent="0.3">
      <c r="A1881" s="19"/>
      <c r="B1881" s="21">
        <v>46090</v>
      </c>
      <c r="C1881" s="21" t="s">
        <v>15</v>
      </c>
      <c r="D1881" s="21" t="s">
        <v>29</v>
      </c>
      <c r="E1881" s="20" t="s">
        <v>716</v>
      </c>
      <c r="F1881" s="22" t="s">
        <v>467</v>
      </c>
      <c r="G1881" s="252">
        <v>96.45</v>
      </c>
      <c r="I1881" s="1">
        <f>COUNTIF(Tabela1[NF],Tabela1[[#This Row],[NF]])</f>
        <v>0</v>
      </c>
      <c r="K1881" s="26">
        <f>Tabela1[[#This Row],[DT. VENCIMENTO]]</f>
        <v>46090</v>
      </c>
      <c r="N1881" s="14" t="str" cm="1">
        <f t="array" ref="N1881">_xlfn.XLOOKUP(TRIM(D1881),TRIM(DFC!A:A),DFC!A:A,"NÃO ESTÁ NA DFC")</f>
        <v xml:space="preserve">      FRETE DE SAÍDA</v>
      </c>
    </row>
    <row r="1882" spans="1:14" ht="15" customHeight="1" x14ac:dyDescent="0.3">
      <c r="A1882" s="19"/>
      <c r="B1882" s="21">
        <v>46090</v>
      </c>
      <c r="C1882" s="21" t="s">
        <v>15</v>
      </c>
      <c r="D1882" s="21" t="s">
        <v>19</v>
      </c>
      <c r="E1882" s="20"/>
      <c r="F1882" s="22" t="s">
        <v>301</v>
      </c>
      <c r="G1882" s="252">
        <v>2930.26</v>
      </c>
      <c r="I1882" s="1">
        <f>COUNTIF(Tabela1[NF],Tabela1[[#This Row],[NF]])</f>
        <v>0</v>
      </c>
      <c r="K1882" s="26">
        <f>Tabela1[[#This Row],[DT. VENCIMENTO]]</f>
        <v>46090</v>
      </c>
      <c r="N1882" s="14" t="str" cm="1">
        <f t="array" ref="N1882">_xlfn.XLOOKUP(TRIM(D1882),TRIM(DFC!A:A),DFC!A:A,"NÃO ESTÁ NA DFC")</f>
        <v xml:space="preserve">      PEÇAS</v>
      </c>
    </row>
    <row r="1883" spans="1:14" ht="15" customHeight="1" x14ac:dyDescent="0.3">
      <c r="A1883" s="19"/>
      <c r="B1883" s="21">
        <v>46090</v>
      </c>
      <c r="C1883" s="21" t="s">
        <v>15</v>
      </c>
      <c r="D1883" s="21" t="s">
        <v>19</v>
      </c>
      <c r="E1883" s="20"/>
      <c r="F1883" s="22" t="s">
        <v>341</v>
      </c>
      <c r="G1883" s="252">
        <v>156.62</v>
      </c>
      <c r="I1883" s="1">
        <f>COUNTIF(Tabela1[NF],Tabela1[[#This Row],[NF]])</f>
        <v>0</v>
      </c>
      <c r="K1883" s="26">
        <f>Tabela1[[#This Row],[DT. VENCIMENTO]]</f>
        <v>46090</v>
      </c>
      <c r="N1883" s="14" t="str" cm="1">
        <f t="array" ref="N1883">_xlfn.XLOOKUP(TRIM(D1883),TRIM(DFC!A:A),DFC!A:A,"NÃO ESTÁ NA DFC")</f>
        <v xml:space="preserve">      PEÇAS</v>
      </c>
    </row>
    <row r="1884" spans="1:14" ht="15" customHeight="1" x14ac:dyDescent="0.3">
      <c r="A1884" s="19"/>
      <c r="B1884" s="21">
        <v>46090</v>
      </c>
      <c r="C1884" s="21" t="s">
        <v>15</v>
      </c>
      <c r="D1884" s="21" t="s">
        <v>37</v>
      </c>
      <c r="E1884" s="20" t="s">
        <v>717</v>
      </c>
      <c r="F1884" s="22" t="s">
        <v>329</v>
      </c>
      <c r="G1884" s="252">
        <v>466.62</v>
      </c>
      <c r="I1884" s="1">
        <f>COUNTIF(Tabela1[NF],Tabela1[[#This Row],[NF]])</f>
        <v>0</v>
      </c>
      <c r="K1884" s="26">
        <f>Tabela1[[#This Row],[DT. VENCIMENTO]]</f>
        <v>46090</v>
      </c>
      <c r="N1884" s="14" t="str" cm="1">
        <f t="array" ref="N1884">_xlfn.XLOOKUP(TRIM(D1884),TRIM(DFC!A:A),DFC!A:A,"NÃO ESTÁ NA DFC")</f>
        <v xml:space="preserve">          MATERIAL DE ESCRITÓRIO</v>
      </c>
    </row>
    <row r="1885" spans="1:14" ht="15" customHeight="1" x14ac:dyDescent="0.3">
      <c r="A1885" s="19"/>
      <c r="B1885" s="21">
        <v>46090</v>
      </c>
      <c r="C1885" s="21" t="s">
        <v>15</v>
      </c>
      <c r="D1885" s="21" t="s">
        <v>19</v>
      </c>
      <c r="E1885" s="20"/>
      <c r="F1885" s="22" t="s">
        <v>301</v>
      </c>
      <c r="G1885" s="252">
        <v>5445.8</v>
      </c>
      <c r="I1885" s="1">
        <f>COUNTIF(Tabela1[NF],Tabela1[[#This Row],[NF]])</f>
        <v>0</v>
      </c>
      <c r="K1885" s="26">
        <f>Tabela1[[#This Row],[DT. VENCIMENTO]]</f>
        <v>46090</v>
      </c>
      <c r="N1885" s="14" t="str" cm="1">
        <f t="array" ref="N1885">_xlfn.XLOOKUP(TRIM(D1885),TRIM(DFC!A:A),DFC!A:A,"NÃO ESTÁ NA DFC")</f>
        <v xml:space="preserve">      PEÇAS</v>
      </c>
    </row>
    <row r="1886" spans="1:14" ht="15" customHeight="1" x14ac:dyDescent="0.3">
      <c r="A1886" s="19"/>
      <c r="B1886" s="21">
        <v>46090</v>
      </c>
      <c r="C1886" s="21" t="s">
        <v>15</v>
      </c>
      <c r="D1886" s="21" t="s">
        <v>19</v>
      </c>
      <c r="E1886" s="20"/>
      <c r="F1886" s="22" t="s">
        <v>297</v>
      </c>
      <c r="G1886" s="252">
        <v>5508.25</v>
      </c>
      <c r="I1886" s="1">
        <f>COUNTIF(Tabela1[NF],Tabela1[[#This Row],[NF]])</f>
        <v>0</v>
      </c>
      <c r="K1886" s="26">
        <f>Tabela1[[#This Row],[DT. VENCIMENTO]]</f>
        <v>46090</v>
      </c>
      <c r="N1886" s="14" t="str" cm="1">
        <f t="array" ref="N1886">_xlfn.XLOOKUP(TRIM(D1886),TRIM(DFC!A:A),DFC!A:A,"NÃO ESTÁ NA DFC")</f>
        <v xml:space="preserve">      PEÇAS</v>
      </c>
    </row>
    <row r="1887" spans="1:14" ht="15" customHeight="1" x14ac:dyDescent="0.3">
      <c r="A1887" s="19"/>
      <c r="B1887" s="21">
        <v>46090</v>
      </c>
      <c r="C1887" s="21" t="s">
        <v>15</v>
      </c>
      <c r="D1887" s="21" t="s">
        <v>19</v>
      </c>
      <c r="E1887" s="20"/>
      <c r="F1887" s="22" t="s">
        <v>455</v>
      </c>
      <c r="G1887" s="252">
        <v>1907.4</v>
      </c>
      <c r="I1887" s="1">
        <f>COUNTIF(Tabela1[NF],Tabela1[[#This Row],[NF]])</f>
        <v>0</v>
      </c>
      <c r="K1887" s="26">
        <f>Tabela1[[#This Row],[DT. VENCIMENTO]]</f>
        <v>46090</v>
      </c>
      <c r="N1887" s="14" t="str" cm="1">
        <f t="array" ref="N1887">_xlfn.XLOOKUP(TRIM(D1887),TRIM(DFC!A:A),DFC!A:A,"NÃO ESTÁ NA DFC")</f>
        <v xml:space="preserve">      PEÇAS</v>
      </c>
    </row>
    <row r="1888" spans="1:14" ht="15" customHeight="1" x14ac:dyDescent="0.3">
      <c r="A1888" s="19"/>
      <c r="B1888" s="21">
        <v>46090</v>
      </c>
      <c r="C1888" s="21" t="s">
        <v>15</v>
      </c>
      <c r="D1888" s="21" t="s">
        <v>19</v>
      </c>
      <c r="E1888" s="20"/>
      <c r="F1888" s="22" t="s">
        <v>228</v>
      </c>
      <c r="G1888" s="252">
        <v>3024.7</v>
      </c>
      <c r="I1888" s="1">
        <f>COUNTIF(Tabela1[NF],Tabela1[[#This Row],[NF]])</f>
        <v>0</v>
      </c>
      <c r="K1888" s="26">
        <f>Tabela1[[#This Row],[DT. VENCIMENTO]]</f>
        <v>46090</v>
      </c>
      <c r="N1888" s="14" t="str" cm="1">
        <f t="array" ref="N1888">_xlfn.XLOOKUP(TRIM(D1888),TRIM(DFC!A:A),DFC!A:A,"NÃO ESTÁ NA DFC")</f>
        <v xml:space="preserve">      PEÇAS</v>
      </c>
    </row>
    <row r="1889" spans="1:14" ht="15" customHeight="1" x14ac:dyDescent="0.3">
      <c r="A1889" s="19"/>
      <c r="B1889" s="21">
        <v>46090</v>
      </c>
      <c r="C1889" s="21" t="s">
        <v>15</v>
      </c>
      <c r="D1889" s="21" t="s">
        <v>19</v>
      </c>
      <c r="E1889" s="20"/>
      <c r="F1889" s="22" t="s">
        <v>228</v>
      </c>
      <c r="G1889" s="252">
        <v>2299.91</v>
      </c>
      <c r="I1889" s="1">
        <f>COUNTIF(Tabela1[NF],Tabela1[[#This Row],[NF]])</f>
        <v>0</v>
      </c>
      <c r="K1889" s="26">
        <f>Tabela1[[#This Row],[DT. VENCIMENTO]]</f>
        <v>46090</v>
      </c>
      <c r="N1889" s="14" t="str" cm="1">
        <f t="array" ref="N1889">_xlfn.XLOOKUP(TRIM(D1889),TRIM(DFC!A:A),DFC!A:A,"NÃO ESTÁ NA DFC")</f>
        <v xml:space="preserve">      PEÇAS</v>
      </c>
    </row>
    <row r="1890" spans="1:14" ht="15" customHeight="1" x14ac:dyDescent="0.3">
      <c r="A1890" s="19"/>
      <c r="B1890" s="21">
        <v>46090</v>
      </c>
      <c r="C1890" s="21" t="s">
        <v>15</v>
      </c>
      <c r="D1890" s="21" t="s">
        <v>19</v>
      </c>
      <c r="E1890" s="20"/>
      <c r="F1890" s="22" t="s">
        <v>228</v>
      </c>
      <c r="G1890" s="252">
        <v>5968.71</v>
      </c>
      <c r="I1890" s="1">
        <f>COUNTIF(Tabela1[NF],Tabela1[[#This Row],[NF]])</f>
        <v>0</v>
      </c>
      <c r="K1890" s="26">
        <f>Tabela1[[#This Row],[DT. VENCIMENTO]]</f>
        <v>46090</v>
      </c>
      <c r="N1890" s="14" t="str" cm="1">
        <f t="array" ref="N1890">_xlfn.XLOOKUP(TRIM(D1890),TRIM(DFC!A:A),DFC!A:A,"NÃO ESTÁ NA DFC")</f>
        <v xml:space="preserve">      PEÇAS</v>
      </c>
    </row>
    <row r="1891" spans="1:14" ht="15" customHeight="1" x14ac:dyDescent="0.3">
      <c r="A1891" s="19"/>
      <c r="B1891" s="21">
        <v>46090</v>
      </c>
      <c r="C1891" s="21" t="s">
        <v>15</v>
      </c>
      <c r="D1891" s="21" t="s">
        <v>19</v>
      </c>
      <c r="E1891" s="20"/>
      <c r="F1891" s="22" t="s">
        <v>228</v>
      </c>
      <c r="G1891" s="252">
        <v>1522.38</v>
      </c>
      <c r="I1891" s="1">
        <f>COUNTIF(Tabela1[NF],Tabela1[[#This Row],[NF]])</f>
        <v>0</v>
      </c>
      <c r="K1891" s="26">
        <f>Tabela1[[#This Row],[DT. VENCIMENTO]]</f>
        <v>46090</v>
      </c>
      <c r="N1891" s="14" t="str" cm="1">
        <f t="array" ref="N1891">_xlfn.XLOOKUP(TRIM(D1891),TRIM(DFC!A:A),DFC!A:A,"NÃO ESTÁ NA DFC")</f>
        <v xml:space="preserve">      PEÇAS</v>
      </c>
    </row>
    <row r="1892" spans="1:14" ht="15" customHeight="1" x14ac:dyDescent="0.3">
      <c r="A1892" s="19"/>
      <c r="B1892" s="21">
        <v>46090</v>
      </c>
      <c r="C1892" s="21" t="s">
        <v>15</v>
      </c>
      <c r="D1892" s="21" t="s">
        <v>19</v>
      </c>
      <c r="E1892" s="20"/>
      <c r="F1892" s="22" t="s">
        <v>297</v>
      </c>
      <c r="G1892" s="252">
        <v>1858.72</v>
      </c>
      <c r="I1892" s="1">
        <f>COUNTIF(Tabela1[NF],Tabela1[[#This Row],[NF]])</f>
        <v>0</v>
      </c>
      <c r="K1892" s="26">
        <f>Tabela1[[#This Row],[DT. VENCIMENTO]]</f>
        <v>46090</v>
      </c>
      <c r="N1892" s="14" t="str" cm="1">
        <f t="array" ref="N1892">_xlfn.XLOOKUP(TRIM(D1892),TRIM(DFC!A:A),DFC!A:A,"NÃO ESTÁ NA DFC")</f>
        <v xml:space="preserve">      PEÇAS</v>
      </c>
    </row>
    <row r="1893" spans="1:14" ht="15" customHeight="1" x14ac:dyDescent="0.3">
      <c r="A1893" s="19"/>
      <c r="B1893" s="21">
        <v>46090</v>
      </c>
      <c r="C1893" s="21" t="s">
        <v>15</v>
      </c>
      <c r="D1893" s="21" t="s">
        <v>19</v>
      </c>
      <c r="E1893" s="20"/>
      <c r="F1893" s="22" t="s">
        <v>228</v>
      </c>
      <c r="G1893" s="252">
        <v>5461.88</v>
      </c>
      <c r="I1893" s="1">
        <f>COUNTIF(Tabela1[NF],Tabela1[[#This Row],[NF]])</f>
        <v>0</v>
      </c>
      <c r="K1893" s="26">
        <f>Tabela1[[#This Row],[DT. VENCIMENTO]]</f>
        <v>46090</v>
      </c>
      <c r="N1893" s="14" t="str" cm="1">
        <f t="array" ref="N1893">_xlfn.XLOOKUP(TRIM(D1893),TRIM(DFC!A:A),DFC!A:A,"NÃO ESTÁ NA DFC")</f>
        <v xml:space="preserve">      PEÇAS</v>
      </c>
    </row>
    <row r="1894" spans="1:14" ht="15" customHeight="1" x14ac:dyDescent="0.3">
      <c r="A1894" s="19"/>
      <c r="B1894" s="21">
        <v>46090</v>
      </c>
      <c r="C1894" s="21" t="s">
        <v>15</v>
      </c>
      <c r="D1894" s="21" t="s">
        <v>19</v>
      </c>
      <c r="E1894" s="20"/>
      <c r="F1894" s="22" t="s">
        <v>297</v>
      </c>
      <c r="G1894" s="252">
        <v>1179.05</v>
      </c>
      <c r="I1894" s="1">
        <f>COUNTIF(Tabela1[NF],Tabela1[[#This Row],[NF]])</f>
        <v>0</v>
      </c>
      <c r="K1894" s="26">
        <f>Tabela1[[#This Row],[DT. VENCIMENTO]]</f>
        <v>46090</v>
      </c>
      <c r="N1894" s="14" t="str" cm="1">
        <f t="array" ref="N1894">_xlfn.XLOOKUP(TRIM(D1894),TRIM(DFC!A:A),DFC!A:A,"NÃO ESTÁ NA DFC")</f>
        <v xml:space="preserve">      PEÇAS</v>
      </c>
    </row>
    <row r="1895" spans="1:14" ht="15" customHeight="1" x14ac:dyDescent="0.3">
      <c r="A1895" s="19"/>
      <c r="B1895" s="21">
        <v>46090</v>
      </c>
      <c r="C1895" s="21" t="s">
        <v>15</v>
      </c>
      <c r="D1895" s="21" t="s">
        <v>19</v>
      </c>
      <c r="E1895" s="20"/>
      <c r="F1895" s="22" t="s">
        <v>132</v>
      </c>
      <c r="G1895" s="252">
        <v>559</v>
      </c>
      <c r="I1895" s="1">
        <f>COUNTIF(Tabela1[NF],Tabela1[[#This Row],[NF]])</f>
        <v>0</v>
      </c>
      <c r="K1895" s="26">
        <f>Tabela1[[#This Row],[DT. VENCIMENTO]]</f>
        <v>46090</v>
      </c>
      <c r="N1895" s="14" t="str" cm="1">
        <f t="array" ref="N1895">_xlfn.XLOOKUP(TRIM(D1895),TRIM(DFC!A:A),DFC!A:A,"NÃO ESTÁ NA DFC")</f>
        <v xml:space="preserve">      PEÇAS</v>
      </c>
    </row>
    <row r="1896" spans="1:14" ht="15" customHeight="1" x14ac:dyDescent="0.3">
      <c r="A1896" s="19"/>
      <c r="B1896" s="21">
        <v>46090</v>
      </c>
      <c r="C1896" s="21" t="s">
        <v>15</v>
      </c>
      <c r="D1896" s="21" t="s">
        <v>154</v>
      </c>
      <c r="E1896" s="20"/>
      <c r="F1896" s="22" t="s">
        <v>302</v>
      </c>
      <c r="G1896" s="252">
        <v>2959.83</v>
      </c>
      <c r="I1896" s="1">
        <f>COUNTIF(Tabela1[NF],Tabela1[[#This Row],[NF]])</f>
        <v>0</v>
      </c>
      <c r="K1896" s="26">
        <f>Tabela1[[#This Row],[DT. VENCIMENTO]]</f>
        <v>46090</v>
      </c>
      <c r="N1896" s="14" t="str" cm="1">
        <f t="array" ref="N1896">_xlfn.XLOOKUP(TRIM(D1896),TRIM(DFC!A:A),DFC!A:A,"NÃO ESTÁ NA DFC")</f>
        <v xml:space="preserve">      EMBALAGENS</v>
      </c>
    </row>
    <row r="1897" spans="1:14" ht="15" customHeight="1" x14ac:dyDescent="0.3">
      <c r="A1897" s="19"/>
      <c r="B1897" s="21">
        <v>46090</v>
      </c>
      <c r="C1897" s="21" t="s">
        <v>15</v>
      </c>
      <c r="D1897" s="21" t="s">
        <v>19</v>
      </c>
      <c r="E1897" s="20"/>
      <c r="F1897" s="22" t="s">
        <v>132</v>
      </c>
      <c r="G1897" s="252">
        <v>2233.25</v>
      </c>
      <c r="I1897" s="1">
        <f>COUNTIF(Tabela1[NF],Tabela1[[#This Row],[NF]])</f>
        <v>0</v>
      </c>
      <c r="K1897" s="26">
        <f>Tabela1[[#This Row],[DT. VENCIMENTO]]</f>
        <v>46090</v>
      </c>
      <c r="N1897" s="14" t="str" cm="1">
        <f t="array" ref="N1897">_xlfn.XLOOKUP(TRIM(D1897),TRIM(DFC!A:A),DFC!A:A,"NÃO ESTÁ NA DFC")</f>
        <v xml:space="preserve">      PEÇAS</v>
      </c>
    </row>
    <row r="1898" spans="1:14" ht="15" customHeight="1" x14ac:dyDescent="0.3">
      <c r="A1898" s="19"/>
      <c r="B1898" s="21">
        <v>46090</v>
      </c>
      <c r="C1898" s="21" t="s">
        <v>15</v>
      </c>
      <c r="D1898" s="21" t="s">
        <v>154</v>
      </c>
      <c r="E1898" s="20"/>
      <c r="F1898" s="22" t="s">
        <v>302</v>
      </c>
      <c r="G1898" s="252">
        <v>2959.83</v>
      </c>
      <c r="I1898" s="1">
        <f>COUNTIF(Tabela1[NF],Tabela1[[#This Row],[NF]])</f>
        <v>0</v>
      </c>
      <c r="K1898" s="26">
        <f>Tabela1[[#This Row],[DT. VENCIMENTO]]</f>
        <v>46090</v>
      </c>
      <c r="N1898" s="14" t="str" cm="1">
        <f t="array" ref="N1898">_xlfn.XLOOKUP(TRIM(D1898),TRIM(DFC!A:A),DFC!A:A,"NÃO ESTÁ NA DFC")</f>
        <v xml:space="preserve">      EMBALAGENS</v>
      </c>
    </row>
    <row r="1899" spans="1:14" ht="15" customHeight="1" x14ac:dyDescent="0.3">
      <c r="A1899" s="19"/>
      <c r="B1899" s="21">
        <v>46090</v>
      </c>
      <c r="C1899" s="21" t="s">
        <v>15</v>
      </c>
      <c r="D1899" s="21" t="s">
        <v>154</v>
      </c>
      <c r="E1899" s="20"/>
      <c r="F1899" s="22" t="s">
        <v>235</v>
      </c>
      <c r="G1899" s="252">
        <v>1107.5999999999999</v>
      </c>
      <c r="I1899" s="1">
        <f>COUNTIF(Tabela1[NF],Tabela1[[#This Row],[NF]])</f>
        <v>0</v>
      </c>
      <c r="K1899" s="26">
        <f>Tabela1[[#This Row],[DT. VENCIMENTO]]</f>
        <v>46090</v>
      </c>
      <c r="N1899" s="14" t="str" cm="1">
        <f t="array" ref="N1899">_xlfn.XLOOKUP(TRIM(D1899),TRIM(DFC!A:A),DFC!A:A,"NÃO ESTÁ NA DFC")</f>
        <v xml:space="preserve">      EMBALAGENS</v>
      </c>
    </row>
    <row r="1900" spans="1:14" ht="15" customHeight="1" x14ac:dyDescent="0.3">
      <c r="A1900" s="19"/>
      <c r="B1900" s="21">
        <v>46090</v>
      </c>
      <c r="C1900" s="21" t="s">
        <v>15</v>
      </c>
      <c r="D1900" s="21" t="s">
        <v>37</v>
      </c>
      <c r="E1900" s="20"/>
      <c r="F1900" s="22" t="s">
        <v>341</v>
      </c>
      <c r="G1900" s="252">
        <v>152.9</v>
      </c>
      <c r="I1900" s="1">
        <f>COUNTIF(Tabela1[NF],Tabela1[[#This Row],[NF]])</f>
        <v>0</v>
      </c>
      <c r="K1900" s="26">
        <f>Tabela1[[#This Row],[DT. VENCIMENTO]]</f>
        <v>46090</v>
      </c>
      <c r="N1900" s="14" t="str" cm="1">
        <f t="array" ref="N1900">_xlfn.XLOOKUP(TRIM(D1900),TRIM(DFC!A:A),DFC!A:A,"NÃO ESTÁ NA DFC")</f>
        <v xml:space="preserve">          MATERIAL DE ESCRITÓRIO</v>
      </c>
    </row>
    <row r="1901" spans="1:14" ht="15" customHeight="1" x14ac:dyDescent="0.3">
      <c r="A1901" s="19"/>
      <c r="B1901" s="21">
        <v>46090</v>
      </c>
      <c r="C1901" s="21" t="s">
        <v>15</v>
      </c>
      <c r="D1901" s="21" t="s">
        <v>137</v>
      </c>
      <c r="E1901" s="20"/>
      <c r="F1901" s="22" t="s">
        <v>323</v>
      </c>
      <c r="G1901" s="252">
        <v>2240</v>
      </c>
      <c r="I1901" s="1">
        <f>COUNTIF(Tabela1[NF],Tabela1[[#This Row],[NF]])</f>
        <v>0</v>
      </c>
      <c r="K1901" s="26">
        <f>Tabela1[[#This Row],[DT. VENCIMENTO]]</f>
        <v>46090</v>
      </c>
      <c r="N1901" s="14" t="str" cm="1">
        <f t="array" ref="N1901">_xlfn.XLOOKUP(TRIM(D1901),TRIM(DFC!A:A),DFC!A:A,"NÃO ESTÁ NA DFC")</f>
        <v xml:space="preserve">          TICKET ALIMENTAÇÃO</v>
      </c>
    </row>
    <row r="1902" spans="1:14" ht="15" customHeight="1" x14ac:dyDescent="0.3">
      <c r="A1902" s="19"/>
      <c r="B1902" s="21">
        <v>46091</v>
      </c>
      <c r="C1902" s="21" t="s">
        <v>15</v>
      </c>
      <c r="D1902" s="21" t="s">
        <v>117</v>
      </c>
      <c r="E1902" s="20"/>
      <c r="F1902" s="22" t="s">
        <v>326</v>
      </c>
      <c r="G1902" s="252">
        <v>1950</v>
      </c>
      <c r="I1902" s="1">
        <f>COUNTIF(Tabela1[NF],Tabela1[[#This Row],[NF]])</f>
        <v>0</v>
      </c>
      <c r="K1902" s="26">
        <f>Tabela1[[#This Row],[DT. VENCIMENTO]]</f>
        <v>46091</v>
      </c>
      <c r="N1902" s="14" t="str" cm="1">
        <f t="array" ref="N1902">_xlfn.XLOOKUP(TRIM(D1902),TRIM(DFC!A:A),DFC!A:A,"NÃO ESTÁ NA DFC")</f>
        <v xml:space="preserve">          SALÁRIOS</v>
      </c>
    </row>
    <row r="1903" spans="1:14" ht="15" customHeight="1" x14ac:dyDescent="0.3">
      <c r="A1903" s="19"/>
      <c r="B1903" s="21">
        <v>46091</v>
      </c>
      <c r="C1903" s="21" t="s">
        <v>15</v>
      </c>
      <c r="D1903" s="21" t="s">
        <v>137</v>
      </c>
      <c r="E1903" s="20"/>
      <c r="F1903" s="22" t="s">
        <v>696</v>
      </c>
      <c r="G1903" s="252">
        <v>280</v>
      </c>
      <c r="I1903" s="1">
        <f>COUNTIF(Tabela1[NF],Tabela1[[#This Row],[NF]])</f>
        <v>0</v>
      </c>
      <c r="K1903" s="26">
        <f>Tabela1[[#This Row],[DT. VENCIMENTO]]</f>
        <v>46091</v>
      </c>
      <c r="N1903" s="14" t="str" cm="1">
        <f t="array" ref="N1903">_xlfn.XLOOKUP(TRIM(D1903),TRIM(DFC!A:A),DFC!A:A,"NÃO ESTÁ NA DFC")</f>
        <v xml:space="preserve">          TICKET ALIMENTAÇÃO</v>
      </c>
    </row>
    <row r="1904" spans="1:14" ht="15" customHeight="1" x14ac:dyDescent="0.3">
      <c r="A1904" s="19"/>
      <c r="B1904" s="21">
        <v>46091</v>
      </c>
      <c r="C1904" s="21" t="s">
        <v>15</v>
      </c>
      <c r="D1904" s="21" t="s">
        <v>123</v>
      </c>
      <c r="E1904" s="20"/>
      <c r="F1904" s="22" t="s">
        <v>338</v>
      </c>
      <c r="G1904" s="252">
        <v>165.2</v>
      </c>
      <c r="I1904" s="1">
        <f>COUNTIF(Tabela1[NF],Tabela1[[#This Row],[NF]])</f>
        <v>0</v>
      </c>
      <c r="K1904" s="26">
        <f>Tabela1[[#This Row],[DT. VENCIMENTO]]</f>
        <v>46091</v>
      </c>
      <c r="N1904" s="14" t="str" cm="1">
        <f t="array" ref="N1904">_xlfn.XLOOKUP(TRIM(D1904),TRIM(DFC!A:A),DFC!A:A,"NÃO ESTÁ NA DFC")</f>
        <v xml:space="preserve">          SEGURO DE VIDA</v>
      </c>
    </row>
    <row r="1905" spans="1:14" ht="15" customHeight="1" x14ac:dyDescent="0.3">
      <c r="A1905" s="19"/>
      <c r="B1905" s="21">
        <v>46091</v>
      </c>
      <c r="C1905" s="21" t="s">
        <v>15</v>
      </c>
      <c r="D1905" s="21" t="s">
        <v>19</v>
      </c>
      <c r="E1905" s="20"/>
      <c r="F1905" s="22" t="s">
        <v>455</v>
      </c>
      <c r="G1905" s="252">
        <v>16476.78</v>
      </c>
      <c r="I1905" s="1">
        <f>COUNTIF(Tabela1[NF],Tabela1[[#This Row],[NF]])</f>
        <v>0</v>
      </c>
      <c r="K1905" s="26">
        <f>Tabela1[[#This Row],[DT. VENCIMENTO]]</f>
        <v>46091</v>
      </c>
      <c r="N1905" s="14" t="str" cm="1">
        <f t="array" ref="N1905">_xlfn.XLOOKUP(TRIM(D1905),TRIM(DFC!A:A),DFC!A:A,"NÃO ESTÁ NA DFC")</f>
        <v xml:space="preserve">      PEÇAS</v>
      </c>
    </row>
    <row r="1906" spans="1:14" ht="15" customHeight="1" x14ac:dyDescent="0.3">
      <c r="A1906" s="19"/>
      <c r="B1906" s="21">
        <v>46091</v>
      </c>
      <c r="C1906" s="21" t="s">
        <v>15</v>
      </c>
      <c r="D1906" s="21" t="s">
        <v>29</v>
      </c>
      <c r="E1906" s="20"/>
      <c r="F1906" s="22" t="s">
        <v>450</v>
      </c>
      <c r="G1906" s="252">
        <v>100</v>
      </c>
      <c r="I1906" s="1">
        <f>COUNTIF(Tabela1[NF],Tabela1[[#This Row],[NF]])</f>
        <v>0</v>
      </c>
      <c r="K1906" s="26">
        <f>Tabela1[[#This Row],[DT. VENCIMENTO]]</f>
        <v>46091</v>
      </c>
      <c r="N1906" s="14" t="str" cm="1">
        <f t="array" ref="N1906">_xlfn.XLOOKUP(TRIM(D1906),TRIM(DFC!A:A),DFC!A:A,"NÃO ESTÁ NA DFC")</f>
        <v xml:space="preserve">      FRETE DE SAÍDA</v>
      </c>
    </row>
    <row r="1907" spans="1:14" ht="15" customHeight="1" x14ac:dyDescent="0.3">
      <c r="A1907" s="19"/>
      <c r="B1907" s="21">
        <v>46091</v>
      </c>
      <c r="C1907" s="21" t="s">
        <v>15</v>
      </c>
      <c r="D1907" s="21" t="s">
        <v>29</v>
      </c>
      <c r="E1907" s="20"/>
      <c r="F1907" s="22" t="s">
        <v>168</v>
      </c>
      <c r="G1907" s="252">
        <v>650</v>
      </c>
      <c r="I1907" s="1">
        <f>COUNTIF(Tabela1[NF],Tabela1[[#This Row],[NF]])</f>
        <v>0</v>
      </c>
      <c r="K1907" s="26">
        <f>Tabela1[[#This Row],[DT. VENCIMENTO]]</f>
        <v>46091</v>
      </c>
      <c r="N1907" s="14" t="str" cm="1">
        <f t="array" ref="N1907">_xlfn.XLOOKUP(TRIM(D1907),TRIM(DFC!A:A),DFC!A:A,"NÃO ESTÁ NA DFC")</f>
        <v xml:space="preserve">      FRETE DE SAÍDA</v>
      </c>
    </row>
    <row r="1908" spans="1:14" ht="15" customHeight="1" x14ac:dyDescent="0.3">
      <c r="A1908" s="19"/>
      <c r="B1908" s="21">
        <v>46091</v>
      </c>
      <c r="C1908" s="21" t="s">
        <v>15</v>
      </c>
      <c r="D1908" s="21" t="s">
        <v>29</v>
      </c>
      <c r="E1908" s="20"/>
      <c r="F1908" s="22" t="s">
        <v>168</v>
      </c>
      <c r="G1908" s="255">
        <v>65</v>
      </c>
      <c r="I1908" s="1">
        <f>COUNTIF(Tabela1[NF],Tabela1[[#This Row],[NF]])</f>
        <v>0</v>
      </c>
      <c r="K1908" s="26">
        <f>Tabela1[[#This Row],[DT. VENCIMENTO]]</f>
        <v>46091</v>
      </c>
      <c r="N1908" s="14" t="str" cm="1">
        <f t="array" ref="N1908">_xlfn.XLOOKUP(TRIM(D1908),TRIM(DFC!A:A),DFC!A:A,"NÃO ESTÁ NA DFC")</f>
        <v xml:space="preserve">      FRETE DE SAÍDA</v>
      </c>
    </row>
    <row r="1909" spans="1:14" ht="15" customHeight="1" x14ac:dyDescent="0.3">
      <c r="A1909" s="19"/>
      <c r="B1909" s="21">
        <v>46091</v>
      </c>
      <c r="C1909" s="21" t="s">
        <v>15</v>
      </c>
      <c r="D1909" s="21" t="s">
        <v>29</v>
      </c>
      <c r="E1909" s="20"/>
      <c r="F1909" s="22" t="s">
        <v>168</v>
      </c>
      <c r="G1909" s="252">
        <v>79.900000000000006</v>
      </c>
      <c r="I1909" s="1">
        <f>COUNTIF(Tabela1[NF],Tabela1[[#This Row],[NF]])</f>
        <v>0</v>
      </c>
      <c r="K1909" s="26">
        <f>Tabela1[[#This Row],[DT. VENCIMENTO]]</f>
        <v>46091</v>
      </c>
      <c r="N1909" s="14" t="str" cm="1">
        <f t="array" ref="N1909">_xlfn.XLOOKUP(TRIM(D1909),TRIM(DFC!A:A),DFC!A:A,"NÃO ESTÁ NA DFC")</f>
        <v xml:space="preserve">      FRETE DE SAÍDA</v>
      </c>
    </row>
    <row r="1910" spans="1:14" ht="15" customHeight="1" x14ac:dyDescent="0.3">
      <c r="A1910" s="19"/>
      <c r="B1910" s="21">
        <v>46091</v>
      </c>
      <c r="C1910" s="21" t="s">
        <v>15</v>
      </c>
      <c r="D1910" s="21" t="s">
        <v>29</v>
      </c>
      <c r="E1910" s="20"/>
      <c r="F1910" s="22" t="s">
        <v>168</v>
      </c>
      <c r="G1910" s="252">
        <v>150</v>
      </c>
      <c r="I1910" s="1">
        <f>COUNTIF(Tabela1[NF],Tabela1[[#This Row],[NF]])</f>
        <v>0</v>
      </c>
      <c r="K1910" s="26">
        <f>Tabela1[[#This Row],[DT. VENCIMENTO]]</f>
        <v>46091</v>
      </c>
      <c r="N1910" s="14" t="str" cm="1">
        <f t="array" ref="N1910">_xlfn.XLOOKUP(TRIM(D1910),TRIM(DFC!A:A),DFC!A:A,"NÃO ESTÁ NA DFC")</f>
        <v xml:space="preserve">      FRETE DE SAÍDA</v>
      </c>
    </row>
    <row r="1911" spans="1:14" ht="15" customHeight="1" x14ac:dyDescent="0.3">
      <c r="A1911" s="19"/>
      <c r="B1911" s="21">
        <v>46091</v>
      </c>
      <c r="C1911" s="21" t="s">
        <v>15</v>
      </c>
      <c r="D1911" s="21" t="s">
        <v>29</v>
      </c>
      <c r="E1911" s="20"/>
      <c r="F1911" s="22" t="s">
        <v>168</v>
      </c>
      <c r="G1911" s="252">
        <v>96</v>
      </c>
      <c r="I1911" s="1">
        <f>COUNTIF(Tabela1[NF],Tabela1[[#This Row],[NF]])</f>
        <v>0</v>
      </c>
      <c r="K1911" s="26">
        <f>Tabela1[[#This Row],[DT. VENCIMENTO]]</f>
        <v>46091</v>
      </c>
      <c r="N1911" s="14" t="str" cm="1">
        <f t="array" ref="N1911">_xlfn.XLOOKUP(TRIM(D1911),TRIM(DFC!A:A),DFC!A:A,"NÃO ESTÁ NA DFC")</f>
        <v xml:space="preserve">      FRETE DE SAÍDA</v>
      </c>
    </row>
    <row r="1912" spans="1:14" ht="15" customHeight="1" x14ac:dyDescent="0.3">
      <c r="A1912" s="19"/>
      <c r="B1912" s="21">
        <v>46091</v>
      </c>
      <c r="C1912" s="21" t="s">
        <v>15</v>
      </c>
      <c r="D1912" s="21" t="s">
        <v>29</v>
      </c>
      <c r="E1912" s="20"/>
      <c r="F1912" s="22" t="s">
        <v>168</v>
      </c>
      <c r="G1912" s="252">
        <v>523.91</v>
      </c>
      <c r="I1912" s="1">
        <f>COUNTIF(Tabela1[NF],Tabela1[[#This Row],[NF]])</f>
        <v>0</v>
      </c>
      <c r="K1912" s="26">
        <f>Tabela1[[#This Row],[DT. VENCIMENTO]]</f>
        <v>46091</v>
      </c>
      <c r="N1912" s="14" t="str" cm="1">
        <f t="array" ref="N1912">_xlfn.XLOOKUP(TRIM(D1912),TRIM(DFC!A:A),DFC!A:A,"NÃO ESTÁ NA DFC")</f>
        <v xml:space="preserve">      FRETE DE SAÍDA</v>
      </c>
    </row>
    <row r="1913" spans="1:14" ht="15" customHeight="1" x14ac:dyDescent="0.3">
      <c r="A1913" s="19"/>
      <c r="B1913" s="21">
        <v>46091</v>
      </c>
      <c r="C1913" s="21" t="s">
        <v>15</v>
      </c>
      <c r="D1913" s="21" t="s">
        <v>29</v>
      </c>
      <c r="E1913" s="20"/>
      <c r="F1913" s="22" t="s">
        <v>168</v>
      </c>
      <c r="G1913" s="255">
        <v>65</v>
      </c>
      <c r="I1913" s="1">
        <f>COUNTIF(Tabela1[NF],Tabela1[[#This Row],[NF]])</f>
        <v>0</v>
      </c>
      <c r="K1913" s="26">
        <f>Tabela1[[#This Row],[DT. VENCIMENTO]]</f>
        <v>46091</v>
      </c>
      <c r="N1913" s="14" t="str" cm="1">
        <f t="array" ref="N1913">_xlfn.XLOOKUP(TRIM(D1913),TRIM(DFC!A:A),DFC!A:A,"NÃO ESTÁ NA DFC")</f>
        <v xml:space="preserve">      FRETE DE SAÍDA</v>
      </c>
    </row>
    <row r="1914" spans="1:14" ht="15" customHeight="1" x14ac:dyDescent="0.3">
      <c r="A1914" s="19"/>
      <c r="B1914" s="21">
        <v>46091</v>
      </c>
      <c r="C1914" s="21" t="s">
        <v>15</v>
      </c>
      <c r="D1914" s="21" t="s">
        <v>29</v>
      </c>
      <c r="E1914" s="20"/>
      <c r="F1914" s="22" t="s">
        <v>168</v>
      </c>
      <c r="G1914" s="252">
        <v>70.83</v>
      </c>
      <c r="I1914" s="1">
        <f>COUNTIF(Tabela1[NF],Tabela1[[#This Row],[NF]])</f>
        <v>0</v>
      </c>
      <c r="K1914" s="26">
        <f>Tabela1[[#This Row],[DT. VENCIMENTO]]</f>
        <v>46091</v>
      </c>
      <c r="N1914" s="14" t="str" cm="1">
        <f t="array" ref="N1914">_xlfn.XLOOKUP(TRIM(D1914),TRIM(DFC!A:A),DFC!A:A,"NÃO ESTÁ NA DFC")</f>
        <v xml:space="preserve">      FRETE DE SAÍDA</v>
      </c>
    </row>
    <row r="1915" spans="1:14" ht="15" customHeight="1" x14ac:dyDescent="0.3">
      <c r="A1915" s="19"/>
      <c r="B1915" s="21">
        <v>46091</v>
      </c>
      <c r="C1915" s="21" t="s">
        <v>15</v>
      </c>
      <c r="D1915" s="21" t="s">
        <v>29</v>
      </c>
      <c r="E1915" s="20"/>
      <c r="F1915" s="22" t="s">
        <v>484</v>
      </c>
      <c r="G1915" s="252">
        <v>60</v>
      </c>
      <c r="I1915" s="1">
        <f>COUNTIF(Tabela1[NF],Tabela1[[#This Row],[NF]])</f>
        <v>0</v>
      </c>
      <c r="K1915" s="26">
        <f>Tabela1[[#This Row],[DT. VENCIMENTO]]</f>
        <v>46091</v>
      </c>
      <c r="N1915" s="14" t="str" cm="1">
        <f t="array" ref="N1915">_xlfn.XLOOKUP(TRIM(D1915),TRIM(DFC!A:A),DFC!A:A,"NÃO ESTÁ NA DFC")</f>
        <v xml:space="preserve">      FRETE DE SAÍDA</v>
      </c>
    </row>
    <row r="1916" spans="1:14" ht="15" customHeight="1" x14ac:dyDescent="0.3">
      <c r="A1916" s="19"/>
      <c r="B1916" s="21">
        <v>46091</v>
      </c>
      <c r="C1916" s="21" t="s">
        <v>15</v>
      </c>
      <c r="D1916" s="21" t="s">
        <v>29</v>
      </c>
      <c r="E1916" s="20"/>
      <c r="F1916" s="22" t="s">
        <v>168</v>
      </c>
      <c r="G1916" s="252">
        <v>702.24</v>
      </c>
      <c r="I1916" s="1">
        <f>COUNTIF(Tabela1[NF],Tabela1[[#This Row],[NF]])</f>
        <v>0</v>
      </c>
      <c r="K1916" s="26">
        <f>Tabela1[[#This Row],[DT. VENCIMENTO]]</f>
        <v>46091</v>
      </c>
      <c r="N1916" s="14" t="str" cm="1">
        <f t="array" ref="N1916">_xlfn.XLOOKUP(TRIM(D1916),TRIM(DFC!A:A),DFC!A:A,"NÃO ESTÁ NA DFC")</f>
        <v xml:space="preserve">      FRETE DE SAÍDA</v>
      </c>
    </row>
    <row r="1917" spans="1:14" ht="15" customHeight="1" x14ac:dyDescent="0.3">
      <c r="A1917" s="19"/>
      <c r="B1917" s="21">
        <v>46091</v>
      </c>
      <c r="C1917" s="21" t="s">
        <v>15</v>
      </c>
      <c r="D1917" s="21" t="s">
        <v>29</v>
      </c>
      <c r="E1917" s="20"/>
      <c r="F1917" s="22" t="s">
        <v>450</v>
      </c>
      <c r="G1917" s="252">
        <v>240</v>
      </c>
      <c r="I1917" s="1">
        <f>COUNTIF(Tabela1[NF],Tabela1[[#This Row],[NF]])</f>
        <v>0</v>
      </c>
      <c r="K1917" s="26">
        <f>Tabela1[[#This Row],[DT. VENCIMENTO]]</f>
        <v>46091</v>
      </c>
      <c r="N1917" s="14" t="str" cm="1">
        <f t="array" ref="N1917">_xlfn.XLOOKUP(TRIM(D1917),TRIM(DFC!A:A),DFC!A:A,"NÃO ESTÁ NA DFC")</f>
        <v xml:space="preserve">      FRETE DE SAÍDA</v>
      </c>
    </row>
    <row r="1918" spans="1:14" ht="15" customHeight="1" x14ac:dyDescent="0.3">
      <c r="A1918" s="19"/>
      <c r="B1918" s="21">
        <v>46091</v>
      </c>
      <c r="C1918" s="21" t="s">
        <v>15</v>
      </c>
      <c r="D1918" s="21" t="s">
        <v>29</v>
      </c>
      <c r="E1918" s="20"/>
      <c r="F1918" s="22" t="s">
        <v>450</v>
      </c>
      <c r="G1918" s="252">
        <v>820</v>
      </c>
      <c r="I1918" s="1">
        <f>COUNTIF(Tabela1[NF],Tabela1[[#This Row],[NF]])</f>
        <v>0</v>
      </c>
      <c r="K1918" s="26">
        <f>Tabela1[[#This Row],[DT. VENCIMENTO]]</f>
        <v>46091</v>
      </c>
      <c r="N1918" s="14" t="str" cm="1">
        <f t="array" ref="N1918">_xlfn.XLOOKUP(TRIM(D1918),TRIM(DFC!A:A),DFC!A:A,"NÃO ESTÁ NA DFC")</f>
        <v xml:space="preserve">      FRETE DE SAÍDA</v>
      </c>
    </row>
    <row r="1919" spans="1:14" ht="15" customHeight="1" x14ac:dyDescent="0.3">
      <c r="A1919" s="19"/>
      <c r="B1919" s="21">
        <v>46091</v>
      </c>
      <c r="C1919" s="21" t="s">
        <v>15</v>
      </c>
      <c r="D1919" s="21" t="s">
        <v>29</v>
      </c>
      <c r="E1919" s="20"/>
      <c r="F1919" s="22" t="s">
        <v>168</v>
      </c>
      <c r="G1919" s="252">
        <v>400</v>
      </c>
      <c r="I1919" s="1">
        <f>COUNTIF(Tabela1[NF],Tabela1[[#This Row],[NF]])</f>
        <v>0</v>
      </c>
      <c r="K1919" s="26">
        <f>Tabela1[[#This Row],[DT. VENCIMENTO]]</f>
        <v>46091</v>
      </c>
      <c r="N1919" s="14" t="str" cm="1">
        <f t="array" ref="N1919">_xlfn.XLOOKUP(TRIM(D1919),TRIM(DFC!A:A),DFC!A:A,"NÃO ESTÁ NA DFC")</f>
        <v xml:space="preserve">      FRETE DE SAÍDA</v>
      </c>
    </row>
    <row r="1920" spans="1:14" ht="15" customHeight="1" x14ac:dyDescent="0.3">
      <c r="A1920" s="19"/>
      <c r="B1920" s="21">
        <v>46091</v>
      </c>
      <c r="C1920" s="21" t="s">
        <v>15</v>
      </c>
      <c r="D1920" s="21" t="s">
        <v>29</v>
      </c>
      <c r="E1920" s="20"/>
      <c r="F1920" s="22" t="s">
        <v>168</v>
      </c>
      <c r="G1920" s="252">
        <v>61.95</v>
      </c>
      <c r="I1920" s="1">
        <f>COUNTIF(Tabela1[NF],Tabela1[[#This Row],[NF]])</f>
        <v>0</v>
      </c>
      <c r="K1920" s="26">
        <f>Tabela1[[#This Row],[DT. VENCIMENTO]]</f>
        <v>46091</v>
      </c>
      <c r="N1920" s="14" t="str" cm="1">
        <f t="array" ref="N1920">_xlfn.XLOOKUP(TRIM(D1920),TRIM(DFC!A:A),DFC!A:A,"NÃO ESTÁ NA DFC")</f>
        <v xml:space="preserve">      FRETE DE SAÍDA</v>
      </c>
    </row>
    <row r="1921" spans="1:14" ht="15" customHeight="1" x14ac:dyDescent="0.3">
      <c r="A1921" s="19"/>
      <c r="B1921" s="21">
        <v>46091</v>
      </c>
      <c r="C1921" s="21" t="s">
        <v>15</v>
      </c>
      <c r="D1921" s="21" t="s">
        <v>29</v>
      </c>
      <c r="E1921" s="20"/>
      <c r="F1921" s="22" t="s">
        <v>168</v>
      </c>
      <c r="G1921" s="252">
        <v>240</v>
      </c>
      <c r="I1921" s="1">
        <f>COUNTIF(Tabela1[NF],Tabela1[[#This Row],[NF]])</f>
        <v>0</v>
      </c>
      <c r="K1921" s="26">
        <f>Tabela1[[#This Row],[DT. VENCIMENTO]]</f>
        <v>46091</v>
      </c>
      <c r="N1921" s="14" t="str" cm="1">
        <f t="array" ref="N1921">_xlfn.XLOOKUP(TRIM(D1921),TRIM(DFC!A:A),DFC!A:A,"NÃO ESTÁ NA DFC")</f>
        <v xml:space="preserve">      FRETE DE SAÍDA</v>
      </c>
    </row>
    <row r="1922" spans="1:14" ht="15" customHeight="1" x14ac:dyDescent="0.3">
      <c r="A1922" s="19"/>
      <c r="B1922" s="21">
        <v>46091</v>
      </c>
      <c r="C1922" s="21" t="s">
        <v>15</v>
      </c>
      <c r="D1922" s="21" t="s">
        <v>111</v>
      </c>
      <c r="E1922" s="20"/>
      <c r="F1922" s="22" t="s">
        <v>339</v>
      </c>
      <c r="G1922" s="252">
        <v>53.76</v>
      </c>
      <c r="I1922" s="1">
        <f>COUNTIF(Tabela1[NF],Tabela1[[#This Row],[NF]])</f>
        <v>0</v>
      </c>
      <c r="K1922" s="26">
        <f>Tabela1[[#This Row],[DT. VENCIMENTO]]</f>
        <v>46091</v>
      </c>
      <c r="N1922" s="14" t="str" cm="1">
        <f t="array" ref="N1922">_xlfn.XLOOKUP(TRIM(D1922),TRIM(DFC!A:A),DFC!A:A,"NÃO ESTÁ NA DFC")</f>
        <v xml:space="preserve">          TX. BANCÁRIA</v>
      </c>
    </row>
    <row r="1923" spans="1:14" ht="15" customHeight="1" x14ac:dyDescent="0.3">
      <c r="A1923" s="19"/>
      <c r="B1923" s="21">
        <v>46091</v>
      </c>
      <c r="C1923" s="21" t="s">
        <v>15</v>
      </c>
      <c r="D1923" s="21" t="s">
        <v>119</v>
      </c>
      <c r="E1923" s="20"/>
      <c r="F1923" s="22" t="s">
        <v>718</v>
      </c>
      <c r="G1923" s="252">
        <v>303.3</v>
      </c>
      <c r="I1923" s="1">
        <f>COUNTIF(Tabela1[NF],Tabela1[[#This Row],[NF]])</f>
        <v>0</v>
      </c>
      <c r="K1923" s="26">
        <f>Tabela1[[#This Row],[DT. VENCIMENTO]]</f>
        <v>46091</v>
      </c>
      <c r="N1923" s="14" t="str" cm="1">
        <f t="array" ref="N1923">_xlfn.XLOOKUP(TRIM(D1923),TRIM(DFC!A:A),DFC!A:A,"NÃO ESTÁ NA DFC")</f>
        <v xml:space="preserve">          SANEPAR</v>
      </c>
    </row>
    <row r="1924" spans="1:14" ht="15" customHeight="1" x14ac:dyDescent="0.3">
      <c r="A1924" s="19"/>
      <c r="B1924" s="21">
        <v>46091</v>
      </c>
      <c r="C1924" s="21" t="s">
        <v>15</v>
      </c>
      <c r="D1924" s="21" t="s">
        <v>119</v>
      </c>
      <c r="E1924" s="20"/>
      <c r="F1924" s="22" t="s">
        <v>718</v>
      </c>
      <c r="G1924" s="252">
        <v>187.54</v>
      </c>
      <c r="I1924" s="1">
        <f>COUNTIF(Tabela1[NF],Tabela1[[#This Row],[NF]])</f>
        <v>0</v>
      </c>
      <c r="K1924" s="26">
        <f>Tabela1[[#This Row],[DT. VENCIMENTO]]</f>
        <v>46091</v>
      </c>
      <c r="N1924" s="14" t="str" cm="1">
        <f t="array" ref="N1924">_xlfn.XLOOKUP(TRIM(D1924),TRIM(DFC!A:A),DFC!A:A,"NÃO ESTÁ NA DFC")</f>
        <v xml:space="preserve">          SANEPAR</v>
      </c>
    </row>
    <row r="1925" spans="1:14" ht="15" customHeight="1" x14ac:dyDescent="0.3">
      <c r="A1925" s="19"/>
      <c r="B1925" s="21">
        <v>46091</v>
      </c>
      <c r="C1925" s="21" t="s">
        <v>15</v>
      </c>
      <c r="D1925" s="21" t="s">
        <v>78</v>
      </c>
      <c r="E1925" s="20"/>
      <c r="F1925" s="22" t="s">
        <v>431</v>
      </c>
      <c r="G1925" s="252">
        <v>88.03</v>
      </c>
      <c r="I1925" s="1">
        <f>COUNTIF(Tabela1[NF],Tabela1[[#This Row],[NF]])</f>
        <v>0</v>
      </c>
      <c r="K1925" s="26">
        <f>Tabela1[[#This Row],[DT. VENCIMENTO]]</f>
        <v>46091</v>
      </c>
      <c r="N1925" s="14" t="str" cm="1">
        <f t="array" ref="N1925">_xlfn.XLOOKUP(TRIM(D1925),TRIM(DFC!A:A),DFC!A:A,"NÃO ESTÁ NA DFC")</f>
        <v xml:space="preserve">          COPEL</v>
      </c>
    </row>
    <row r="1926" spans="1:14" ht="15" customHeight="1" x14ac:dyDescent="0.3">
      <c r="A1926" s="19"/>
      <c r="B1926" s="21">
        <v>46091</v>
      </c>
      <c r="C1926" s="21" t="s">
        <v>15</v>
      </c>
      <c r="D1926" s="21" t="s">
        <v>78</v>
      </c>
      <c r="E1926" s="20"/>
      <c r="F1926" s="22" t="s">
        <v>431</v>
      </c>
      <c r="G1926" s="252">
        <v>661.59</v>
      </c>
      <c r="I1926" s="1">
        <f>COUNTIF(Tabela1[NF],Tabela1[[#This Row],[NF]])</f>
        <v>0</v>
      </c>
      <c r="K1926" s="26">
        <f>Tabela1[[#This Row],[DT. VENCIMENTO]]</f>
        <v>46091</v>
      </c>
      <c r="N1926" s="14" t="str" cm="1">
        <f t="array" ref="N1926">_xlfn.XLOOKUP(TRIM(D1926),TRIM(DFC!A:A),DFC!A:A,"NÃO ESTÁ NA DFC")</f>
        <v xml:space="preserve">          COPEL</v>
      </c>
    </row>
    <row r="1927" spans="1:14" ht="15" customHeight="1" x14ac:dyDescent="0.3">
      <c r="A1927" s="19"/>
      <c r="B1927" s="21">
        <v>46091</v>
      </c>
      <c r="C1927" s="21" t="s">
        <v>15</v>
      </c>
      <c r="D1927" s="21" t="s">
        <v>43</v>
      </c>
      <c r="E1927" s="20"/>
      <c r="F1927" s="22" t="s">
        <v>474</v>
      </c>
      <c r="G1927" s="252">
        <v>2000</v>
      </c>
      <c r="I1927" s="1">
        <f>COUNTIF(Tabela1[NF],Tabela1[[#This Row],[NF]])</f>
        <v>0</v>
      </c>
      <c r="K1927" s="26">
        <f>Tabela1[[#This Row],[DT. VENCIMENTO]]</f>
        <v>46091</v>
      </c>
      <c r="N1927" s="14" t="str" cm="1">
        <f t="array" ref="N1927">_xlfn.XLOOKUP(TRIM(D1927),TRIM(DFC!A:A),DFC!A:A,"NÃO ESTÁ NA DFC")</f>
        <v xml:space="preserve">          TRABALHISTA</v>
      </c>
    </row>
    <row r="1928" spans="1:14" ht="15" customHeight="1" x14ac:dyDescent="0.3">
      <c r="A1928" s="19"/>
      <c r="B1928" s="21">
        <v>46091</v>
      </c>
      <c r="C1928" s="21" t="s">
        <v>15</v>
      </c>
      <c r="D1928" s="21" t="s">
        <v>98</v>
      </c>
      <c r="E1928" s="20"/>
      <c r="F1928" s="22" t="s">
        <v>719</v>
      </c>
      <c r="G1928" s="252">
        <v>40</v>
      </c>
      <c r="I1928" s="1">
        <f>COUNTIF(Tabela1[NF],Tabela1[[#This Row],[NF]])</f>
        <v>0</v>
      </c>
      <c r="K1928" s="26">
        <f>Tabela1[[#This Row],[DT. VENCIMENTO]]</f>
        <v>46091</v>
      </c>
      <c r="N1928" s="14" t="str" cm="1">
        <f t="array" ref="N1928">_xlfn.XLOOKUP(TRIM(D1928),TRIM(DFC!A:A),DFC!A:A,"NÃO ESTÁ NA DFC")</f>
        <v xml:space="preserve">     REEMBOLSO SAC</v>
      </c>
    </row>
    <row r="1929" spans="1:14" ht="15" customHeight="1" x14ac:dyDescent="0.3">
      <c r="A1929" s="19"/>
      <c r="B1929" s="21">
        <v>46091</v>
      </c>
      <c r="C1929" s="21" t="s">
        <v>15</v>
      </c>
      <c r="D1929" s="21" t="s">
        <v>98</v>
      </c>
      <c r="E1929" s="20"/>
      <c r="F1929" s="22" t="s">
        <v>720</v>
      </c>
      <c r="G1929" s="252">
        <v>35</v>
      </c>
      <c r="I1929" s="1">
        <f>COUNTIF(Tabela1[NF],Tabela1[[#This Row],[NF]])</f>
        <v>0</v>
      </c>
      <c r="K1929" s="26">
        <f>Tabela1[[#This Row],[DT. VENCIMENTO]]</f>
        <v>46091</v>
      </c>
      <c r="N1929" s="14" t="str" cm="1">
        <f t="array" ref="N1929">_xlfn.XLOOKUP(TRIM(D1929),TRIM(DFC!A:A),DFC!A:A,"NÃO ESTÁ NA DFC")</f>
        <v xml:space="preserve">     REEMBOLSO SAC</v>
      </c>
    </row>
    <row r="1930" spans="1:14" ht="15" customHeight="1" x14ac:dyDescent="0.3">
      <c r="A1930" s="19"/>
      <c r="B1930" s="21">
        <v>46091</v>
      </c>
      <c r="C1930" s="21" t="s">
        <v>15</v>
      </c>
      <c r="D1930" s="21" t="s">
        <v>98</v>
      </c>
      <c r="E1930" s="20"/>
      <c r="F1930" s="22" t="s">
        <v>721</v>
      </c>
      <c r="G1930" s="252">
        <v>40</v>
      </c>
      <c r="I1930" s="1">
        <f>COUNTIF(Tabela1[NF],Tabela1[[#This Row],[NF]])</f>
        <v>0</v>
      </c>
      <c r="K1930" s="26">
        <f>Tabela1[[#This Row],[DT. VENCIMENTO]]</f>
        <v>46091</v>
      </c>
      <c r="N1930" s="14" t="str" cm="1">
        <f t="array" ref="N1930">_xlfn.XLOOKUP(TRIM(D1930),TRIM(DFC!A:A),DFC!A:A,"NÃO ESTÁ NA DFC")</f>
        <v xml:space="preserve">     REEMBOLSO SAC</v>
      </c>
    </row>
    <row r="1931" spans="1:14" ht="15" customHeight="1" x14ac:dyDescent="0.3">
      <c r="A1931" s="19"/>
      <c r="B1931" s="21">
        <v>46091</v>
      </c>
      <c r="C1931" s="21" t="s">
        <v>15</v>
      </c>
      <c r="D1931" s="21" t="s">
        <v>19</v>
      </c>
      <c r="E1931" s="20"/>
      <c r="F1931" s="22" t="s">
        <v>343</v>
      </c>
      <c r="G1931" s="252">
        <v>888.34</v>
      </c>
      <c r="I1931" s="1">
        <f>COUNTIF(Tabela1[NF],Tabela1[[#This Row],[NF]])</f>
        <v>0</v>
      </c>
      <c r="K1931" s="26">
        <f>Tabela1[[#This Row],[DT. VENCIMENTO]]</f>
        <v>46091</v>
      </c>
      <c r="N1931" s="14" t="str" cm="1">
        <f t="array" ref="N1931">_xlfn.XLOOKUP(TRIM(D1931),TRIM(DFC!A:A),DFC!A:A,"NÃO ESTÁ NA DFC")</f>
        <v xml:space="preserve">      PEÇAS</v>
      </c>
    </row>
    <row r="1932" spans="1:14" ht="15" customHeight="1" x14ac:dyDescent="0.3">
      <c r="A1932" s="19"/>
      <c r="B1932" s="21">
        <v>46091</v>
      </c>
      <c r="C1932" s="21" t="s">
        <v>15</v>
      </c>
      <c r="D1932" s="21" t="s">
        <v>19</v>
      </c>
      <c r="E1932" s="20"/>
      <c r="F1932" s="22" t="s">
        <v>300</v>
      </c>
      <c r="G1932" s="252">
        <v>1467.9</v>
      </c>
      <c r="I1932" s="1">
        <f>COUNTIF(Tabela1[NF],Tabela1[[#This Row],[NF]])</f>
        <v>0</v>
      </c>
      <c r="K1932" s="26">
        <f>Tabela1[[#This Row],[DT. VENCIMENTO]]</f>
        <v>46091</v>
      </c>
      <c r="N1932" s="14" t="str" cm="1">
        <f t="array" ref="N1932">_xlfn.XLOOKUP(TRIM(D1932),TRIM(DFC!A:A),DFC!A:A,"NÃO ESTÁ NA DFC")</f>
        <v xml:space="preserve">      PEÇAS</v>
      </c>
    </row>
    <row r="1933" spans="1:14" ht="15" customHeight="1" x14ac:dyDescent="0.3">
      <c r="A1933" s="19"/>
      <c r="B1933" s="21">
        <v>46091</v>
      </c>
      <c r="C1933" s="21" t="s">
        <v>15</v>
      </c>
      <c r="D1933" s="21" t="s">
        <v>19</v>
      </c>
      <c r="E1933" s="20" t="s">
        <v>573</v>
      </c>
      <c r="F1933" s="22" t="s">
        <v>483</v>
      </c>
      <c r="G1933" s="252">
        <v>3137.2</v>
      </c>
      <c r="I1933" s="1">
        <f>COUNTIF(Tabela1[NF],Tabela1[[#This Row],[NF]])</f>
        <v>0</v>
      </c>
      <c r="K1933" s="26">
        <f>Tabela1[[#This Row],[DT. VENCIMENTO]]</f>
        <v>46091</v>
      </c>
      <c r="N1933" s="14" t="str" cm="1">
        <f t="array" ref="N1933">_xlfn.XLOOKUP(TRIM(D1933),TRIM(DFC!A:A),DFC!A:A,"NÃO ESTÁ NA DFC")</f>
        <v xml:space="preserve">      PEÇAS</v>
      </c>
    </row>
    <row r="1934" spans="1:14" ht="15" customHeight="1" x14ac:dyDescent="0.3">
      <c r="A1934" s="19"/>
      <c r="B1934" s="21">
        <v>46091</v>
      </c>
      <c r="C1934" s="21" t="s">
        <v>15</v>
      </c>
      <c r="D1934" s="21" t="s">
        <v>27</v>
      </c>
      <c r="E1934" s="20"/>
      <c r="F1934" s="22" t="s">
        <v>227</v>
      </c>
      <c r="G1934" s="252">
        <v>3432.87</v>
      </c>
      <c r="I1934" s="1">
        <f>COUNTIF(Tabela1[NF],Tabela1[[#This Row],[NF]])</f>
        <v>0</v>
      </c>
      <c r="K1934" s="26">
        <f>Tabela1[[#This Row],[DT. VENCIMENTO]]</f>
        <v>46091</v>
      </c>
      <c r="N1934" s="14" t="str" cm="1">
        <f t="array" ref="N1934">_xlfn.XLOOKUP(TRIM(D1934),TRIM(DFC!A:A),DFC!A:A,"NÃO ESTÁ NA DFC")</f>
        <v xml:space="preserve">         ERP</v>
      </c>
    </row>
    <row r="1935" spans="1:14" ht="15" customHeight="1" x14ac:dyDescent="0.3">
      <c r="A1935" s="19"/>
      <c r="B1935" s="21">
        <v>46091</v>
      </c>
      <c r="C1935" s="21" t="s">
        <v>15</v>
      </c>
      <c r="D1935" s="21" t="s">
        <v>19</v>
      </c>
      <c r="E1935" s="20" t="s">
        <v>583</v>
      </c>
      <c r="F1935" s="22" t="s">
        <v>585</v>
      </c>
      <c r="G1935" s="252">
        <v>8626.32</v>
      </c>
      <c r="I1935" s="1">
        <f>COUNTIF(Tabela1[NF],Tabela1[[#This Row],[NF]])</f>
        <v>0</v>
      </c>
      <c r="K1935" s="26">
        <f>Tabela1[[#This Row],[DT. VENCIMENTO]]</f>
        <v>46091</v>
      </c>
      <c r="N1935" s="14" t="str" cm="1">
        <f t="array" ref="N1935">_xlfn.XLOOKUP(TRIM(D1935),TRIM(DFC!A:A),DFC!A:A,"NÃO ESTÁ NA DFC")</f>
        <v xml:space="preserve">      PEÇAS</v>
      </c>
    </row>
    <row r="1936" spans="1:14" ht="15" customHeight="1" x14ac:dyDescent="0.3">
      <c r="A1936" s="19"/>
      <c r="B1936" s="21">
        <v>46091</v>
      </c>
      <c r="C1936" s="21" t="s">
        <v>15</v>
      </c>
      <c r="D1936" s="21" t="s">
        <v>19</v>
      </c>
      <c r="E1936" s="20"/>
      <c r="F1936" s="22" t="s">
        <v>382</v>
      </c>
      <c r="G1936" s="252">
        <v>2970</v>
      </c>
      <c r="I1936" s="1">
        <f>COUNTIF(Tabela1[NF],Tabela1[[#This Row],[NF]])</f>
        <v>0</v>
      </c>
      <c r="K1936" s="26">
        <f>Tabela1[[#This Row],[DT. VENCIMENTO]]</f>
        <v>46091</v>
      </c>
      <c r="N1936" s="14" t="str" cm="1">
        <f t="array" ref="N1936">_xlfn.XLOOKUP(TRIM(D1936),TRIM(DFC!A:A),DFC!A:A,"NÃO ESTÁ NA DFC")</f>
        <v xml:space="preserve">      PEÇAS</v>
      </c>
    </row>
    <row r="1937" spans="1:14" ht="15" customHeight="1" x14ac:dyDescent="0.3">
      <c r="A1937" s="19"/>
      <c r="B1937" s="21">
        <v>46091</v>
      </c>
      <c r="C1937" s="21" t="s">
        <v>15</v>
      </c>
      <c r="D1937" s="21" t="s">
        <v>19</v>
      </c>
      <c r="E1937" s="20"/>
      <c r="F1937" s="22" t="s">
        <v>228</v>
      </c>
      <c r="G1937" s="252">
        <v>1688.5</v>
      </c>
      <c r="I1937" s="1">
        <f>COUNTIF(Tabela1[NF],Tabela1[[#This Row],[NF]])</f>
        <v>0</v>
      </c>
      <c r="K1937" s="26">
        <f>Tabela1[[#This Row],[DT. VENCIMENTO]]</f>
        <v>46091</v>
      </c>
      <c r="N1937" s="14" t="str" cm="1">
        <f t="array" ref="N1937">_xlfn.XLOOKUP(TRIM(D1937),TRIM(DFC!A:A),DFC!A:A,"NÃO ESTÁ NA DFC")</f>
        <v xml:space="preserve">      PEÇAS</v>
      </c>
    </row>
    <row r="1938" spans="1:14" ht="15" customHeight="1" x14ac:dyDescent="0.3">
      <c r="A1938" s="19"/>
      <c r="B1938" s="21">
        <v>46091</v>
      </c>
      <c r="C1938" s="21" t="s">
        <v>15</v>
      </c>
      <c r="D1938" s="21" t="s">
        <v>19</v>
      </c>
      <c r="E1938" s="20" t="s">
        <v>583</v>
      </c>
      <c r="F1938" s="22" t="s">
        <v>342</v>
      </c>
      <c r="G1938" s="252">
        <v>144</v>
      </c>
      <c r="I1938" s="1">
        <f>COUNTIF(Tabela1[NF],Tabela1[[#This Row],[NF]])</f>
        <v>0</v>
      </c>
      <c r="K1938" s="26">
        <f>Tabela1[[#This Row],[DT. VENCIMENTO]]</f>
        <v>46091</v>
      </c>
      <c r="N1938" s="14" t="str" cm="1">
        <f t="array" ref="N1938">_xlfn.XLOOKUP(TRIM(D1938),TRIM(DFC!A:A),DFC!A:A,"NÃO ESTÁ NA DFC")</f>
        <v xml:space="preserve">      PEÇAS</v>
      </c>
    </row>
    <row r="1939" spans="1:14" ht="15" customHeight="1" x14ac:dyDescent="0.3">
      <c r="A1939" s="19"/>
      <c r="B1939" s="21">
        <v>46091</v>
      </c>
      <c r="C1939" s="21" t="s">
        <v>15</v>
      </c>
      <c r="D1939" s="21" t="s">
        <v>19</v>
      </c>
      <c r="E1939" s="20"/>
      <c r="F1939" s="22" t="s">
        <v>722</v>
      </c>
      <c r="G1939" s="252">
        <v>500</v>
      </c>
      <c r="I1939" s="1">
        <f>COUNTIF(Tabela1[NF],Tabela1[[#This Row],[NF]])</f>
        <v>0</v>
      </c>
      <c r="K1939" s="26">
        <f>Tabela1[[#This Row],[DT. VENCIMENTO]]</f>
        <v>46091</v>
      </c>
      <c r="N1939" s="14" t="str" cm="1">
        <f t="array" ref="N1939">_xlfn.XLOOKUP(TRIM(D1939),TRIM(DFC!A:A),DFC!A:A,"NÃO ESTÁ NA DFC")</f>
        <v xml:space="preserve">      PEÇAS</v>
      </c>
    </row>
    <row r="1940" spans="1:14" ht="15" customHeight="1" x14ac:dyDescent="0.3">
      <c r="A1940" s="19"/>
      <c r="B1940" s="21">
        <v>46091</v>
      </c>
      <c r="C1940" s="21" t="s">
        <v>15</v>
      </c>
      <c r="D1940" s="21" t="s">
        <v>96</v>
      </c>
      <c r="E1940" s="20"/>
      <c r="F1940" s="22" t="s">
        <v>648</v>
      </c>
      <c r="G1940" s="252">
        <v>96</v>
      </c>
      <c r="I1940" s="1">
        <f>COUNTIF(Tabela1[NF],Tabela1[[#This Row],[NF]])</f>
        <v>0</v>
      </c>
      <c r="K1940" s="26">
        <f>Tabela1[[#This Row],[DT. VENCIMENTO]]</f>
        <v>46091</v>
      </c>
      <c r="N1940" s="14" t="str" cm="1">
        <f t="array" ref="N1940">_xlfn.XLOOKUP(TRIM(D1940),TRIM(DFC!A:A),DFC!A:A,"NÃO ESTÁ NA DFC")</f>
        <v xml:space="preserve">           JUROS CHEQUE ESPECIAL</v>
      </c>
    </row>
    <row r="1941" spans="1:14" ht="15" customHeight="1" x14ac:dyDescent="0.3">
      <c r="A1941" s="19"/>
      <c r="B1941" s="21">
        <v>46091</v>
      </c>
      <c r="C1941" s="21" t="s">
        <v>15</v>
      </c>
      <c r="D1941" s="21" t="s">
        <v>96</v>
      </c>
      <c r="E1941" s="20"/>
      <c r="F1941" s="22" t="s">
        <v>346</v>
      </c>
      <c r="G1941" s="252">
        <v>147.96</v>
      </c>
      <c r="I1941" s="1">
        <f>COUNTIF(Tabela1[NF],Tabela1[[#This Row],[NF]])</f>
        <v>0</v>
      </c>
      <c r="K1941" s="26">
        <f>Tabela1[[#This Row],[DT. VENCIMENTO]]</f>
        <v>46091</v>
      </c>
      <c r="N1941" s="14" t="str" cm="1">
        <f t="array" ref="N1941">_xlfn.XLOOKUP(TRIM(D1941),TRIM(DFC!A:A),DFC!A:A,"NÃO ESTÁ NA DFC")</f>
        <v xml:space="preserve">           JUROS CHEQUE ESPECIAL</v>
      </c>
    </row>
    <row r="1942" spans="1:14" ht="15" customHeight="1" x14ac:dyDescent="0.3">
      <c r="A1942" s="19"/>
      <c r="B1942" s="21">
        <v>46092</v>
      </c>
      <c r="C1942" s="21" t="s">
        <v>15</v>
      </c>
      <c r="D1942" s="21" t="s">
        <v>723</v>
      </c>
      <c r="E1942" s="28" t="s">
        <v>724</v>
      </c>
      <c r="F1942" s="22" t="s">
        <v>725</v>
      </c>
      <c r="G1942" s="252">
        <v>3814.32</v>
      </c>
      <c r="I1942" s="1">
        <f>COUNTIF(Tabela1[NF],Tabela1[[#This Row],[NF]])</f>
        <v>0</v>
      </c>
      <c r="K1942" s="26">
        <f>Tabela1[[#This Row],[DT. VENCIMENTO]]</f>
        <v>46092</v>
      </c>
      <c r="N1942" s="14" t="str" cm="1">
        <f t="array" ref="N1942">_xlfn.XLOOKUP(TRIM(D1942),TRIM(DFC!A:A),DFC!A:A,"NÃO ESTÁ NA DFC")</f>
        <v xml:space="preserve">         TRADE DE IMPORTAÇÃO</v>
      </c>
    </row>
    <row r="1943" spans="1:14" ht="15" customHeight="1" x14ac:dyDescent="0.3">
      <c r="A1943" s="19"/>
      <c r="B1943" s="21">
        <v>46092</v>
      </c>
      <c r="C1943" s="21" t="s">
        <v>15</v>
      </c>
      <c r="D1943" s="84" t="s">
        <v>726</v>
      </c>
      <c r="E1943" s="20" t="s">
        <v>519</v>
      </c>
      <c r="F1943" s="22" t="s">
        <v>727</v>
      </c>
      <c r="G1943" s="252">
        <v>1669.87</v>
      </c>
      <c r="I1943" s="1">
        <f>COUNTIF(Tabela1[NF],Tabela1[[#This Row],[NF]])</f>
        <v>0</v>
      </c>
      <c r="K1943" s="26">
        <f>Tabela1[[#This Row],[DT. VENCIMENTO]]</f>
        <v>46092</v>
      </c>
      <c r="N1943" s="14" t="str" cm="1">
        <f t="array" ref="N1943">_xlfn.XLOOKUP(TRIM(D1943),TRIM(DFC!A:A),DFC!A:A,"NÃO ESTÁ NA DFC")</f>
        <v xml:space="preserve">     ICMS SC</v>
      </c>
    </row>
    <row r="1944" spans="1:14" ht="15" customHeight="1" x14ac:dyDescent="0.3">
      <c r="A1944" s="19"/>
      <c r="B1944" s="21">
        <v>46092</v>
      </c>
      <c r="C1944" s="21" t="s">
        <v>15</v>
      </c>
      <c r="D1944" s="21" t="s">
        <v>18</v>
      </c>
      <c r="E1944" s="20" t="s">
        <v>652</v>
      </c>
      <c r="F1944" s="22" t="s">
        <v>460</v>
      </c>
      <c r="G1944" s="252">
        <v>3500</v>
      </c>
      <c r="I1944" s="1">
        <f>COUNTIF(Tabela1[NF],Tabela1[[#This Row],[NF]])</f>
        <v>0</v>
      </c>
      <c r="K1944" s="26">
        <f>Tabela1[[#This Row],[DT. VENCIMENTO]]</f>
        <v>46092</v>
      </c>
      <c r="N1944" s="14" t="str" cm="1">
        <f t="array" ref="N1944">_xlfn.XLOOKUP(TRIM(D1944),TRIM(DFC!A:A),DFC!A:A,"NÃO ESTÁ NA DFC")</f>
        <v xml:space="preserve">     COMISSÕES E TAXAS DOS MARKETPLACES</v>
      </c>
    </row>
    <row r="1945" spans="1:14" ht="15" customHeight="1" x14ac:dyDescent="0.3">
      <c r="A1945" s="19"/>
      <c r="B1945" s="21">
        <v>46092</v>
      </c>
      <c r="C1945" s="21" t="s">
        <v>15</v>
      </c>
      <c r="D1945" s="21" t="s">
        <v>43</v>
      </c>
      <c r="E1945" s="20"/>
      <c r="F1945" s="22" t="s">
        <v>728</v>
      </c>
      <c r="G1945" s="252">
        <v>1000</v>
      </c>
      <c r="I1945" s="1">
        <f>COUNTIF(Tabela1[NF],Tabela1[[#This Row],[NF]])</f>
        <v>0</v>
      </c>
      <c r="K1945" s="26">
        <f>Tabela1[[#This Row],[DT. VENCIMENTO]]</f>
        <v>46092</v>
      </c>
      <c r="N1945" s="14" t="str" cm="1">
        <f t="array" ref="N1945">_xlfn.XLOOKUP(TRIM(D1945),TRIM(DFC!A:A),DFC!A:A,"NÃO ESTÁ NA DFC")</f>
        <v xml:space="preserve">          TRABALHISTA</v>
      </c>
    </row>
    <row r="1946" spans="1:14" ht="15" customHeight="1" x14ac:dyDescent="0.3">
      <c r="A1946" s="19"/>
      <c r="B1946" s="21">
        <v>46092</v>
      </c>
      <c r="C1946" s="21" t="s">
        <v>15</v>
      </c>
      <c r="D1946" s="21" t="s">
        <v>43</v>
      </c>
      <c r="E1946" s="20"/>
      <c r="F1946" s="22" t="s">
        <v>729</v>
      </c>
      <c r="G1946" s="252">
        <v>87.8</v>
      </c>
      <c r="I1946" s="1">
        <f>COUNTIF(Tabela1[NF],Tabela1[[#This Row],[NF]])</f>
        <v>0</v>
      </c>
      <c r="K1946" s="26">
        <f>Tabela1[[#This Row],[DT. VENCIMENTO]]</f>
        <v>46092</v>
      </c>
      <c r="N1946" s="14" t="str" cm="1">
        <f t="array" ref="N1946">_xlfn.XLOOKUP(TRIM(D1946),TRIM(DFC!A:A),DFC!A:A,"NÃO ESTÁ NA DFC")</f>
        <v xml:space="preserve">          TRABALHISTA</v>
      </c>
    </row>
    <row r="1947" spans="1:14" ht="15" customHeight="1" x14ac:dyDescent="0.3">
      <c r="A1947" s="19"/>
      <c r="B1947" s="21">
        <v>46092</v>
      </c>
      <c r="C1947" s="21" t="s">
        <v>15</v>
      </c>
      <c r="D1947" s="21" t="s">
        <v>43</v>
      </c>
      <c r="E1947" s="20"/>
      <c r="F1947" s="22" t="s">
        <v>728</v>
      </c>
      <c r="G1947" s="252">
        <v>300</v>
      </c>
      <c r="I1947" s="1">
        <f>COUNTIF(Tabela1[NF],Tabela1[[#This Row],[NF]])</f>
        <v>0</v>
      </c>
      <c r="K1947" s="26">
        <f>Tabela1[[#This Row],[DT. VENCIMENTO]]</f>
        <v>46092</v>
      </c>
      <c r="N1947" s="14" t="str" cm="1">
        <f t="array" ref="N1947">_xlfn.XLOOKUP(TRIM(D1947),TRIM(DFC!A:A),DFC!A:A,"NÃO ESTÁ NA DFC")</f>
        <v xml:space="preserve">          TRABALHISTA</v>
      </c>
    </row>
    <row r="1948" spans="1:14" ht="15" customHeight="1" x14ac:dyDescent="0.3">
      <c r="A1948" s="19"/>
      <c r="B1948" s="21">
        <v>46092</v>
      </c>
      <c r="C1948" s="21" t="s">
        <v>15</v>
      </c>
      <c r="D1948" s="21" t="s">
        <v>19</v>
      </c>
      <c r="E1948" s="20" t="s">
        <v>583</v>
      </c>
      <c r="F1948" s="22" t="s">
        <v>585</v>
      </c>
      <c r="G1948" s="252">
        <v>8626.31</v>
      </c>
      <c r="I1948" s="1">
        <f>COUNTIF(Tabela1[NF],Tabela1[[#This Row],[NF]])</f>
        <v>0</v>
      </c>
      <c r="K1948" s="26">
        <f>Tabela1[[#This Row],[DT. VENCIMENTO]]</f>
        <v>46092</v>
      </c>
      <c r="N1948" s="14" t="str" cm="1">
        <f t="array" ref="N1948">_xlfn.XLOOKUP(TRIM(D1948),TRIM(DFC!A:A),DFC!A:A,"NÃO ESTÁ NA DFC")</f>
        <v xml:space="preserve">      PEÇAS</v>
      </c>
    </row>
    <row r="1949" spans="1:14" ht="15" customHeight="1" x14ac:dyDescent="0.3">
      <c r="A1949" s="19"/>
      <c r="B1949" s="21">
        <v>46092</v>
      </c>
      <c r="C1949" s="21" t="s">
        <v>15</v>
      </c>
      <c r="D1949" s="480" t="s">
        <v>730</v>
      </c>
      <c r="E1949" s="20" t="s">
        <v>519</v>
      </c>
      <c r="F1949" s="22" t="s">
        <v>488</v>
      </c>
      <c r="G1949" s="252">
        <v>618.22</v>
      </c>
      <c r="I1949" s="1">
        <f>COUNTIF(Tabela1[NF],Tabela1[[#This Row],[NF]])</f>
        <v>0</v>
      </c>
      <c r="K1949" s="26">
        <f>Tabela1[[#This Row],[DT. VENCIMENTO]]</f>
        <v>46092</v>
      </c>
      <c r="N1949" s="14" t="str" cm="1">
        <f t="array" ref="N1949">_xlfn.XLOOKUP(TRIM(D1949),TRIM(DFC!A:A),DFC!A:A,"NÃO ESTÁ NA DFC")</f>
        <v xml:space="preserve">     OUTROS IMPOSTOS</v>
      </c>
    </row>
    <row r="1950" spans="1:14" ht="15" customHeight="1" x14ac:dyDescent="0.3">
      <c r="A1950" s="19"/>
      <c r="B1950" s="21">
        <v>46092</v>
      </c>
      <c r="C1950" s="21" t="s">
        <v>15</v>
      </c>
      <c r="D1950" s="480" t="s">
        <v>730</v>
      </c>
      <c r="E1950" s="20" t="s">
        <v>519</v>
      </c>
      <c r="F1950" s="22" t="s">
        <v>488</v>
      </c>
      <c r="G1950" s="252">
        <v>554.83000000000004</v>
      </c>
      <c r="I1950" s="1">
        <f>COUNTIF(Tabela1[NF],Tabela1[[#This Row],[NF]])</f>
        <v>0</v>
      </c>
      <c r="K1950" s="26">
        <f>Tabela1[[#This Row],[DT. VENCIMENTO]]</f>
        <v>46092</v>
      </c>
      <c r="N1950" s="14" t="str" cm="1">
        <f t="array" ref="N1950">_xlfn.XLOOKUP(TRIM(D1950),TRIM(DFC!A:A),DFC!A:A,"NÃO ESTÁ NA DFC")</f>
        <v xml:space="preserve">     OUTROS IMPOSTOS</v>
      </c>
    </row>
    <row r="1951" spans="1:14" ht="15" customHeight="1" x14ac:dyDescent="0.3">
      <c r="A1951" s="19"/>
      <c r="B1951" s="21">
        <v>46092</v>
      </c>
      <c r="C1951" s="21" t="s">
        <v>15</v>
      </c>
      <c r="D1951" s="480" t="s">
        <v>730</v>
      </c>
      <c r="E1951" s="20" t="s">
        <v>519</v>
      </c>
      <c r="F1951" s="22" t="s">
        <v>248</v>
      </c>
      <c r="G1951" s="252">
        <v>3698.74</v>
      </c>
      <c r="I1951" s="1">
        <f>COUNTIF(Tabela1[NF],Tabela1[[#This Row],[NF]])</f>
        <v>0</v>
      </c>
      <c r="K1951" s="26">
        <f>Tabela1[[#This Row],[DT. VENCIMENTO]]</f>
        <v>46092</v>
      </c>
      <c r="N1951" s="14" t="str" cm="1">
        <f t="array" ref="N1951">_xlfn.XLOOKUP(TRIM(D1951),TRIM(DFC!A:A),DFC!A:A,"NÃO ESTÁ NA DFC")</f>
        <v xml:space="preserve">     OUTROS IMPOSTOS</v>
      </c>
    </row>
    <row r="1952" spans="1:14" ht="15" customHeight="1" x14ac:dyDescent="0.3">
      <c r="A1952" s="19"/>
      <c r="B1952" s="21">
        <v>46092</v>
      </c>
      <c r="C1952" s="21" t="s">
        <v>15</v>
      </c>
      <c r="D1952" s="84" t="s">
        <v>731</v>
      </c>
      <c r="E1952" s="20" t="s">
        <v>519</v>
      </c>
      <c r="F1952" s="22" t="s">
        <v>732</v>
      </c>
      <c r="G1952" s="252">
        <v>241.49</v>
      </c>
      <c r="I1952" s="1">
        <f>COUNTIF(Tabela1[NF],Tabela1[[#This Row],[NF]])</f>
        <v>0</v>
      </c>
      <c r="K1952" s="26">
        <f>Tabela1[[#This Row],[DT. VENCIMENTO]]</f>
        <v>46092</v>
      </c>
      <c r="N1952" s="14" t="str" cm="1">
        <f t="array" ref="N1952">_xlfn.XLOOKUP(TRIM(D1952),TRIM(DFC!A:A),DFC!A:A,"NÃO ESTÁ NA DFC")</f>
        <v xml:space="preserve">     DIFAL</v>
      </c>
    </row>
    <row r="1953" spans="1:14" ht="15" customHeight="1" x14ac:dyDescent="0.3">
      <c r="A1953" s="19"/>
      <c r="B1953" s="21">
        <v>46092</v>
      </c>
      <c r="C1953" s="21" t="s">
        <v>15</v>
      </c>
      <c r="D1953" s="480" t="s">
        <v>730</v>
      </c>
      <c r="E1953" s="20" t="s">
        <v>519</v>
      </c>
      <c r="F1953" s="22" t="s">
        <v>399</v>
      </c>
      <c r="G1953" s="252">
        <v>2380.04</v>
      </c>
      <c r="I1953" s="1">
        <f>COUNTIF(Tabela1[NF],Tabela1[[#This Row],[NF]])</f>
        <v>0</v>
      </c>
      <c r="K1953" s="26">
        <f>Tabela1[[#This Row],[DT. VENCIMENTO]]</f>
        <v>46092</v>
      </c>
      <c r="N1953" s="14" t="str" cm="1">
        <f t="array" ref="N1953">_xlfn.XLOOKUP(TRIM(D1953),TRIM(DFC!A:A),DFC!A:A,"NÃO ESTÁ NA DFC")</f>
        <v xml:space="preserve">     OUTROS IMPOSTOS</v>
      </c>
    </row>
    <row r="1954" spans="1:14" ht="15" customHeight="1" x14ac:dyDescent="0.3">
      <c r="A1954" s="19"/>
      <c r="B1954" s="21">
        <v>46093</v>
      </c>
      <c r="C1954" s="21" t="s">
        <v>15</v>
      </c>
      <c r="D1954" s="21" t="s">
        <v>19</v>
      </c>
      <c r="E1954" s="20" t="s">
        <v>573</v>
      </c>
      <c r="F1954" s="22" t="s">
        <v>483</v>
      </c>
      <c r="G1954" s="252">
        <v>3202.03</v>
      </c>
      <c r="I1954" s="1">
        <f>COUNTIF(Tabela1[NF],Tabela1[[#This Row],[NF]])</f>
        <v>0</v>
      </c>
      <c r="K1954" s="26">
        <f>Tabela1[[#This Row],[DT. VENCIMENTO]]</f>
        <v>46093</v>
      </c>
      <c r="N1954" s="14" t="str" cm="1">
        <f t="array" ref="N1954">_xlfn.XLOOKUP(TRIM(D1954),TRIM(DFC!A:A),DFC!A:A,"NÃO ESTÁ NA DFC")</f>
        <v xml:space="preserve">      PEÇAS</v>
      </c>
    </row>
    <row r="1955" spans="1:14" ht="15" customHeight="1" x14ac:dyDescent="0.3">
      <c r="A1955" s="19"/>
      <c r="B1955" s="21">
        <v>46093</v>
      </c>
      <c r="C1955" s="21" t="s">
        <v>15</v>
      </c>
      <c r="D1955" s="21" t="s">
        <v>154</v>
      </c>
      <c r="E1955" s="20"/>
      <c r="F1955" s="22" t="s">
        <v>394</v>
      </c>
      <c r="G1955" s="252">
        <v>1395.78</v>
      </c>
      <c r="I1955" s="1">
        <f>COUNTIF(Tabela1[NF],Tabela1[[#This Row],[NF]])</f>
        <v>0</v>
      </c>
      <c r="K1955" s="26">
        <f>Tabela1[[#This Row],[DT. VENCIMENTO]]</f>
        <v>46093</v>
      </c>
      <c r="N1955" s="14" t="str" cm="1">
        <f t="array" ref="N1955">_xlfn.XLOOKUP(TRIM(D1955),TRIM(DFC!A:A),DFC!A:A,"NÃO ESTÁ NA DFC")</f>
        <v xml:space="preserve">      EMBALAGENS</v>
      </c>
    </row>
    <row r="1956" spans="1:14" ht="15" customHeight="1" x14ac:dyDescent="0.3">
      <c r="A1956" s="19"/>
      <c r="B1956" s="21">
        <v>46093</v>
      </c>
      <c r="C1956" s="21" t="s">
        <v>15</v>
      </c>
      <c r="D1956" s="21" t="s">
        <v>27</v>
      </c>
      <c r="E1956" s="20"/>
      <c r="F1956" s="22" t="s">
        <v>227</v>
      </c>
      <c r="G1956" s="252">
        <v>1439.94</v>
      </c>
      <c r="I1956" s="1">
        <f>COUNTIF(Tabela1[NF],Tabela1[[#This Row],[NF]])</f>
        <v>0</v>
      </c>
      <c r="K1956" s="26">
        <f>Tabela1[[#This Row],[DT. VENCIMENTO]]</f>
        <v>46093</v>
      </c>
      <c r="N1956" s="14" t="str" cm="1">
        <f t="array" ref="N1956">_xlfn.XLOOKUP(TRIM(D1956),TRIM(DFC!A:A),DFC!A:A,"NÃO ESTÁ NA DFC")</f>
        <v xml:space="preserve">         ERP</v>
      </c>
    </row>
    <row r="1957" spans="1:14" ht="15" customHeight="1" x14ac:dyDescent="0.3">
      <c r="A1957" s="19"/>
      <c r="B1957" s="21">
        <v>46093</v>
      </c>
      <c r="C1957" s="21" t="s">
        <v>15</v>
      </c>
      <c r="D1957" s="21" t="s">
        <v>19</v>
      </c>
      <c r="E1957" s="20"/>
      <c r="F1957" s="22" t="s">
        <v>228</v>
      </c>
      <c r="G1957" s="252">
        <v>6543.04</v>
      </c>
      <c r="I1957" s="1">
        <f>COUNTIF(Tabela1[NF],Tabela1[[#This Row],[NF]])</f>
        <v>0</v>
      </c>
      <c r="K1957" s="26">
        <f>Tabela1[[#This Row],[DT. VENCIMENTO]]</f>
        <v>46093</v>
      </c>
      <c r="N1957" s="14" t="str" cm="1">
        <f t="array" ref="N1957">_xlfn.XLOOKUP(TRIM(D1957),TRIM(DFC!A:A),DFC!A:A,"NÃO ESTÁ NA DFC")</f>
        <v xml:space="preserve">      PEÇAS</v>
      </c>
    </row>
    <row r="1958" spans="1:14" ht="14.4" customHeight="1" x14ac:dyDescent="0.3">
      <c r="A1958" s="19"/>
      <c r="B1958" s="21">
        <v>46093</v>
      </c>
      <c r="C1958" s="21" t="s">
        <v>15</v>
      </c>
      <c r="D1958" s="21" t="s">
        <v>41</v>
      </c>
      <c r="E1958" s="20"/>
      <c r="F1958" s="22" t="s">
        <v>345</v>
      </c>
      <c r="G1958" s="252">
        <v>84.15</v>
      </c>
      <c r="I1958" s="1">
        <f>COUNTIF(Tabela1[NF],Tabela1[[#This Row],[NF]])</f>
        <v>0</v>
      </c>
      <c r="K1958" s="26">
        <f>Tabela1[[#This Row],[DT. VENCIMENTO]]</f>
        <v>46093</v>
      </c>
      <c r="N1958" s="14" t="str" cm="1">
        <f t="array" ref="N1958">_xlfn.XLOOKUP(TRIM(D1958),TRIM(DFC!A:A),DFC!A:A,"NÃO ESTÁ NA DFC")</f>
        <v xml:space="preserve">         T.I</v>
      </c>
    </row>
    <row r="1959" spans="1:14" ht="15" customHeight="1" x14ac:dyDescent="0.3">
      <c r="A1959" s="19"/>
      <c r="B1959" s="21">
        <v>46093</v>
      </c>
      <c r="C1959" s="21" t="s">
        <v>15</v>
      </c>
      <c r="D1959" s="21" t="s">
        <v>726</v>
      </c>
      <c r="E1959" s="20" t="s">
        <v>519</v>
      </c>
      <c r="F1959" s="22" t="s">
        <v>733</v>
      </c>
      <c r="G1959" s="252">
        <v>1679.89</v>
      </c>
      <c r="I1959" s="1">
        <f>COUNTIF(Tabela1[NF],Tabela1[[#This Row],[NF]])</f>
        <v>0</v>
      </c>
      <c r="K1959" s="26">
        <f>Tabela1[[#This Row],[DT. VENCIMENTO]]</f>
        <v>46093</v>
      </c>
      <c r="N1959" s="14" t="str" cm="1">
        <f t="array" ref="N1959">_xlfn.XLOOKUP(TRIM(D1959),TRIM(DFC!A:A),DFC!A:A,"NÃO ESTÁ NA DFC")</f>
        <v xml:space="preserve">     ICMS SC</v>
      </c>
    </row>
    <row r="1960" spans="1:14" ht="15" customHeight="1" x14ac:dyDescent="0.3">
      <c r="A1960" s="19"/>
      <c r="B1960" s="21">
        <v>46093</v>
      </c>
      <c r="C1960" s="21" t="s">
        <v>15</v>
      </c>
      <c r="D1960" s="21" t="s">
        <v>60</v>
      </c>
      <c r="E1960" s="20" t="s">
        <v>734</v>
      </c>
      <c r="F1960" s="22" t="s">
        <v>582</v>
      </c>
      <c r="G1960" s="252">
        <v>13388.92</v>
      </c>
      <c r="I1960" s="1">
        <f>COUNTIF(Tabela1[NF],Tabela1[[#This Row],[NF]])</f>
        <v>0</v>
      </c>
      <c r="K1960" s="26">
        <f>Tabela1[[#This Row],[DT. VENCIMENTO]]</f>
        <v>46093</v>
      </c>
      <c r="N1960" s="14" t="str" cm="1">
        <f t="array" ref="N1960">_xlfn.XLOOKUP(TRIM(D1960),TRIM(DFC!A:A),DFC!A:A,"NÃO ESTÁ NA DFC")</f>
        <v xml:space="preserve">          ALUGUEL</v>
      </c>
    </row>
    <row r="1961" spans="1:14" ht="15" customHeight="1" x14ac:dyDescent="0.3">
      <c r="A1961" s="19"/>
      <c r="B1961" s="21">
        <v>46094</v>
      </c>
      <c r="C1961" s="21" t="s">
        <v>15</v>
      </c>
      <c r="D1961" s="21" t="s">
        <v>110</v>
      </c>
      <c r="E1961" s="20"/>
      <c r="F1961" s="22" t="s">
        <v>632</v>
      </c>
      <c r="G1961" s="252">
        <v>107.97</v>
      </c>
      <c r="I1961" s="1">
        <f>COUNTIF(Tabela1[NF],Tabela1[[#This Row],[NF]])</f>
        <v>0</v>
      </c>
      <c r="K1961" s="26">
        <f>Tabela1[[#This Row],[DT. VENCIMENTO]]</f>
        <v>46094</v>
      </c>
      <c r="N1961" s="14" t="str" cm="1">
        <f t="array" ref="N1961">_xlfn.XLOOKUP(TRIM(D1961),TRIM(DFC!A:A),DFC!A:A,"NÃO ESTÁ NA DFC")</f>
        <v xml:space="preserve">          REEMBOLSO</v>
      </c>
    </row>
    <row r="1962" spans="1:14" ht="15" customHeight="1" x14ac:dyDescent="0.3">
      <c r="A1962" s="19"/>
      <c r="B1962" s="21">
        <v>46094</v>
      </c>
      <c r="C1962" s="21" t="s">
        <v>15</v>
      </c>
      <c r="D1962" s="21" t="s">
        <v>110</v>
      </c>
      <c r="E1962" s="20"/>
      <c r="F1962" s="22" t="s">
        <v>632</v>
      </c>
      <c r="G1962" s="252">
        <v>31.46</v>
      </c>
      <c r="I1962" s="1">
        <f>COUNTIF(Tabela1[NF],Tabela1[[#This Row],[NF]])</f>
        <v>0</v>
      </c>
      <c r="K1962" s="26">
        <f>Tabela1[[#This Row],[DT. VENCIMENTO]]</f>
        <v>46094</v>
      </c>
      <c r="N1962" s="14" t="str" cm="1">
        <f t="array" ref="N1962">_xlfn.XLOOKUP(TRIM(D1962),TRIM(DFC!A:A),DFC!A:A,"NÃO ESTÁ NA DFC")</f>
        <v xml:space="preserve">          REEMBOLSO</v>
      </c>
    </row>
    <row r="1963" spans="1:14" ht="15" customHeight="1" x14ac:dyDescent="0.3">
      <c r="A1963" s="19"/>
      <c r="B1963" s="21">
        <v>46094</v>
      </c>
      <c r="C1963" s="21" t="s">
        <v>15</v>
      </c>
      <c r="D1963" s="21" t="s">
        <v>86</v>
      </c>
      <c r="E1963" s="20" t="s">
        <v>519</v>
      </c>
      <c r="F1963" s="22" t="s">
        <v>399</v>
      </c>
      <c r="G1963" s="252">
        <v>153.87</v>
      </c>
      <c r="I1963" s="1">
        <f>COUNTIF(Tabela1[NF],Tabela1[[#This Row],[NF]])</f>
        <v>0</v>
      </c>
      <c r="K1963" s="26">
        <f>Tabela1[[#This Row],[DT. VENCIMENTO]]</f>
        <v>46094</v>
      </c>
      <c r="N1963" s="14" t="str" cm="1">
        <f t="array" ref="N1963">_xlfn.XLOOKUP(TRIM(D1963),TRIM(DFC!A:A),DFC!A:A,"NÃO ESTÁ NA DFC")</f>
        <v xml:space="preserve">          FGTS</v>
      </c>
    </row>
    <row r="1964" spans="1:14" ht="15" customHeight="1" x14ac:dyDescent="0.3">
      <c r="A1964" s="19"/>
      <c r="B1964" s="21">
        <v>46094</v>
      </c>
      <c r="C1964" s="21" t="s">
        <v>15</v>
      </c>
      <c r="D1964" s="21" t="s">
        <v>82</v>
      </c>
      <c r="E1964" s="20"/>
      <c r="F1964" s="22" t="s">
        <v>629</v>
      </c>
      <c r="G1964" s="252">
        <v>593.29999999999995</v>
      </c>
      <c r="I1964" s="1">
        <f>COUNTIF(Tabela1[NF],Tabela1[[#This Row],[NF]])</f>
        <v>0</v>
      </c>
      <c r="K1964" s="26">
        <f>Tabela1[[#This Row],[DT. VENCIMENTO]]</f>
        <v>46094</v>
      </c>
      <c r="N1964" s="14" t="str" cm="1">
        <f t="array" ref="N1964">_xlfn.XLOOKUP(TRIM(D1964),TRIM(DFC!A:A),DFC!A:A,"NÃO ESTÁ NA DFC")</f>
        <v xml:space="preserve">          DIÁRIAS</v>
      </c>
    </row>
    <row r="1965" spans="1:14" ht="15" customHeight="1" x14ac:dyDescent="0.3">
      <c r="A1965" s="19"/>
      <c r="B1965" s="21">
        <v>46094</v>
      </c>
      <c r="C1965" s="21" t="s">
        <v>15</v>
      </c>
      <c r="D1965" s="21" t="s">
        <v>82</v>
      </c>
      <c r="E1965" s="20"/>
      <c r="F1965" s="22" t="s">
        <v>710</v>
      </c>
      <c r="G1965" s="252">
        <v>500</v>
      </c>
      <c r="I1965" s="1">
        <f>COUNTIF(Tabela1[NF],Tabela1[[#This Row],[NF]])</f>
        <v>0</v>
      </c>
      <c r="K1965" s="26">
        <f>Tabela1[[#This Row],[DT. VENCIMENTO]]</f>
        <v>46094</v>
      </c>
      <c r="N1965" s="14" t="str" cm="1">
        <f t="array" ref="N1965">_xlfn.XLOOKUP(TRIM(D1965),TRIM(DFC!A:A),DFC!A:A,"NÃO ESTÁ NA DFC")</f>
        <v xml:space="preserve">          DIÁRIAS</v>
      </c>
    </row>
    <row r="1966" spans="1:14" ht="15" customHeight="1" x14ac:dyDescent="0.3">
      <c r="A1966" s="19" t="s">
        <v>735</v>
      </c>
      <c r="B1966" s="21">
        <v>46095</v>
      </c>
      <c r="C1966" s="21" t="s">
        <v>15</v>
      </c>
      <c r="D1966" s="21" t="s">
        <v>19</v>
      </c>
      <c r="E1966" s="20"/>
      <c r="F1966" s="299" t="s">
        <v>736</v>
      </c>
      <c r="G1966" s="300">
        <v>448.5</v>
      </c>
      <c r="I1966" s="1">
        <f>COUNTIF(Tabela1[NF],Tabela1[[#This Row],[NF]])</f>
        <v>1</v>
      </c>
      <c r="K1966" s="26">
        <v>46097</v>
      </c>
      <c r="N1966" s="14" t="str" cm="1">
        <f t="array" ref="N1966">_xlfn.XLOOKUP(TRIM(D1966),TRIM(DFC!A:A),DFC!A:A,"NÃO ESTÁ NA DFC")</f>
        <v xml:space="preserve">      PEÇAS</v>
      </c>
    </row>
    <row r="1967" spans="1:14" ht="15" customHeight="1" x14ac:dyDescent="0.3">
      <c r="A1967" s="19" t="s">
        <v>737</v>
      </c>
      <c r="B1967" s="21">
        <v>46095</v>
      </c>
      <c r="C1967" s="21" t="s">
        <v>15</v>
      </c>
      <c r="D1967" s="21" t="s">
        <v>19</v>
      </c>
      <c r="E1967" s="20"/>
      <c r="F1967" s="299" t="s">
        <v>736</v>
      </c>
      <c r="G1967" s="300">
        <v>1550.5</v>
      </c>
      <c r="I1967" s="1">
        <f>COUNTIF(Tabela1[NF],Tabela1[[#This Row],[NF]])</f>
        <v>1</v>
      </c>
      <c r="K1967" s="26">
        <v>46097</v>
      </c>
      <c r="N1967" s="14" t="str" cm="1">
        <f t="array" ref="N1967">_xlfn.XLOOKUP(TRIM(D1967),TRIM(DFC!A:A),DFC!A:A,"NÃO ESTÁ NA DFC")</f>
        <v xml:space="preserve">      PEÇAS</v>
      </c>
    </row>
    <row r="1968" spans="1:14" ht="15" customHeight="1" x14ac:dyDescent="0.3">
      <c r="A1968" s="19">
        <v>1086771</v>
      </c>
      <c r="B1968" s="21">
        <v>46095</v>
      </c>
      <c r="C1968" s="21" t="s">
        <v>15</v>
      </c>
      <c r="D1968" s="21" t="s">
        <v>19</v>
      </c>
      <c r="E1968" s="20"/>
      <c r="F1968" s="299" t="s">
        <v>237</v>
      </c>
      <c r="G1968" s="300">
        <v>822</v>
      </c>
      <c r="I1968" s="1">
        <f>COUNTIF(Tabela1[NF],Tabela1[[#This Row],[NF]])</f>
        <v>1</v>
      </c>
      <c r="K1968" s="26">
        <v>46097</v>
      </c>
      <c r="N1968" s="14" t="str" cm="1">
        <f t="array" ref="N1968">_xlfn.XLOOKUP(TRIM(D1968),TRIM(DFC!A:A),DFC!A:A,"NÃO ESTÁ NA DFC")</f>
        <v xml:space="preserve">      PEÇAS</v>
      </c>
    </row>
    <row r="1969" spans="1:14" ht="15" customHeight="1" x14ac:dyDescent="0.3">
      <c r="A1969" s="19">
        <v>182</v>
      </c>
      <c r="B1969" s="21">
        <v>46095</v>
      </c>
      <c r="C1969" s="21" t="s">
        <v>15</v>
      </c>
      <c r="D1969" s="21" t="s">
        <v>19</v>
      </c>
      <c r="E1969" s="20"/>
      <c r="F1969" s="299" t="s">
        <v>738</v>
      </c>
      <c r="G1969" s="300">
        <v>950</v>
      </c>
      <c r="I1969" s="1">
        <f>COUNTIF(Tabela1[NF],Tabela1[[#This Row],[NF]])</f>
        <v>1</v>
      </c>
      <c r="K1969" s="26">
        <v>46097</v>
      </c>
      <c r="N1969" s="14" t="str" cm="1">
        <f t="array" ref="N1969">_xlfn.XLOOKUP(TRIM(D1969),TRIM(DFC!A:A),DFC!A:A,"NÃO ESTÁ NA DFC")</f>
        <v xml:space="preserve">      PEÇAS</v>
      </c>
    </row>
    <row r="1970" spans="1:14" ht="15" customHeight="1" x14ac:dyDescent="0.3">
      <c r="A1970" s="19">
        <v>117575</v>
      </c>
      <c r="B1970" s="21">
        <v>46095</v>
      </c>
      <c r="C1970" s="21" t="s">
        <v>15</v>
      </c>
      <c r="D1970" s="21" t="s">
        <v>37</v>
      </c>
      <c r="E1970" s="20"/>
      <c r="F1970" s="299" t="s">
        <v>292</v>
      </c>
      <c r="G1970" s="300">
        <v>242.9</v>
      </c>
      <c r="I1970" s="1">
        <f>COUNTIF(Tabela1[NF],Tabela1[[#This Row],[NF]])</f>
        <v>1</v>
      </c>
      <c r="K1970" s="26">
        <v>46097</v>
      </c>
      <c r="N1970" s="14" t="str" cm="1">
        <f t="array" ref="N1970">_xlfn.XLOOKUP(TRIM(D1970),TRIM(DFC!A:A),DFC!A:A,"NÃO ESTÁ NA DFC")</f>
        <v xml:space="preserve">          MATERIAL DE ESCRITÓRIO</v>
      </c>
    </row>
    <row r="1971" spans="1:14" ht="15" customHeight="1" x14ac:dyDescent="0.3">
      <c r="A1971" s="19" t="s">
        <v>739</v>
      </c>
      <c r="B1971" s="21">
        <v>46096</v>
      </c>
      <c r="C1971" s="21" t="s">
        <v>15</v>
      </c>
      <c r="D1971" s="21" t="s">
        <v>154</v>
      </c>
      <c r="E1971" s="20"/>
      <c r="F1971" s="299" t="s">
        <v>241</v>
      </c>
      <c r="G1971" s="300">
        <v>2397.4699999999998</v>
      </c>
      <c r="I1971" s="1">
        <f>COUNTIF(Tabela1[NF],Tabela1[[#This Row],[NF]])</f>
        <v>1</v>
      </c>
      <c r="K1971" s="26">
        <v>46097</v>
      </c>
      <c r="N1971" s="14" t="str" cm="1">
        <f t="array" ref="N1971">_xlfn.XLOOKUP(TRIM(D1971),TRIM(DFC!A:A),DFC!A:A,"NÃO ESTÁ NA DFC")</f>
        <v xml:space="preserve">      EMBALAGENS</v>
      </c>
    </row>
    <row r="1972" spans="1:14" ht="15" customHeight="1" x14ac:dyDescent="0.3">
      <c r="A1972" s="19">
        <v>1828967</v>
      </c>
      <c r="B1972" s="21">
        <v>46096</v>
      </c>
      <c r="C1972" s="21" t="s">
        <v>15</v>
      </c>
      <c r="D1972" s="21" t="s">
        <v>34</v>
      </c>
      <c r="E1972" s="20"/>
      <c r="F1972" s="299" t="s">
        <v>740</v>
      </c>
      <c r="G1972" s="300">
        <v>149.9</v>
      </c>
      <c r="I1972" s="1">
        <f>COUNTIF(Tabela1[NF],Tabela1[[#This Row],[NF]])</f>
        <v>1</v>
      </c>
      <c r="K1972" s="26">
        <v>46097</v>
      </c>
      <c r="N1972" s="14" t="str" cm="1">
        <f t="array" ref="N1972">_xlfn.XLOOKUP(TRIM(D1972),TRIM(DFC!A:A),DFC!A:A,"NÃO ESTÁ NA DFC")</f>
        <v xml:space="preserve">          INTERNET</v>
      </c>
    </row>
    <row r="1973" spans="1:14" ht="15" customHeight="1" x14ac:dyDescent="0.3">
      <c r="A1973" s="19" t="s">
        <v>741</v>
      </c>
      <c r="B1973" s="21">
        <v>46096</v>
      </c>
      <c r="C1973" s="21" t="s">
        <v>15</v>
      </c>
      <c r="D1973" s="21" t="s">
        <v>225</v>
      </c>
      <c r="E1973" s="20"/>
      <c r="F1973" s="299" t="s">
        <v>742</v>
      </c>
      <c r="G1973" s="300">
        <v>3460.62</v>
      </c>
      <c r="I1973" s="1">
        <f>COUNTIF(Tabela1[NF],Tabela1[[#This Row],[NF]])</f>
        <v>1</v>
      </c>
      <c r="K1973" s="26">
        <v>46097</v>
      </c>
      <c r="N1973" s="14" t="str" cm="1">
        <f t="array" ref="N1973">_xlfn.XLOOKUP(TRIM(D1973),TRIM(DFC!A:A),DFC!A:A,"NÃO ESTÁ NA DFC")</f>
        <v xml:space="preserve">     ANYMARKET TAXAS</v>
      </c>
    </row>
    <row r="1974" spans="1:14" ht="15" customHeight="1" x14ac:dyDescent="0.3">
      <c r="A1974" s="19" t="s">
        <v>743</v>
      </c>
      <c r="B1974" s="21">
        <v>46097</v>
      </c>
      <c r="C1974" s="21" t="s">
        <v>15</v>
      </c>
      <c r="D1974" s="21" t="s">
        <v>19</v>
      </c>
      <c r="E1974" s="20"/>
      <c r="F1974" s="299" t="s">
        <v>744</v>
      </c>
      <c r="G1974" s="300">
        <v>1325.8</v>
      </c>
      <c r="I1974" s="1">
        <f>COUNTIF(Tabela1[NF],Tabela1[[#This Row],[NF]])</f>
        <v>1</v>
      </c>
      <c r="K1974" s="26">
        <v>46097</v>
      </c>
      <c r="N1974" s="14" t="str" cm="1">
        <f t="array" ref="N1974">_xlfn.XLOOKUP(TRIM(D1974),TRIM(DFC!A:A),DFC!A:A,"NÃO ESTÁ NA DFC")</f>
        <v xml:space="preserve">      PEÇAS</v>
      </c>
    </row>
    <row r="1975" spans="1:14" ht="15" customHeight="1" x14ac:dyDescent="0.3">
      <c r="A1975" s="19" t="s">
        <v>745</v>
      </c>
      <c r="B1975" s="21">
        <v>46097</v>
      </c>
      <c r="C1975" s="21" t="s">
        <v>15</v>
      </c>
      <c r="D1975" s="21" t="s">
        <v>19</v>
      </c>
      <c r="E1975" s="20"/>
      <c r="F1975" s="299" t="s">
        <v>746</v>
      </c>
      <c r="G1975" s="300">
        <v>722.33</v>
      </c>
      <c r="I1975" s="1">
        <f>COUNTIF(Tabela1[NF],Tabela1[[#This Row],[NF]])</f>
        <v>1</v>
      </c>
      <c r="K1975" s="26">
        <v>46097</v>
      </c>
      <c r="N1975" s="14" t="str" cm="1">
        <f t="array" ref="N1975">_xlfn.XLOOKUP(TRIM(D1975),TRIM(DFC!A:A),DFC!A:A,"NÃO ESTÁ NA DFC")</f>
        <v xml:space="preserve">      PEÇAS</v>
      </c>
    </row>
    <row r="1976" spans="1:14" ht="15" customHeight="1" x14ac:dyDescent="0.3">
      <c r="A1976" s="19" t="s">
        <v>747</v>
      </c>
      <c r="B1976" s="21">
        <v>46097</v>
      </c>
      <c r="C1976" s="21" t="s">
        <v>15</v>
      </c>
      <c r="D1976" s="21" t="s">
        <v>19</v>
      </c>
      <c r="E1976" s="20"/>
      <c r="F1976" s="299" t="s">
        <v>748</v>
      </c>
      <c r="G1976" s="300">
        <v>3016</v>
      </c>
      <c r="I1976" s="1">
        <f>COUNTIF(Tabela1[NF],Tabela1[[#This Row],[NF]])</f>
        <v>1</v>
      </c>
      <c r="K1976" s="26">
        <v>46097</v>
      </c>
      <c r="N1976" s="14" t="str" cm="1">
        <f t="array" ref="N1976">_xlfn.XLOOKUP(TRIM(D1976),TRIM(DFC!A:A),DFC!A:A,"NÃO ESTÁ NA DFC")</f>
        <v xml:space="preserve">      PEÇAS</v>
      </c>
    </row>
    <row r="1977" spans="1:14" ht="15" customHeight="1" x14ac:dyDescent="0.3">
      <c r="A1977" s="19">
        <v>31651</v>
      </c>
      <c r="B1977" s="21">
        <v>46097</v>
      </c>
      <c r="C1977" s="21" t="s">
        <v>15</v>
      </c>
      <c r="D1977" s="21" t="s">
        <v>749</v>
      </c>
      <c r="E1977" s="20"/>
      <c r="F1977" s="299" t="s">
        <v>750</v>
      </c>
      <c r="G1977" s="300">
        <v>2333.33</v>
      </c>
      <c r="I1977" s="1">
        <f>COUNTIF(Tabela1[NF],Tabela1[[#This Row],[NF]])</f>
        <v>1</v>
      </c>
      <c r="K1977" s="26">
        <v>46097</v>
      </c>
      <c r="N1977" s="14" t="str" cm="1">
        <f t="array" ref="N1977">_xlfn.XLOOKUP(TRIM(D1977),TRIM(DFC!A:A),DFC!A:A,"NÃO ESTÁ NA DFC")</f>
        <v xml:space="preserve">         INTELIPOST</v>
      </c>
    </row>
    <row r="1978" spans="1:14" ht="15" customHeight="1" x14ac:dyDescent="0.3">
      <c r="A1978" s="19">
        <v>6198665</v>
      </c>
      <c r="B1978" s="21">
        <v>46097</v>
      </c>
      <c r="C1978" s="21" t="s">
        <v>15</v>
      </c>
      <c r="D1978" s="21" t="s">
        <v>29</v>
      </c>
      <c r="E1978" s="20"/>
      <c r="F1978" s="299" t="s">
        <v>283</v>
      </c>
      <c r="G1978" s="300">
        <v>1145.04</v>
      </c>
      <c r="I1978" s="1">
        <f>COUNTIF(Tabela1[NF],Tabela1[[#This Row],[NF]])</f>
        <v>1</v>
      </c>
      <c r="K1978" s="26">
        <v>46097</v>
      </c>
      <c r="N1978" s="14" t="str" cm="1">
        <f t="array" ref="N1978">_xlfn.XLOOKUP(TRIM(D1978),TRIM(DFC!A:A),DFC!A:A,"NÃO ESTÁ NA DFC")</f>
        <v xml:space="preserve">      FRETE DE SAÍDA</v>
      </c>
    </row>
    <row r="1979" spans="1:14" ht="15" customHeight="1" x14ac:dyDescent="0.3">
      <c r="A1979" s="19"/>
      <c r="B1979" s="21">
        <v>46097</v>
      </c>
      <c r="C1979" s="21" t="s">
        <v>15</v>
      </c>
      <c r="D1979" s="21" t="s">
        <v>82</v>
      </c>
      <c r="E1979" s="20"/>
      <c r="F1979" s="370" t="s">
        <v>637</v>
      </c>
      <c r="G1979" s="300">
        <v>4000</v>
      </c>
      <c r="I1979" s="1">
        <f>COUNTIF(Tabela1[NF],Tabela1[[#This Row],[NF]])</f>
        <v>0</v>
      </c>
      <c r="K1979" s="26">
        <v>46097</v>
      </c>
      <c r="N1979" s="14" t="str" cm="1">
        <f t="array" ref="N1979">_xlfn.XLOOKUP(TRIM(D1979),TRIM(DFC!A:A),DFC!A:A,"NÃO ESTÁ NA DFC")</f>
        <v xml:space="preserve">          DIÁRIAS</v>
      </c>
    </row>
    <row r="1980" spans="1:14" ht="15" customHeight="1" x14ac:dyDescent="0.3">
      <c r="A1980" s="19"/>
      <c r="B1980" s="21">
        <v>46097</v>
      </c>
      <c r="C1980" s="21" t="s">
        <v>15</v>
      </c>
      <c r="D1980" s="21" t="s">
        <v>82</v>
      </c>
      <c r="E1980" s="20"/>
      <c r="F1980" s="370" t="s">
        <v>637</v>
      </c>
      <c r="G1980" s="300">
        <v>1000</v>
      </c>
      <c r="I1980" s="1">
        <f>COUNTIF(Tabela1[NF],Tabela1[[#This Row],[NF]])</f>
        <v>0</v>
      </c>
      <c r="K1980" s="26">
        <v>46097</v>
      </c>
      <c r="N1980" s="14" t="str" cm="1">
        <f t="array" ref="N1980">_xlfn.XLOOKUP(TRIM(D1980),TRIM(DFC!A:A),DFC!A:A,"NÃO ESTÁ NA DFC")</f>
        <v xml:space="preserve">          DIÁRIAS</v>
      </c>
    </row>
    <row r="1981" spans="1:14" ht="15" customHeight="1" x14ac:dyDescent="0.3">
      <c r="A1981" s="19"/>
      <c r="B1981" s="21">
        <v>46097</v>
      </c>
      <c r="C1981" s="21" t="s">
        <v>15</v>
      </c>
      <c r="D1981" s="21" t="s">
        <v>111</v>
      </c>
      <c r="E1981" s="20"/>
      <c r="F1981" s="370" t="s">
        <v>622</v>
      </c>
      <c r="G1981" s="300">
        <v>10</v>
      </c>
      <c r="I1981" s="1">
        <f>COUNTIF(Tabela1[NF],Tabela1[[#This Row],[NF]])</f>
        <v>0</v>
      </c>
      <c r="K1981" s="26">
        <v>46097</v>
      </c>
      <c r="N1981" s="14" t="str" cm="1">
        <f t="array" ref="N1981">_xlfn.XLOOKUP(TRIM(D1981),TRIM(DFC!A:A),DFC!A:A,"NÃO ESTÁ NA DFC")</f>
        <v xml:space="preserve">          TX. BANCÁRIA</v>
      </c>
    </row>
    <row r="1982" spans="1:14" ht="15" customHeight="1" x14ac:dyDescent="0.3">
      <c r="A1982" s="19"/>
      <c r="B1982" s="21">
        <v>46097</v>
      </c>
      <c r="C1982" s="21" t="s">
        <v>15</v>
      </c>
      <c r="D1982" s="21" t="s">
        <v>19</v>
      </c>
      <c r="E1982" s="20"/>
      <c r="F1982" s="370" t="s">
        <v>24</v>
      </c>
      <c r="G1982" s="300">
        <v>5141.66</v>
      </c>
      <c r="I1982" s="1">
        <f>COUNTIF(Tabela1[NF],Tabela1[[#This Row],[NF]])</f>
        <v>0</v>
      </c>
      <c r="K1982" s="26">
        <v>46097</v>
      </c>
      <c r="N1982" s="14" t="str" cm="1">
        <f t="array" ref="N1982">_xlfn.XLOOKUP(TRIM(D1982),TRIM(DFC!A:A),DFC!A:A,"NÃO ESTÁ NA DFC")</f>
        <v xml:space="preserve">      PEÇAS</v>
      </c>
    </row>
    <row r="1983" spans="1:14" ht="15" customHeight="1" x14ac:dyDescent="0.3">
      <c r="A1983" s="19"/>
      <c r="B1983" s="21">
        <v>46097</v>
      </c>
      <c r="C1983" s="21" t="s">
        <v>15</v>
      </c>
      <c r="D1983" s="21" t="s">
        <v>19</v>
      </c>
      <c r="E1983" s="20"/>
      <c r="F1983" s="370" t="s">
        <v>24</v>
      </c>
      <c r="G1983" s="300">
        <v>3654.81</v>
      </c>
      <c r="I1983" s="1">
        <f>COUNTIF(Tabela1[NF],Tabela1[[#This Row],[NF]])</f>
        <v>0</v>
      </c>
      <c r="K1983" s="26">
        <v>46097</v>
      </c>
      <c r="N1983" s="14" t="str" cm="1">
        <f t="array" ref="N1983">_xlfn.XLOOKUP(TRIM(D1983),TRIM(DFC!A:A),DFC!A:A,"NÃO ESTÁ NA DFC")</f>
        <v xml:space="preserve">      PEÇAS</v>
      </c>
    </row>
    <row r="1984" spans="1:14" ht="15" customHeight="1" x14ac:dyDescent="0.3">
      <c r="A1984" s="19"/>
      <c r="B1984" s="21">
        <v>46097</v>
      </c>
      <c r="C1984" s="21" t="s">
        <v>15</v>
      </c>
      <c r="D1984" s="21" t="s">
        <v>37</v>
      </c>
      <c r="E1984" s="20"/>
      <c r="F1984" s="370" t="s">
        <v>341</v>
      </c>
      <c r="G1984" s="300">
        <v>16.55</v>
      </c>
      <c r="I1984" s="1">
        <f>COUNTIF(Tabela1[NF],Tabela1[[#This Row],[NF]])</f>
        <v>0</v>
      </c>
      <c r="K1984" s="26">
        <v>46097</v>
      </c>
      <c r="N1984" s="14" t="str" cm="1">
        <f t="array" ref="N1984">_xlfn.XLOOKUP(TRIM(D1984),TRIM(DFC!A:A),DFC!A:A,"NÃO ESTÁ NA DFC")</f>
        <v xml:space="preserve">          MATERIAL DE ESCRITÓRIO</v>
      </c>
    </row>
    <row r="1985" spans="1:14" ht="15" customHeight="1" x14ac:dyDescent="0.3">
      <c r="A1985" s="19"/>
      <c r="B1985" s="21">
        <v>46097</v>
      </c>
      <c r="C1985" s="21" t="s">
        <v>15</v>
      </c>
      <c r="D1985" s="21" t="s">
        <v>154</v>
      </c>
      <c r="E1985" s="20"/>
      <c r="F1985" s="370" t="s">
        <v>302</v>
      </c>
      <c r="G1985" s="300">
        <v>3036.77</v>
      </c>
      <c r="I1985" s="1">
        <f>COUNTIF(Tabela1[NF],Tabela1[[#This Row],[NF]])</f>
        <v>0</v>
      </c>
      <c r="K1985" s="26">
        <v>46097</v>
      </c>
      <c r="N1985" s="14" t="str" cm="1">
        <f t="array" ref="N1985">_xlfn.XLOOKUP(TRIM(D1985),TRIM(DFC!A:A),DFC!A:A,"NÃO ESTÁ NA DFC")</f>
        <v xml:space="preserve">      EMBALAGENS</v>
      </c>
    </row>
    <row r="1986" spans="1:14" ht="15" customHeight="1" x14ac:dyDescent="0.3">
      <c r="A1986" s="19"/>
      <c r="B1986" s="21">
        <v>46097</v>
      </c>
      <c r="C1986" s="21" t="s">
        <v>15</v>
      </c>
      <c r="D1986" s="21" t="s">
        <v>29</v>
      </c>
      <c r="E1986" s="20"/>
      <c r="F1986" s="370" t="s">
        <v>548</v>
      </c>
      <c r="G1986" s="300">
        <v>49.12</v>
      </c>
      <c r="I1986" s="1">
        <f>COUNTIF(Tabela1[NF],Tabela1[[#This Row],[NF]])</f>
        <v>0</v>
      </c>
      <c r="K1986" s="26">
        <v>46097</v>
      </c>
      <c r="N1986" s="14" t="str" cm="1">
        <f t="array" ref="N1986">_xlfn.XLOOKUP(TRIM(D1986),TRIM(DFC!A:A),DFC!A:A,"NÃO ESTÁ NA DFC")</f>
        <v xml:space="preserve">      FRETE DE SAÍDA</v>
      </c>
    </row>
    <row r="1987" spans="1:14" ht="15" customHeight="1" x14ac:dyDescent="0.3">
      <c r="A1987" s="19"/>
      <c r="B1987" s="21">
        <v>46097</v>
      </c>
      <c r="C1987" s="21" t="s">
        <v>15</v>
      </c>
      <c r="D1987" s="21" t="s">
        <v>751</v>
      </c>
      <c r="E1987" s="20"/>
      <c r="F1987" s="370" t="s">
        <v>496</v>
      </c>
      <c r="G1987" s="300">
        <v>1089.99</v>
      </c>
      <c r="I1987" s="1">
        <f>COUNTIF(Tabela1[NF],Tabela1[[#This Row],[NF]])</f>
        <v>0</v>
      </c>
      <c r="K1987" s="26">
        <v>46097</v>
      </c>
      <c r="N1987" s="14" t="str" cm="1">
        <f t="array" ref="N1987">_xlfn.XLOOKUP(TRIM(D1987),TRIM(DFC!A:A),DFC!A:A,"NÃO ESTÁ NA DFC")</f>
        <v xml:space="preserve">         PREDIZE</v>
      </c>
    </row>
    <row r="1988" spans="1:14" ht="15" customHeight="1" x14ac:dyDescent="0.3">
      <c r="A1988" s="19"/>
      <c r="B1988" s="21">
        <v>46097</v>
      </c>
      <c r="C1988" s="21" t="s">
        <v>15</v>
      </c>
      <c r="D1988" s="21" t="s">
        <v>156</v>
      </c>
      <c r="E1988" s="20"/>
      <c r="F1988" s="370" t="s">
        <v>314</v>
      </c>
      <c r="G1988" s="300">
        <v>1312.5</v>
      </c>
      <c r="I1988" s="1">
        <f>COUNTIF(Tabela1[NF],Tabela1[[#This Row],[NF]])</f>
        <v>0</v>
      </c>
      <c r="K1988" s="26">
        <v>46097</v>
      </c>
      <c r="N1988" s="14" t="str" cm="1">
        <f t="array" ref="N1988">_xlfn.XLOOKUP(TRIM(D1988),TRIM(DFC!A:A),DFC!A:A,"NÃO ESTÁ NA DFC")</f>
        <v xml:space="preserve">      MONTAGEM DE RODAS</v>
      </c>
    </row>
    <row r="1989" spans="1:14" ht="15" customHeight="1" x14ac:dyDescent="0.3">
      <c r="A1989" s="19"/>
      <c r="B1989" s="21">
        <v>46098</v>
      </c>
      <c r="C1989" s="21" t="s">
        <v>15</v>
      </c>
      <c r="D1989" s="21" t="s">
        <v>107</v>
      </c>
      <c r="E1989" s="20"/>
      <c r="F1989" s="370" t="s">
        <v>230</v>
      </c>
      <c r="G1989" s="300">
        <v>4586.54</v>
      </c>
      <c r="I1989" s="1">
        <f>COUNTIF(Tabela1[NF],Tabela1[[#This Row],[NF]])</f>
        <v>0</v>
      </c>
      <c r="K1989" s="26">
        <v>46098</v>
      </c>
      <c r="N1989" s="14" t="str" cm="1">
        <f t="array" ref="N1989">_xlfn.XLOOKUP(TRIM(D1989),TRIM(DFC!A:A),DFC!A:A,"NÃO ESTÁ NA DFC")</f>
        <v xml:space="preserve">          PRÓ LABORE </v>
      </c>
    </row>
    <row r="1990" spans="1:14" ht="15" customHeight="1" x14ac:dyDescent="0.3">
      <c r="A1990" s="19"/>
      <c r="B1990" s="21">
        <v>46098</v>
      </c>
      <c r="C1990" s="21" t="s">
        <v>15</v>
      </c>
      <c r="D1990" s="21" t="s">
        <v>79</v>
      </c>
      <c r="E1990" s="28" t="s">
        <v>752</v>
      </c>
      <c r="F1990" s="370" t="s">
        <v>753</v>
      </c>
      <c r="G1990" s="300">
        <v>3000</v>
      </c>
      <c r="I1990" s="1">
        <f>COUNTIF(Tabela1[NF],Tabela1[[#This Row],[NF]])</f>
        <v>0</v>
      </c>
      <c r="K1990" s="26">
        <v>46098</v>
      </c>
      <c r="N1990" s="14" t="str" cm="1">
        <f t="array" ref="N1990">_xlfn.XLOOKUP(TRIM(D1990),TRIM(DFC!A:A),DFC!A:A,"NÃO ESTÁ NA DFC")</f>
        <v xml:space="preserve">     DESP DE MARKETING E PROPAGANDA</v>
      </c>
    </row>
    <row r="1991" spans="1:14" ht="15" customHeight="1" x14ac:dyDescent="0.3">
      <c r="A1991" s="19"/>
      <c r="B1991" s="21">
        <v>46098</v>
      </c>
      <c r="C1991" s="21" t="s">
        <v>15</v>
      </c>
      <c r="D1991" s="21" t="s">
        <v>19</v>
      </c>
      <c r="E1991" s="28" t="s">
        <v>19</v>
      </c>
      <c r="F1991" s="370" t="s">
        <v>103</v>
      </c>
      <c r="G1991" s="300">
        <v>2600</v>
      </c>
      <c r="I1991" s="1">
        <f>COUNTIF(Tabela1[NF],Tabela1[[#This Row],[NF]])</f>
        <v>0</v>
      </c>
      <c r="K1991" s="26">
        <v>46098</v>
      </c>
      <c r="N1991" s="14" t="str" cm="1">
        <f t="array" ref="N1991">_xlfn.XLOOKUP(TRIM(D1991),TRIM(DFC!A:A),DFC!A:A,"NÃO ESTÁ NA DFC")</f>
        <v xml:space="preserve">      PEÇAS</v>
      </c>
    </row>
    <row r="1992" spans="1:14" ht="15" customHeight="1" x14ac:dyDescent="0.3">
      <c r="A1992" s="19" t="s">
        <v>754</v>
      </c>
      <c r="B1992" s="21">
        <v>46099</v>
      </c>
      <c r="C1992" s="21" t="s">
        <v>15</v>
      </c>
      <c r="D1992" s="21" t="s">
        <v>154</v>
      </c>
      <c r="E1992" s="20"/>
      <c r="F1992" s="311" t="s">
        <v>241</v>
      </c>
      <c r="G1992" s="312">
        <v>4735.74</v>
      </c>
      <c r="I1992" s="1">
        <f>COUNTIF(Tabela1[NF],Tabela1[[#This Row],[NF]])</f>
        <v>1</v>
      </c>
      <c r="K1992" s="26">
        <v>46099</v>
      </c>
      <c r="N1992" s="14" t="str" cm="1">
        <f t="array" ref="N1992">_xlfn.XLOOKUP(TRIM(D1992),TRIM(DFC!A:A),DFC!A:A,"NÃO ESTÁ NA DFC")</f>
        <v xml:space="preserve">      EMBALAGENS</v>
      </c>
    </row>
    <row r="1993" spans="1:14" ht="15" customHeight="1" x14ac:dyDescent="0.3">
      <c r="A1993" s="19" t="s">
        <v>755</v>
      </c>
      <c r="B1993" s="21">
        <v>46099</v>
      </c>
      <c r="C1993" s="21" t="s">
        <v>15</v>
      </c>
      <c r="D1993" s="21" t="s">
        <v>23</v>
      </c>
      <c r="E1993" s="20"/>
      <c r="F1993" s="299" t="s">
        <v>240</v>
      </c>
      <c r="G1993" s="300">
        <v>70</v>
      </c>
      <c r="I1993" s="1">
        <f>COUNTIF(Tabela1[NF],Tabela1[[#This Row],[NF]])</f>
        <v>1</v>
      </c>
      <c r="K1993" s="26">
        <v>46099</v>
      </c>
      <c r="N1993" s="14" t="str" cm="1">
        <f t="array" ref="N1993">_xlfn.XLOOKUP(TRIM(D1993),TRIM(DFC!A:A),DFC!A:A,"NÃO ESTÁ NA DFC")</f>
        <v xml:space="preserve">         CONTABILIDADE</v>
      </c>
    </row>
    <row r="1994" spans="1:14" ht="15" customHeight="1" x14ac:dyDescent="0.3">
      <c r="A1994" s="19" t="s">
        <v>756</v>
      </c>
      <c r="B1994" s="21">
        <v>46099</v>
      </c>
      <c r="C1994" s="21" t="s">
        <v>15</v>
      </c>
      <c r="D1994" s="21" t="s">
        <v>19</v>
      </c>
      <c r="E1994" s="20"/>
      <c r="F1994" s="299" t="s">
        <v>51</v>
      </c>
      <c r="G1994" s="300">
        <v>930.1</v>
      </c>
      <c r="I1994" s="1">
        <f>COUNTIF(Tabela1[NF],Tabela1[[#This Row],[NF]])</f>
        <v>1</v>
      </c>
      <c r="K1994" s="26">
        <v>46099</v>
      </c>
      <c r="N1994" s="14" t="str" cm="1">
        <f t="array" ref="N1994">_xlfn.XLOOKUP(TRIM(D1994),TRIM(DFC!A:A),DFC!A:A,"NÃO ESTÁ NA DFC")</f>
        <v xml:space="preserve">      PEÇAS</v>
      </c>
    </row>
    <row r="1995" spans="1:14" ht="15" customHeight="1" x14ac:dyDescent="0.3">
      <c r="A1995" s="19"/>
      <c r="B1995" s="21">
        <v>46099</v>
      </c>
      <c r="C1995" s="21" t="s">
        <v>15</v>
      </c>
      <c r="D1995" s="21" t="s">
        <v>19</v>
      </c>
      <c r="E1995" s="28"/>
      <c r="F1995" s="370" t="s">
        <v>650</v>
      </c>
      <c r="G1995" s="300">
        <v>21128.67</v>
      </c>
      <c r="I1995" s="1">
        <f>COUNTIF(Tabela1[NF],Tabela1[[#This Row],[NF]])</f>
        <v>0</v>
      </c>
      <c r="K1995" s="26">
        <v>46099</v>
      </c>
      <c r="N1995" s="14" t="str" cm="1">
        <f t="array" ref="N1995">_xlfn.XLOOKUP(TRIM(D1995),TRIM(DFC!A:A),DFC!A:A,"NÃO ESTÁ NA DFC")</f>
        <v xml:space="preserve">      PEÇAS</v>
      </c>
    </row>
    <row r="1996" spans="1:14" ht="15" customHeight="1" x14ac:dyDescent="0.3">
      <c r="A1996" s="19"/>
      <c r="B1996" s="21">
        <v>46099</v>
      </c>
      <c r="C1996" s="21" t="s">
        <v>15</v>
      </c>
      <c r="D1996" s="21" t="s">
        <v>40</v>
      </c>
      <c r="E1996" s="20" t="s">
        <v>757</v>
      </c>
      <c r="F1996" s="370" t="s">
        <v>198</v>
      </c>
      <c r="G1996" s="300">
        <v>1660</v>
      </c>
      <c r="I1996" s="1">
        <f>COUNTIF(Tabela1[NF],Tabela1[[#This Row],[NF]])</f>
        <v>0</v>
      </c>
      <c r="K1996" s="26">
        <v>46099</v>
      </c>
      <c r="N1996" s="14" t="str" cm="1">
        <f t="array" ref="N1996">_xlfn.XLOOKUP(TRIM(D1996),TRIM(DFC!A:A),DFC!A:A,"NÃO ESTÁ NA DFC")</f>
        <v xml:space="preserve">         SERVIÇO TERCEIRIZADO</v>
      </c>
    </row>
    <row r="1997" spans="1:14" ht="15" customHeight="1" x14ac:dyDescent="0.3">
      <c r="A1997" s="19"/>
      <c r="B1997" s="21">
        <v>46099</v>
      </c>
      <c r="C1997" s="21" t="s">
        <v>15</v>
      </c>
      <c r="D1997" s="21" t="s">
        <v>19</v>
      </c>
      <c r="E1997" s="20"/>
      <c r="F1997" s="370" t="s">
        <v>758</v>
      </c>
      <c r="G1997" s="300">
        <v>445</v>
      </c>
      <c r="I1997" s="1">
        <f>COUNTIF(Tabela1[NF],Tabela1[[#This Row],[NF]])</f>
        <v>0</v>
      </c>
      <c r="K1997" s="26">
        <v>46099</v>
      </c>
      <c r="N1997" s="14" t="str" cm="1">
        <f t="array" ref="N1997">_xlfn.XLOOKUP(TRIM(D1997),TRIM(DFC!A:A),DFC!A:A,"NÃO ESTÁ NA DFC")</f>
        <v xml:space="preserve">      PEÇAS</v>
      </c>
    </row>
    <row r="1998" spans="1:14" ht="15" customHeight="1" x14ac:dyDescent="0.3">
      <c r="A1998" s="19"/>
      <c r="B1998" s="21">
        <v>46099</v>
      </c>
      <c r="C1998" s="21" t="s">
        <v>15</v>
      </c>
      <c r="D1998" s="21" t="s">
        <v>98</v>
      </c>
      <c r="E1998" s="20"/>
      <c r="F1998" s="370" t="s">
        <v>759</v>
      </c>
      <c r="G1998" s="300">
        <v>100</v>
      </c>
      <c r="I1998" s="1">
        <f>COUNTIF(Tabela1[NF],Tabela1[[#This Row],[NF]])</f>
        <v>0</v>
      </c>
      <c r="K1998" s="26">
        <v>46099</v>
      </c>
      <c r="N1998" s="14" t="str" cm="1">
        <f t="array" ref="N1998">_xlfn.XLOOKUP(TRIM(D1998),TRIM(DFC!A:A),DFC!A:A,"NÃO ESTÁ NA DFC")</f>
        <v xml:space="preserve">     REEMBOLSO SAC</v>
      </c>
    </row>
    <row r="1999" spans="1:14" ht="15" customHeight="1" x14ac:dyDescent="0.3">
      <c r="A1999" s="19"/>
      <c r="B1999" s="21">
        <v>46099</v>
      </c>
      <c r="C1999" s="21" t="s">
        <v>15</v>
      </c>
      <c r="D1999" s="21" t="s">
        <v>19</v>
      </c>
      <c r="E1999" s="20"/>
      <c r="F1999" s="370" t="s">
        <v>340</v>
      </c>
      <c r="G1999" s="300">
        <v>6626.75</v>
      </c>
      <c r="I1999" s="1">
        <f>COUNTIF(Tabela1[NF],Tabela1[[#This Row],[NF]])</f>
        <v>0</v>
      </c>
      <c r="K1999" s="26">
        <v>46099</v>
      </c>
      <c r="N1999" s="14" t="str" cm="1">
        <f t="array" ref="N1999">_xlfn.XLOOKUP(TRIM(D1999),TRIM(DFC!A:A),DFC!A:A,"NÃO ESTÁ NA DFC")</f>
        <v xml:space="preserve">      PEÇAS</v>
      </c>
    </row>
    <row r="2000" spans="1:14" ht="15" customHeight="1" x14ac:dyDescent="0.3">
      <c r="A2000" s="19"/>
      <c r="B2000" s="21">
        <v>46099</v>
      </c>
      <c r="C2000" s="21" t="s">
        <v>15</v>
      </c>
      <c r="D2000" s="21" t="s">
        <v>19</v>
      </c>
      <c r="E2000" s="20"/>
      <c r="F2000" s="370" t="s">
        <v>340</v>
      </c>
      <c r="G2000" s="300">
        <v>19880.25</v>
      </c>
      <c r="I2000" s="1">
        <f>COUNTIF(Tabela1[NF],Tabela1[[#This Row],[NF]])</f>
        <v>0</v>
      </c>
      <c r="K2000" s="26">
        <v>46099</v>
      </c>
      <c r="N2000" s="14" t="str" cm="1">
        <f t="array" ref="N2000">_xlfn.XLOOKUP(TRIM(D2000),TRIM(DFC!A:A),DFC!A:A,"NÃO ESTÁ NA DFC")</f>
        <v xml:space="preserve">      PEÇAS</v>
      </c>
    </row>
    <row r="2001" spans="1:14" ht="15" customHeight="1" x14ac:dyDescent="0.3">
      <c r="A2001" s="19"/>
      <c r="B2001" s="21">
        <v>46099</v>
      </c>
      <c r="C2001" s="21" t="s">
        <v>15</v>
      </c>
      <c r="D2001" s="21" t="s">
        <v>19</v>
      </c>
      <c r="E2001" s="28" t="s">
        <v>19</v>
      </c>
      <c r="F2001" s="370" t="s">
        <v>103</v>
      </c>
      <c r="G2001" s="371">
        <v>10000</v>
      </c>
      <c r="I2001" s="1">
        <f>COUNTIF(Tabela1[NF],Tabela1[[#This Row],[NF]])</f>
        <v>0</v>
      </c>
      <c r="K2001" s="26">
        <v>46099</v>
      </c>
      <c r="N2001" s="14" t="str" cm="1">
        <f t="array" ref="N2001">_xlfn.XLOOKUP(TRIM(D2001),TRIM(DFC!A:A),DFC!A:A,"NÃO ESTÁ NA DFC")</f>
        <v xml:space="preserve">      PEÇAS</v>
      </c>
    </row>
    <row r="2002" spans="1:14" ht="15" customHeight="1" x14ac:dyDescent="0.3">
      <c r="A2002" s="19"/>
      <c r="B2002" s="21">
        <v>46100</v>
      </c>
      <c r="C2002" s="21" t="s">
        <v>15</v>
      </c>
      <c r="D2002" s="21" t="s">
        <v>111</v>
      </c>
      <c r="E2002" s="20"/>
      <c r="F2002" s="370" t="s">
        <v>114</v>
      </c>
      <c r="G2002" s="371">
        <v>10</v>
      </c>
      <c r="I2002" s="1">
        <f>COUNTIF(Tabela1[NF],Tabela1[[#This Row],[NF]])</f>
        <v>0</v>
      </c>
      <c r="K2002" s="26">
        <f>Tabela1[[#This Row],[DT. VENCIMENTO]]</f>
        <v>46100</v>
      </c>
      <c r="N2002" s="14" t="str" cm="1">
        <f t="array" ref="N2002">_xlfn.XLOOKUP(TRIM(D2002),TRIM(DFC!A:A),DFC!A:A,"NÃO ESTÁ NA DFC")</f>
        <v xml:space="preserve">          TX. BANCÁRIA</v>
      </c>
    </row>
    <row r="2003" spans="1:14" ht="15" customHeight="1" x14ac:dyDescent="0.3">
      <c r="A2003" s="19"/>
      <c r="B2003" s="21">
        <v>46100</v>
      </c>
      <c r="C2003" s="21" t="s">
        <v>15</v>
      </c>
      <c r="D2003" s="21" t="s">
        <v>19</v>
      </c>
      <c r="E2003" s="20"/>
      <c r="F2003" s="370" t="s">
        <v>650</v>
      </c>
      <c r="G2003" s="371">
        <v>19435</v>
      </c>
      <c r="I2003" s="1">
        <f>COUNTIF(Tabela1[NF],Tabela1[[#This Row],[NF]])</f>
        <v>0</v>
      </c>
      <c r="K2003" s="26">
        <f>Tabela1[[#This Row],[DT. VENCIMENTO]]</f>
        <v>46100</v>
      </c>
      <c r="N2003" s="14" t="str" cm="1">
        <f t="array" ref="N2003">_xlfn.XLOOKUP(TRIM(D2003),TRIM(DFC!A:A),DFC!A:A,"NÃO ESTÁ NA DFC")</f>
        <v xml:space="preserve">      PEÇAS</v>
      </c>
    </row>
    <row r="2004" spans="1:14" ht="15" customHeight="1" x14ac:dyDescent="0.3">
      <c r="A2004" s="19"/>
      <c r="B2004" s="21">
        <v>46100</v>
      </c>
      <c r="C2004" s="21" t="s">
        <v>15</v>
      </c>
      <c r="D2004" s="21" t="s">
        <v>232</v>
      </c>
      <c r="E2004" s="20"/>
      <c r="F2004" s="370" t="s">
        <v>234</v>
      </c>
      <c r="G2004" s="371">
        <v>15970.84</v>
      </c>
      <c r="I2004" s="1">
        <f>COUNTIF(Tabela1[NF],Tabela1[[#This Row],[NF]])</f>
        <v>0</v>
      </c>
      <c r="K2004" s="26">
        <f>Tabela1[[#This Row],[DT. VENCIMENTO]]</f>
        <v>46100</v>
      </c>
      <c r="N2004" s="14" t="str" cm="1">
        <f t="array" ref="N2004">_xlfn.XLOOKUP(TRIM(D2004),TRIM(DFC!A:A),DFC!A:A,"NÃO ESTÁ NA DFC")</f>
        <v xml:space="preserve">          COMPRA DE MÁQUINA</v>
      </c>
    </row>
    <row r="2005" spans="1:14" ht="15" customHeight="1" x14ac:dyDescent="0.3">
      <c r="A2005" s="19"/>
      <c r="B2005" s="21">
        <v>46100</v>
      </c>
      <c r="C2005" s="21" t="s">
        <v>15</v>
      </c>
      <c r="D2005" s="21" t="s">
        <v>104</v>
      </c>
      <c r="E2005" s="20"/>
      <c r="F2005" s="370" t="s">
        <v>760</v>
      </c>
      <c r="G2005" s="371">
        <v>324.12</v>
      </c>
      <c r="I2005" s="1">
        <f>COUNTIF(Tabela1[NF],Tabela1[[#This Row],[NF]])</f>
        <v>0</v>
      </c>
      <c r="K2005" s="26">
        <f>Tabela1[[#This Row],[DT. VENCIMENTO]]</f>
        <v>46100</v>
      </c>
      <c r="N2005" s="14" t="str" cm="1">
        <f t="array" ref="N2005">_xlfn.XLOOKUP(TRIM(D2005),TRIM(DFC!A:A),DFC!A:A,"NÃO ESTÁ NA DFC")</f>
        <v xml:space="preserve">          OUTRAS DESPESAS ADMINISTRATIVAS</v>
      </c>
    </row>
    <row r="2006" spans="1:14" ht="15" customHeight="1" x14ac:dyDescent="0.3">
      <c r="A2006" s="19"/>
      <c r="B2006" s="21">
        <v>46100</v>
      </c>
      <c r="C2006" s="21" t="s">
        <v>15</v>
      </c>
      <c r="D2006" s="21" t="s">
        <v>104</v>
      </c>
      <c r="E2006" s="20"/>
      <c r="F2006" s="370" t="s">
        <v>760</v>
      </c>
      <c r="G2006" s="371">
        <v>105.67</v>
      </c>
      <c r="I2006" s="1">
        <f>COUNTIF(Tabela1[NF],Tabela1[[#This Row],[NF]])</f>
        <v>0</v>
      </c>
      <c r="K2006" s="26">
        <f>Tabela1[[#This Row],[DT. VENCIMENTO]]</f>
        <v>46100</v>
      </c>
      <c r="N2006" s="14" t="str" cm="1">
        <f t="array" ref="N2006">_xlfn.XLOOKUP(TRIM(D2006),TRIM(DFC!A:A),DFC!A:A,"NÃO ESTÁ NA DFC")</f>
        <v xml:space="preserve">          OUTRAS DESPESAS ADMINISTRATIVAS</v>
      </c>
    </row>
    <row r="2007" spans="1:14" ht="15" customHeight="1" x14ac:dyDescent="0.3">
      <c r="A2007" s="19"/>
      <c r="B2007" s="21">
        <v>46100</v>
      </c>
      <c r="C2007" s="21" t="s">
        <v>15</v>
      </c>
      <c r="D2007" s="21" t="s">
        <v>19</v>
      </c>
      <c r="E2007" s="20"/>
      <c r="F2007" s="370" t="s">
        <v>383</v>
      </c>
      <c r="G2007" s="371">
        <v>133</v>
      </c>
      <c r="I2007" s="1">
        <f>COUNTIF(Tabela1[NF],Tabela1[[#This Row],[NF]])</f>
        <v>0</v>
      </c>
      <c r="K2007" s="26">
        <f>Tabela1[[#This Row],[DT. VENCIMENTO]]</f>
        <v>46100</v>
      </c>
      <c r="N2007" s="14" t="str" cm="1">
        <f t="array" ref="N2007">_xlfn.XLOOKUP(TRIM(D2007),TRIM(DFC!A:A),DFC!A:A,"NÃO ESTÁ NA DFC")</f>
        <v xml:space="preserve">      PEÇAS</v>
      </c>
    </row>
    <row r="2008" spans="1:14" ht="15" customHeight="1" x14ac:dyDescent="0.3">
      <c r="A2008" s="19"/>
      <c r="B2008" s="21">
        <v>46100</v>
      </c>
      <c r="C2008" s="21" t="s">
        <v>15</v>
      </c>
      <c r="D2008" s="21" t="s">
        <v>19</v>
      </c>
      <c r="E2008" s="20"/>
      <c r="F2008" s="372" t="s">
        <v>383</v>
      </c>
      <c r="G2008" s="373">
        <v>133</v>
      </c>
      <c r="I2008" s="1">
        <f>COUNTIF(Tabela1[NF],Tabela1[[#This Row],[NF]])</f>
        <v>0</v>
      </c>
      <c r="K2008" s="26">
        <f>Tabela1[[#This Row],[DT. VENCIMENTO]]</f>
        <v>46100</v>
      </c>
      <c r="N2008" s="14" t="str" cm="1">
        <f t="array" ref="N2008">_xlfn.XLOOKUP(TRIM(D2008),TRIM(DFC!A:A),DFC!A:A,"NÃO ESTÁ NA DFC")</f>
        <v xml:space="preserve">      PEÇAS</v>
      </c>
    </row>
    <row r="2009" spans="1:14" ht="15" customHeight="1" x14ac:dyDescent="0.3">
      <c r="A2009" s="19" t="s">
        <v>761</v>
      </c>
      <c r="B2009" s="21">
        <v>46100</v>
      </c>
      <c r="C2009" s="21" t="s">
        <v>15</v>
      </c>
      <c r="D2009" s="21" t="s">
        <v>19</v>
      </c>
      <c r="E2009" s="20"/>
      <c r="F2009" s="299" t="s">
        <v>762</v>
      </c>
      <c r="G2009" s="300">
        <v>2864.55</v>
      </c>
      <c r="I2009" s="1">
        <f>COUNTIF(Tabela1[NF],Tabela1[[#This Row],[NF]])</f>
        <v>1</v>
      </c>
      <c r="K2009" s="26">
        <f>Tabela1[[#This Row],[DT. VENCIMENTO]]</f>
        <v>46100</v>
      </c>
      <c r="N2009" s="14" t="str" cm="1">
        <f t="array" ref="N2009">_xlfn.XLOOKUP(TRIM(D2009),TRIM(DFC!A:A),DFC!A:A,"NÃO ESTÁ NA DFC")</f>
        <v xml:space="preserve">      PEÇAS</v>
      </c>
    </row>
    <row r="2010" spans="1:14" ht="15" customHeight="1" x14ac:dyDescent="0.3">
      <c r="A2010" s="19" t="s">
        <v>763</v>
      </c>
      <c r="B2010" s="21">
        <v>46100</v>
      </c>
      <c r="C2010" s="21" t="s">
        <v>15</v>
      </c>
      <c r="D2010" s="21" t="s">
        <v>19</v>
      </c>
      <c r="E2010" s="20"/>
      <c r="F2010" s="299" t="s">
        <v>285</v>
      </c>
      <c r="G2010" s="300">
        <v>4117.3100000000004</v>
      </c>
      <c r="I2010" s="1">
        <f>COUNTIF(Tabela1[NF],Tabela1[[#This Row],[NF]])</f>
        <v>1</v>
      </c>
      <c r="K2010" s="26">
        <f>Tabela1[[#This Row],[DT. VENCIMENTO]]</f>
        <v>46100</v>
      </c>
      <c r="N2010" s="14" t="str" cm="1">
        <f t="array" ref="N2010">_xlfn.XLOOKUP(TRIM(D2010),TRIM(DFC!A:A),DFC!A:A,"NÃO ESTÁ NA DFC")</f>
        <v xml:space="preserve">      PEÇAS</v>
      </c>
    </row>
    <row r="2011" spans="1:14" ht="15" customHeight="1" x14ac:dyDescent="0.3">
      <c r="A2011" s="19" t="s">
        <v>764</v>
      </c>
      <c r="B2011" s="21">
        <v>46100</v>
      </c>
      <c r="C2011" s="21" t="s">
        <v>15</v>
      </c>
      <c r="D2011" s="21" t="s">
        <v>19</v>
      </c>
      <c r="E2011" s="20"/>
      <c r="F2011" s="299" t="s">
        <v>762</v>
      </c>
      <c r="G2011" s="300">
        <v>8729.5499999999993</v>
      </c>
      <c r="I2011" s="1">
        <f>COUNTIF(Tabela1[NF],Tabela1[[#This Row],[NF]])</f>
        <v>1</v>
      </c>
      <c r="K2011" s="26">
        <f>Tabela1[[#This Row],[DT. VENCIMENTO]]</f>
        <v>46100</v>
      </c>
      <c r="N2011" s="14" t="str" cm="1">
        <f t="array" ref="N2011">_xlfn.XLOOKUP(TRIM(D2011),TRIM(DFC!A:A),DFC!A:A,"NÃO ESTÁ NA DFC")</f>
        <v xml:space="preserve">      PEÇAS</v>
      </c>
    </row>
    <row r="2012" spans="1:14" ht="15" customHeight="1" x14ac:dyDescent="0.3">
      <c r="A2012" s="19" t="s">
        <v>765</v>
      </c>
      <c r="B2012" s="21">
        <v>46100</v>
      </c>
      <c r="C2012" s="21" t="s">
        <v>15</v>
      </c>
      <c r="D2012" s="21" t="s">
        <v>154</v>
      </c>
      <c r="E2012" s="20"/>
      <c r="F2012" s="299" t="s">
        <v>241</v>
      </c>
      <c r="G2012" s="300">
        <v>1183.94</v>
      </c>
      <c r="I2012" s="1">
        <f>COUNTIF(Tabela1[NF],Tabela1[[#This Row],[NF]])</f>
        <v>1</v>
      </c>
      <c r="K2012" s="26">
        <f>Tabela1[[#This Row],[DT. VENCIMENTO]]</f>
        <v>46100</v>
      </c>
      <c r="N2012" s="14" t="str" cm="1">
        <f t="array" ref="N2012">_xlfn.XLOOKUP(TRIM(D2012),TRIM(DFC!A:A),DFC!A:A,"NÃO ESTÁ NA DFC")</f>
        <v xml:space="preserve">      EMBALAGENS</v>
      </c>
    </row>
    <row r="2013" spans="1:14" ht="15" customHeight="1" x14ac:dyDescent="0.3">
      <c r="A2013" s="19" t="s">
        <v>766</v>
      </c>
      <c r="B2013" s="21">
        <v>46100</v>
      </c>
      <c r="C2013" s="21" t="s">
        <v>15</v>
      </c>
      <c r="D2013" s="21" t="s">
        <v>19</v>
      </c>
      <c r="E2013" s="20"/>
      <c r="F2013" s="299" t="s">
        <v>289</v>
      </c>
      <c r="G2013" s="300">
        <v>15998.4</v>
      </c>
      <c r="I2013" s="1">
        <f>COUNTIF(Tabela1[NF],Tabela1[[#This Row],[NF]])</f>
        <v>1</v>
      </c>
      <c r="K2013" s="26">
        <f>Tabela1[[#This Row],[DT. VENCIMENTO]]</f>
        <v>46100</v>
      </c>
      <c r="N2013" s="14" t="str" cm="1">
        <f t="array" ref="N2013">_xlfn.XLOOKUP(TRIM(D2013),TRIM(DFC!A:A),DFC!A:A,"NÃO ESTÁ NA DFC")</f>
        <v xml:space="preserve">      PEÇAS</v>
      </c>
    </row>
    <row r="2014" spans="1:14" ht="15" customHeight="1" x14ac:dyDescent="0.3">
      <c r="A2014" s="19" t="s">
        <v>767</v>
      </c>
      <c r="B2014" s="21">
        <v>46100</v>
      </c>
      <c r="C2014" s="21" t="s">
        <v>15</v>
      </c>
      <c r="D2014" s="21" t="s">
        <v>19</v>
      </c>
      <c r="E2014" s="20"/>
      <c r="F2014" s="299" t="s">
        <v>289</v>
      </c>
      <c r="G2014" s="300">
        <v>47995.199999999997</v>
      </c>
      <c r="I2014" s="1">
        <f>COUNTIF(Tabela1[NF],Tabela1[[#This Row],[NF]])</f>
        <v>1</v>
      </c>
      <c r="K2014" s="26">
        <f>Tabela1[[#This Row],[DT. VENCIMENTO]]</f>
        <v>46100</v>
      </c>
      <c r="N2014" s="14" t="str" cm="1">
        <f t="array" ref="N2014">_xlfn.XLOOKUP(TRIM(D2014),TRIM(DFC!A:A),DFC!A:A,"NÃO ESTÁ NA DFC")</f>
        <v xml:space="preserve">      PEÇAS</v>
      </c>
    </row>
    <row r="2015" spans="1:14" ht="15" customHeight="1" x14ac:dyDescent="0.3">
      <c r="A2015" s="19">
        <v>16702</v>
      </c>
      <c r="B2015" s="21">
        <v>46100</v>
      </c>
      <c r="C2015" s="21" t="s">
        <v>15</v>
      </c>
      <c r="D2015" s="21" t="s">
        <v>19</v>
      </c>
      <c r="E2015" s="20" t="s">
        <v>573</v>
      </c>
      <c r="F2015" s="299" t="s">
        <v>768</v>
      </c>
      <c r="G2015" s="300">
        <v>2728.65</v>
      </c>
      <c r="I2015" s="1">
        <f>COUNTIF(Tabela1[NF],Tabela1[[#This Row],[NF]])</f>
        <v>1</v>
      </c>
      <c r="K2015" s="26">
        <f>Tabela1[[#This Row],[DT. VENCIMENTO]]</f>
        <v>46100</v>
      </c>
      <c r="N2015" s="14" t="str" cm="1">
        <f t="array" ref="N2015">_xlfn.XLOOKUP(TRIM(D2015),TRIM(DFC!A:A),DFC!A:A,"NÃO ESTÁ NA DFC")</f>
        <v xml:space="preserve">      PEÇAS</v>
      </c>
    </row>
    <row r="2016" spans="1:14" ht="15" customHeight="1" x14ac:dyDescent="0.3">
      <c r="A2016" s="19">
        <v>187</v>
      </c>
      <c r="B2016" s="21">
        <v>46100</v>
      </c>
      <c r="C2016" s="21" t="s">
        <v>15</v>
      </c>
      <c r="D2016" s="21" t="s">
        <v>19</v>
      </c>
      <c r="E2016" s="20"/>
      <c r="F2016" s="299" t="s">
        <v>738</v>
      </c>
      <c r="G2016" s="300">
        <v>1425</v>
      </c>
      <c r="I2016" s="1">
        <f>COUNTIF(Tabela1[NF],Tabela1[[#This Row],[NF]])</f>
        <v>1</v>
      </c>
      <c r="K2016" s="26">
        <f>Tabela1[[#This Row],[DT. VENCIMENTO]]</f>
        <v>46100</v>
      </c>
      <c r="N2016" s="14" t="str" cm="1">
        <f t="array" ref="N2016">_xlfn.XLOOKUP(TRIM(D2016),TRIM(DFC!A:A),DFC!A:A,"NÃO ESTÁ NA DFC")</f>
        <v xml:space="preserve">      PEÇAS</v>
      </c>
    </row>
    <row r="2017" spans="1:14" ht="15" customHeight="1" x14ac:dyDescent="0.3">
      <c r="A2017" s="19" t="s">
        <v>769</v>
      </c>
      <c r="B2017" s="21">
        <v>46100</v>
      </c>
      <c r="C2017" s="21" t="s">
        <v>15</v>
      </c>
      <c r="D2017" s="21" t="s">
        <v>19</v>
      </c>
      <c r="E2017" s="20" t="s">
        <v>573</v>
      </c>
      <c r="F2017" s="299" t="s">
        <v>770</v>
      </c>
      <c r="G2017" s="300">
        <v>104</v>
      </c>
      <c r="I2017" s="1">
        <f>COUNTIF(Tabela1[NF],Tabela1[[#This Row],[NF]])</f>
        <v>1</v>
      </c>
      <c r="K2017" s="26">
        <f>Tabela1[[#This Row],[DT. VENCIMENTO]]</f>
        <v>46100</v>
      </c>
      <c r="N2017" s="14" t="str" cm="1">
        <f t="array" ref="N2017">_xlfn.XLOOKUP(TRIM(D2017),TRIM(DFC!A:A),DFC!A:A,"NÃO ESTÁ NA DFC")</f>
        <v xml:space="preserve">      PEÇAS</v>
      </c>
    </row>
    <row r="2018" spans="1:14" ht="15" customHeight="1" x14ac:dyDescent="0.3">
      <c r="A2018" s="19" t="s">
        <v>771</v>
      </c>
      <c r="B2018" s="21">
        <v>46101</v>
      </c>
      <c r="C2018" s="21" t="s">
        <v>15</v>
      </c>
      <c r="D2018" s="21" t="s">
        <v>31</v>
      </c>
      <c r="E2018" s="20"/>
      <c r="F2018" s="299" t="s">
        <v>242</v>
      </c>
      <c r="G2018" s="300">
        <v>2067.37</v>
      </c>
      <c r="I2018" s="1">
        <f>COUNTIF(Tabela1[NF],Tabela1[[#This Row],[NF]])</f>
        <v>1</v>
      </c>
      <c r="K2018" s="26">
        <f>Tabela1[[#This Row],[DT. VENCIMENTO]]</f>
        <v>46101</v>
      </c>
      <c r="N2018" s="14" t="str" cm="1">
        <f t="array" ref="N2018">_xlfn.XLOOKUP(TRIM(D2018),TRIM(DFC!A:A),DFC!A:A,"NÃO ESTÁ NA DFC")</f>
        <v xml:space="preserve">      GRAN RESIDENCE</v>
      </c>
    </row>
    <row r="2019" spans="1:14" ht="15" customHeight="1" x14ac:dyDescent="0.3">
      <c r="A2019" s="19"/>
      <c r="B2019" s="21">
        <v>46101</v>
      </c>
      <c r="C2019" s="21" t="s">
        <v>15</v>
      </c>
      <c r="D2019" s="21" t="s">
        <v>215</v>
      </c>
      <c r="E2019" s="20"/>
      <c r="F2019" s="299" t="s">
        <v>216</v>
      </c>
      <c r="G2019" s="300">
        <v>1730</v>
      </c>
      <c r="I2019" s="1">
        <f>COUNTIF(Tabela1[NF],Tabela1[[#This Row],[NF]])</f>
        <v>0</v>
      </c>
      <c r="K2019" s="26">
        <f>Tabela1[[#This Row],[DT. VENCIMENTO]]</f>
        <v>46101</v>
      </c>
      <c r="N2019" s="14" t="str" cm="1">
        <f t="array" ref="N2019">_xlfn.XLOOKUP(TRIM(D2019),TRIM(DFC!A:A),DFC!A:A,"NÃO ESTÁ NA DFC")</f>
        <v xml:space="preserve">         DESIGNER GRAFICO</v>
      </c>
    </row>
    <row r="2020" spans="1:14" ht="15" customHeight="1" x14ac:dyDescent="0.3">
      <c r="A2020" s="19"/>
      <c r="B2020" s="21">
        <v>46101</v>
      </c>
      <c r="C2020" s="21" t="s">
        <v>15</v>
      </c>
      <c r="D2020" s="21" t="s">
        <v>23</v>
      </c>
      <c r="E2020" s="20"/>
      <c r="F2020" s="299" t="s">
        <v>240</v>
      </c>
      <c r="G2020" s="300">
        <v>3924</v>
      </c>
      <c r="I2020" s="1">
        <f>COUNTIF(Tabela1[NF],Tabela1[[#This Row],[NF]])</f>
        <v>0</v>
      </c>
      <c r="K2020" s="26">
        <f>Tabela1[[#This Row],[DT. VENCIMENTO]]</f>
        <v>46101</v>
      </c>
      <c r="N2020" s="14" t="str" cm="1">
        <f t="array" ref="N2020">_xlfn.XLOOKUP(TRIM(D2020),TRIM(DFC!A:A),DFC!A:A,"NÃO ESTÁ NA DFC")</f>
        <v xml:space="preserve">         CONTABILIDADE</v>
      </c>
    </row>
    <row r="2021" spans="1:14" ht="15" customHeight="1" x14ac:dyDescent="0.3">
      <c r="A2021" s="19" t="s">
        <v>772</v>
      </c>
      <c r="B2021" s="21">
        <v>46101</v>
      </c>
      <c r="C2021" s="21" t="s">
        <v>15</v>
      </c>
      <c r="D2021" s="21" t="s">
        <v>19</v>
      </c>
      <c r="E2021" s="20"/>
      <c r="F2021" s="299" t="s">
        <v>744</v>
      </c>
      <c r="G2021" s="300">
        <v>3232.25</v>
      </c>
      <c r="I2021" s="1">
        <f>COUNTIF(Tabela1[NF],Tabela1[[#This Row],[NF]])</f>
        <v>1</v>
      </c>
      <c r="K2021" s="26">
        <f>Tabela1[[#This Row],[DT. VENCIMENTO]]</f>
        <v>46101</v>
      </c>
      <c r="N2021" s="14" t="str" cm="1">
        <f t="array" ref="N2021">_xlfn.XLOOKUP(TRIM(D2021),TRIM(DFC!A:A),DFC!A:A,"NÃO ESTÁ NA DFC")</f>
        <v xml:space="preserve">      PEÇAS</v>
      </c>
    </row>
    <row r="2022" spans="1:14" ht="15" customHeight="1" x14ac:dyDescent="0.3">
      <c r="A2022" s="19" t="s">
        <v>773</v>
      </c>
      <c r="B2022" s="21">
        <v>46101</v>
      </c>
      <c r="C2022" s="21" t="s">
        <v>15</v>
      </c>
      <c r="D2022" s="21" t="s">
        <v>19</v>
      </c>
      <c r="E2022" s="20"/>
      <c r="F2022" s="299" t="s">
        <v>774</v>
      </c>
      <c r="G2022" s="300">
        <v>6175.25</v>
      </c>
      <c r="I2022" s="1">
        <f>COUNTIF(Tabela1[NF],Tabela1[[#This Row],[NF]])</f>
        <v>1</v>
      </c>
      <c r="K2022" s="26">
        <f>Tabela1[[#This Row],[DT. VENCIMENTO]]</f>
        <v>46101</v>
      </c>
      <c r="N2022" s="14" t="str" cm="1">
        <f t="array" ref="N2022">_xlfn.XLOOKUP(TRIM(D2022),TRIM(DFC!A:A),DFC!A:A,"NÃO ESTÁ NA DFC")</f>
        <v xml:space="preserve">      PEÇAS</v>
      </c>
    </row>
    <row r="2023" spans="1:14" ht="15" customHeight="1" x14ac:dyDescent="0.3">
      <c r="A2023" s="19">
        <v>16003</v>
      </c>
      <c r="B2023" s="21">
        <v>46101</v>
      </c>
      <c r="C2023" s="21" t="s">
        <v>15</v>
      </c>
      <c r="D2023" s="21" t="s">
        <v>19</v>
      </c>
      <c r="E2023" s="20" t="s">
        <v>573</v>
      </c>
      <c r="F2023" s="299" t="s">
        <v>768</v>
      </c>
      <c r="G2023" s="300">
        <v>4377.1899999999996</v>
      </c>
      <c r="I2023" s="1">
        <f>COUNTIF(Tabela1[NF],Tabela1[[#This Row],[NF]])</f>
        <v>1</v>
      </c>
      <c r="K2023" s="26">
        <f>Tabela1[[#This Row],[DT. VENCIMENTO]]</f>
        <v>46101</v>
      </c>
      <c r="N2023" s="14" t="str" cm="1">
        <f t="array" ref="N2023">_xlfn.XLOOKUP(TRIM(D2023),TRIM(DFC!A:A),DFC!A:A,"NÃO ESTÁ NA DFC")</f>
        <v xml:space="preserve">      PEÇAS</v>
      </c>
    </row>
    <row r="2024" spans="1:14" ht="15" customHeight="1" x14ac:dyDescent="0.3">
      <c r="A2024" s="19">
        <v>754033361</v>
      </c>
      <c r="B2024" s="21">
        <v>46101</v>
      </c>
      <c r="C2024" s="21" t="s">
        <v>15</v>
      </c>
      <c r="D2024" s="21" t="s">
        <v>40</v>
      </c>
      <c r="E2024" s="28" t="s">
        <v>775</v>
      </c>
      <c r="F2024" s="299" t="s">
        <v>776</v>
      </c>
      <c r="G2024" s="300">
        <v>311.5</v>
      </c>
      <c r="I2024" s="1">
        <f>COUNTIF(Tabela1[NF],Tabela1[[#This Row],[NF]])</f>
        <v>1</v>
      </c>
      <c r="K2024" s="26">
        <f>Tabela1[[#This Row],[DT. VENCIMENTO]]</f>
        <v>46101</v>
      </c>
      <c r="N2024" s="14" t="str" cm="1">
        <f t="array" ref="N2024">_xlfn.XLOOKUP(TRIM(D2024),TRIM(DFC!A:A),DFC!A:A,"NÃO ESTÁ NA DFC")</f>
        <v xml:space="preserve">         SERVIÇO TERCEIRIZADO</v>
      </c>
    </row>
    <row r="2025" spans="1:14" ht="15" customHeight="1" x14ac:dyDescent="0.3">
      <c r="A2025" s="19">
        <v>32476670</v>
      </c>
      <c r="B2025" s="21">
        <v>46101</v>
      </c>
      <c r="C2025" s="21" t="s">
        <v>15</v>
      </c>
      <c r="D2025" s="21" t="s">
        <v>95</v>
      </c>
      <c r="E2025" s="20"/>
      <c r="F2025" s="299" t="s">
        <v>777</v>
      </c>
      <c r="G2025" s="300">
        <v>16</v>
      </c>
      <c r="I2025" s="1">
        <f>COUNTIF(Tabela1[NF],Tabela1[[#This Row],[NF]])</f>
        <v>1</v>
      </c>
      <c r="K2025" s="26">
        <f>Tabela1[[#This Row],[DT. VENCIMENTO]]</f>
        <v>46101</v>
      </c>
      <c r="N2025" s="14" t="str" cm="1">
        <f t="array" ref="N2025">_xlfn.XLOOKUP(TRIM(D2025),TRIM(DFC!A:A),DFC!A:A,"NÃO ESTÁ NA DFC")</f>
        <v xml:space="preserve">          ISS</v>
      </c>
    </row>
    <row r="2026" spans="1:14" ht="15" customHeight="1" x14ac:dyDescent="0.3">
      <c r="A2026" s="19"/>
      <c r="B2026" s="21">
        <v>46101</v>
      </c>
      <c r="C2026" s="21" t="s">
        <v>15</v>
      </c>
      <c r="D2026" s="21" t="s">
        <v>72</v>
      </c>
      <c r="E2026" s="20"/>
      <c r="F2026" s="372" t="s">
        <v>380</v>
      </c>
      <c r="G2026" s="373">
        <v>761.55</v>
      </c>
      <c r="I2026" s="1">
        <f>COUNTIF(Tabela1[NF],Tabela1[[#This Row],[NF]])</f>
        <v>0</v>
      </c>
      <c r="K2026" s="26">
        <f>Tabela1[[#This Row],[DT. VENCIMENTO]]</f>
        <v>46101</v>
      </c>
      <c r="N2026" s="14" t="str" cm="1">
        <f t="array" ref="N2026">_xlfn.XLOOKUP(TRIM(D2026),TRIM(DFC!A:A),DFC!A:A,"NÃO ESTÁ NA DFC")</f>
        <v xml:space="preserve">          COMBUSTÍVEL</v>
      </c>
    </row>
    <row r="2027" spans="1:14" ht="15" customHeight="1" x14ac:dyDescent="0.3">
      <c r="A2027" s="19"/>
      <c r="B2027" s="21">
        <v>46101</v>
      </c>
      <c r="C2027" s="21" t="s">
        <v>15</v>
      </c>
      <c r="D2027" s="21" t="s">
        <v>43</v>
      </c>
      <c r="E2027" s="20"/>
      <c r="F2027" s="372" t="s">
        <v>474</v>
      </c>
      <c r="G2027" s="373">
        <v>600</v>
      </c>
      <c r="I2027" s="1">
        <f>COUNTIF(Tabela1[NF],Tabela1[[#This Row],[NF]])</f>
        <v>0</v>
      </c>
      <c r="K2027" s="26">
        <f>Tabela1[[#This Row],[DT. VENCIMENTO]]</f>
        <v>46101</v>
      </c>
      <c r="N2027" s="14" t="str" cm="1">
        <f t="array" ref="N2027">_xlfn.XLOOKUP(TRIM(D2027),TRIM(DFC!A:A),DFC!A:A,"NÃO ESTÁ NA DFC")</f>
        <v xml:space="preserve">          TRABALHISTA</v>
      </c>
    </row>
    <row r="2028" spans="1:14" ht="15" customHeight="1" x14ac:dyDescent="0.3">
      <c r="A2028" s="19"/>
      <c r="B2028" s="21">
        <v>46101</v>
      </c>
      <c r="C2028" s="21" t="s">
        <v>15</v>
      </c>
      <c r="D2028" s="480" t="s">
        <v>730</v>
      </c>
      <c r="E2028" s="20" t="s">
        <v>519</v>
      </c>
      <c r="F2028" s="372" t="s">
        <v>398</v>
      </c>
      <c r="G2028" s="373">
        <v>1360.9</v>
      </c>
      <c r="I2028" s="1">
        <f>COUNTIF(Tabela1[NF],Tabela1[[#This Row],[NF]])</f>
        <v>0</v>
      </c>
      <c r="K2028" s="26">
        <f>Tabela1[[#This Row],[DT. VENCIMENTO]]</f>
        <v>46101</v>
      </c>
      <c r="N2028" s="14" t="str" cm="1">
        <f t="array" ref="N2028">_xlfn.XLOOKUP(TRIM(D2028),TRIM(DFC!A:A),DFC!A:A,"NÃO ESTÁ NA DFC")</f>
        <v xml:space="preserve">     OUTROS IMPOSTOS</v>
      </c>
    </row>
    <row r="2029" spans="1:14" ht="15" customHeight="1" x14ac:dyDescent="0.3">
      <c r="A2029" s="19"/>
      <c r="B2029" s="21">
        <v>46101</v>
      </c>
      <c r="C2029" s="21" t="s">
        <v>15</v>
      </c>
      <c r="D2029" s="21" t="s">
        <v>19</v>
      </c>
      <c r="E2029" s="20"/>
      <c r="F2029" s="372" t="s">
        <v>778</v>
      </c>
      <c r="G2029" s="373">
        <v>750.99</v>
      </c>
      <c r="I2029" s="1">
        <f>COUNTIF(Tabela1[NF],Tabela1[[#This Row],[NF]])</f>
        <v>0</v>
      </c>
      <c r="K2029" s="26">
        <f>Tabela1[[#This Row],[DT. VENCIMENTO]]</f>
        <v>46101</v>
      </c>
      <c r="N2029" s="14" t="str" cm="1">
        <f t="array" ref="N2029">_xlfn.XLOOKUP(TRIM(D2029),TRIM(DFC!A:A),DFC!A:A,"NÃO ESTÁ NA DFC")</f>
        <v xml:space="preserve">      PEÇAS</v>
      </c>
    </row>
    <row r="2030" spans="1:14" ht="15" customHeight="1" x14ac:dyDescent="0.3">
      <c r="A2030" s="19"/>
      <c r="B2030" s="21">
        <v>46101</v>
      </c>
      <c r="C2030" s="21" t="s">
        <v>15</v>
      </c>
      <c r="D2030" s="21" t="s">
        <v>92</v>
      </c>
      <c r="E2030" s="20" t="s">
        <v>519</v>
      </c>
      <c r="F2030" s="372" t="s">
        <v>248</v>
      </c>
      <c r="G2030" s="373">
        <v>10449.35</v>
      </c>
      <c r="I2030" s="1">
        <f>COUNTIF(Tabela1[NF],Tabela1[[#This Row],[NF]])</f>
        <v>0</v>
      </c>
      <c r="K2030" s="26">
        <f>Tabela1[[#This Row],[DT. VENCIMENTO]]</f>
        <v>46101</v>
      </c>
      <c r="N2030" s="14" t="str" cm="1">
        <f t="array" ref="N2030">_xlfn.XLOOKUP(TRIM(D2030),TRIM(DFC!A:A),DFC!A:A,"NÃO ESTÁ NA DFC")</f>
        <v xml:space="preserve">          INSS</v>
      </c>
    </row>
    <row r="2031" spans="1:14" ht="15" customHeight="1" x14ac:dyDescent="0.3">
      <c r="A2031" s="19"/>
      <c r="B2031" s="21">
        <v>46101</v>
      </c>
      <c r="C2031" s="21" t="s">
        <v>15</v>
      </c>
      <c r="D2031" s="21" t="s">
        <v>94</v>
      </c>
      <c r="E2031" s="20" t="s">
        <v>519</v>
      </c>
      <c r="F2031" s="372" t="s">
        <v>248</v>
      </c>
      <c r="G2031" s="373">
        <v>132.69</v>
      </c>
      <c r="I2031" s="1">
        <f>COUNTIF(Tabela1[NF],Tabela1[[#This Row],[NF]])</f>
        <v>0</v>
      </c>
      <c r="K2031" s="26">
        <f>Tabela1[[#This Row],[DT. VENCIMENTO]]</f>
        <v>46101</v>
      </c>
      <c r="N2031" s="14" t="str" cm="1">
        <f t="array" ref="N2031">_xlfn.XLOOKUP(TRIM(D2031),TRIM(DFC!A:A),DFC!A:A,"NÃO ESTÁ NA DFC")</f>
        <v xml:space="preserve">          IRPF</v>
      </c>
    </row>
    <row r="2032" spans="1:14" ht="15" customHeight="1" x14ac:dyDescent="0.3">
      <c r="A2032" s="19"/>
      <c r="B2032" s="21">
        <v>46101</v>
      </c>
      <c r="C2032" s="21" t="s">
        <v>15</v>
      </c>
      <c r="D2032" s="21" t="s">
        <v>86</v>
      </c>
      <c r="E2032" s="20" t="s">
        <v>519</v>
      </c>
      <c r="F2032" s="372" t="s">
        <v>399</v>
      </c>
      <c r="G2032" s="373">
        <v>2407.86</v>
      </c>
      <c r="I2032" s="1">
        <f>COUNTIF(Tabela1[NF],Tabela1[[#This Row],[NF]])</f>
        <v>0</v>
      </c>
      <c r="K2032" s="26">
        <f>Tabela1[[#This Row],[DT. VENCIMENTO]]</f>
        <v>46101</v>
      </c>
      <c r="N2032" s="14" t="str" cm="1">
        <f t="array" ref="N2032">_xlfn.XLOOKUP(TRIM(D2032),TRIM(DFC!A:A),DFC!A:A,"NÃO ESTÁ NA DFC")</f>
        <v xml:space="preserve">          FGTS</v>
      </c>
    </row>
    <row r="2033" spans="1:14" ht="15" customHeight="1" x14ac:dyDescent="0.3">
      <c r="A2033" s="19"/>
      <c r="B2033" s="21">
        <v>46101</v>
      </c>
      <c r="C2033" s="21" t="s">
        <v>15</v>
      </c>
      <c r="D2033" s="21" t="s">
        <v>779</v>
      </c>
      <c r="E2033" s="20" t="s">
        <v>519</v>
      </c>
      <c r="F2033" s="372" t="s">
        <v>780</v>
      </c>
      <c r="G2033" s="373">
        <v>8749.4</v>
      </c>
      <c r="I2033" s="1">
        <f>COUNTIF(Tabela1[NF],Tabela1[[#This Row],[NF]])</f>
        <v>0</v>
      </c>
      <c r="K2033" s="26">
        <f>Tabela1[[#This Row],[DT. VENCIMENTO]]</f>
        <v>46101</v>
      </c>
      <c r="N2033" s="14" t="str" cm="1">
        <f t="array" ref="N2033">_xlfn.XLOOKUP(TRIM(D2033),TRIM(DFC!A:A),DFC!A:A,"NÃO ESTÁ NA DFC")</f>
        <v xml:space="preserve">     ICMS SP</v>
      </c>
    </row>
    <row r="2034" spans="1:14" ht="15" customHeight="1" x14ac:dyDescent="0.3">
      <c r="A2034" s="19"/>
      <c r="B2034" s="21">
        <v>46101</v>
      </c>
      <c r="C2034" s="21" t="s">
        <v>15</v>
      </c>
      <c r="D2034" s="21" t="s">
        <v>781</v>
      </c>
      <c r="E2034" s="20" t="s">
        <v>519</v>
      </c>
      <c r="F2034" s="372" t="s">
        <v>727</v>
      </c>
      <c r="G2034" s="373">
        <v>192.03</v>
      </c>
      <c r="I2034" s="1">
        <f>COUNTIF(Tabela1[NF],Tabela1[[#This Row],[NF]])</f>
        <v>0</v>
      </c>
      <c r="K2034" s="26">
        <f>Tabela1[[#This Row],[DT. VENCIMENTO]]</f>
        <v>46101</v>
      </c>
      <c r="N2034" s="14" t="str" cm="1">
        <f t="array" ref="N2034">_xlfn.XLOOKUP(TRIM(D2034),TRIM(DFC!A:A),DFC!A:A,"NÃO ESTÁ NA DFC")</f>
        <v xml:space="preserve">     FUNDO SOCIAL SC</v>
      </c>
    </row>
    <row r="2035" spans="1:14" ht="15" customHeight="1" x14ac:dyDescent="0.3">
      <c r="A2035" s="19"/>
      <c r="B2035" s="21">
        <v>46101</v>
      </c>
      <c r="C2035" s="21" t="s">
        <v>15</v>
      </c>
      <c r="D2035" s="21" t="s">
        <v>782</v>
      </c>
      <c r="E2035" s="20" t="s">
        <v>519</v>
      </c>
      <c r="F2035" s="372" t="s">
        <v>727</v>
      </c>
      <c r="G2035" s="373">
        <v>153.62</v>
      </c>
      <c r="I2035" s="1">
        <f>COUNTIF(Tabela1[NF],Tabela1[[#This Row],[NF]])</f>
        <v>0</v>
      </c>
      <c r="K2035" s="26">
        <f>Tabela1[[#This Row],[DT. VENCIMENTO]]</f>
        <v>46101</v>
      </c>
      <c r="N2035" s="14" t="str" cm="1">
        <f t="array" ref="N2035">_xlfn.XLOOKUP(TRIM(D2035),TRIM(DFC!A:A),DFC!A:A,"NÃO ESTÁ NA DFC")</f>
        <v xml:space="preserve">     FUNDO EDUCAÇÃO SC</v>
      </c>
    </row>
    <row r="2036" spans="1:14" ht="15" customHeight="1" x14ac:dyDescent="0.3">
      <c r="A2036" s="19"/>
      <c r="B2036" s="21">
        <v>46101</v>
      </c>
      <c r="C2036" s="21" t="s">
        <v>15</v>
      </c>
      <c r="D2036" s="21" t="s">
        <v>246</v>
      </c>
      <c r="E2036" s="20"/>
      <c r="F2036" s="372" t="s">
        <v>595</v>
      </c>
      <c r="G2036" s="373">
        <v>403.07</v>
      </c>
      <c r="I2036" s="1">
        <f>COUNTIF(Tabela1[NF],Tabela1[[#This Row],[NF]])</f>
        <v>0</v>
      </c>
      <c r="K2036" s="26">
        <f>Tabela1[[#This Row],[DT. VENCIMENTO]]</f>
        <v>46101</v>
      </c>
      <c r="N2036" s="14" t="str" cm="1">
        <f t="array" ref="N2036">_xlfn.XLOOKUP(TRIM(D2036),TRIM(DFC!A:A),DFC!A:A,"NÃO ESTÁ NA DFC")</f>
        <v xml:space="preserve">          VALES</v>
      </c>
    </row>
    <row r="2037" spans="1:14" ht="15" customHeight="1" x14ac:dyDescent="0.3">
      <c r="A2037" s="19"/>
      <c r="B2037" s="21">
        <v>46101</v>
      </c>
      <c r="C2037" s="21" t="s">
        <v>15</v>
      </c>
      <c r="D2037" s="21" t="s">
        <v>246</v>
      </c>
      <c r="E2037" s="20"/>
      <c r="F2037" s="372" t="s">
        <v>581</v>
      </c>
      <c r="G2037" s="373">
        <v>903.07</v>
      </c>
      <c r="I2037" s="1">
        <f>COUNTIF(Tabela1[NF],Tabela1[[#This Row],[NF]])</f>
        <v>0</v>
      </c>
      <c r="K2037" s="26">
        <f>Tabela1[[#This Row],[DT. VENCIMENTO]]</f>
        <v>46101</v>
      </c>
      <c r="N2037" s="14" t="str" cm="1">
        <f t="array" ref="N2037">_xlfn.XLOOKUP(TRIM(D2037),TRIM(DFC!A:A),DFC!A:A,"NÃO ESTÁ NA DFC")</f>
        <v xml:space="preserve">          VALES</v>
      </c>
    </row>
    <row r="2038" spans="1:14" ht="15" customHeight="1" x14ac:dyDescent="0.3">
      <c r="A2038" s="19"/>
      <c r="B2038" s="21">
        <v>46101</v>
      </c>
      <c r="C2038" s="21" t="s">
        <v>15</v>
      </c>
      <c r="D2038" s="21" t="s">
        <v>246</v>
      </c>
      <c r="E2038" s="20"/>
      <c r="F2038" s="372" t="s">
        <v>319</v>
      </c>
      <c r="G2038" s="373">
        <v>1040</v>
      </c>
      <c r="I2038" s="1">
        <f>COUNTIF(Tabela1[NF],Tabela1[[#This Row],[NF]])</f>
        <v>0</v>
      </c>
      <c r="K2038" s="26">
        <f>Tabela1[[#This Row],[DT. VENCIMENTO]]</f>
        <v>46101</v>
      </c>
      <c r="N2038" s="14" t="str" cm="1">
        <f t="array" ref="N2038">_xlfn.XLOOKUP(TRIM(D2038),TRIM(DFC!A:A),DFC!A:A,"NÃO ESTÁ NA DFC")</f>
        <v xml:space="preserve">          VALES</v>
      </c>
    </row>
    <row r="2039" spans="1:14" ht="15" customHeight="1" x14ac:dyDescent="0.3">
      <c r="A2039" s="19"/>
      <c r="B2039" s="21">
        <v>46101</v>
      </c>
      <c r="C2039" s="21" t="s">
        <v>15</v>
      </c>
      <c r="D2039" s="21" t="s">
        <v>246</v>
      </c>
      <c r="E2039" s="20"/>
      <c r="F2039" s="372" t="s">
        <v>696</v>
      </c>
      <c r="G2039" s="373">
        <v>903.07</v>
      </c>
      <c r="I2039" s="1">
        <f>COUNTIF(Tabela1[NF],Tabela1[[#This Row],[NF]])</f>
        <v>0</v>
      </c>
      <c r="K2039" s="26">
        <f>Tabela1[[#This Row],[DT. VENCIMENTO]]</f>
        <v>46101</v>
      </c>
      <c r="N2039" s="14" t="str" cm="1">
        <f t="array" ref="N2039">_xlfn.XLOOKUP(TRIM(D2039),TRIM(DFC!A:A),DFC!A:A,"NÃO ESTÁ NA DFC")</f>
        <v xml:space="preserve">          VALES</v>
      </c>
    </row>
    <row r="2040" spans="1:14" ht="15" customHeight="1" x14ac:dyDescent="0.3">
      <c r="A2040" s="19"/>
      <c r="B2040" s="21">
        <v>46101</v>
      </c>
      <c r="C2040" s="21" t="s">
        <v>15</v>
      </c>
      <c r="D2040" s="21" t="s">
        <v>246</v>
      </c>
      <c r="E2040" s="20"/>
      <c r="F2040" s="372" t="s">
        <v>643</v>
      </c>
      <c r="G2040" s="373">
        <v>903.07</v>
      </c>
      <c r="I2040" s="1">
        <f>COUNTIF(Tabela1[NF],Tabela1[[#This Row],[NF]])</f>
        <v>0</v>
      </c>
      <c r="K2040" s="26">
        <f>Tabela1[[#This Row],[DT. VENCIMENTO]]</f>
        <v>46101</v>
      </c>
      <c r="N2040" s="14" t="str" cm="1">
        <f t="array" ref="N2040">_xlfn.XLOOKUP(TRIM(D2040),TRIM(DFC!A:A),DFC!A:A,"NÃO ESTÁ NA DFC")</f>
        <v xml:space="preserve">          VALES</v>
      </c>
    </row>
    <row r="2041" spans="1:14" ht="15" customHeight="1" x14ac:dyDescent="0.3">
      <c r="A2041" s="19"/>
      <c r="B2041" s="21">
        <v>46101</v>
      </c>
      <c r="C2041" s="21" t="s">
        <v>15</v>
      </c>
      <c r="D2041" s="21" t="s">
        <v>246</v>
      </c>
      <c r="E2041" s="20"/>
      <c r="F2041" s="372" t="s">
        <v>632</v>
      </c>
      <c r="G2041" s="373">
        <v>903.07</v>
      </c>
      <c r="I2041" s="1">
        <f>COUNTIF(Tabela1[NF],Tabela1[[#This Row],[NF]])</f>
        <v>0</v>
      </c>
      <c r="K2041" s="26">
        <f>Tabela1[[#This Row],[DT. VENCIMENTO]]</f>
        <v>46101</v>
      </c>
      <c r="N2041" s="14" t="str" cm="1">
        <f t="array" ref="N2041">_xlfn.XLOOKUP(TRIM(D2041),TRIM(DFC!A:A),DFC!A:A,"NÃO ESTÁ NA DFC")</f>
        <v xml:space="preserve">          VALES</v>
      </c>
    </row>
    <row r="2042" spans="1:14" ht="15" customHeight="1" x14ac:dyDescent="0.3">
      <c r="A2042" s="19"/>
      <c r="B2042" s="21">
        <v>46101</v>
      </c>
      <c r="C2042" s="21" t="s">
        <v>15</v>
      </c>
      <c r="D2042" s="21" t="s">
        <v>246</v>
      </c>
      <c r="E2042" s="20"/>
      <c r="F2042" s="372" t="s">
        <v>326</v>
      </c>
      <c r="G2042" s="373">
        <v>1981.27</v>
      </c>
      <c r="I2042" s="1">
        <f>COUNTIF(Tabela1[NF],Tabela1[[#This Row],[NF]])</f>
        <v>0</v>
      </c>
      <c r="K2042" s="26">
        <f>Tabela1[[#This Row],[DT. VENCIMENTO]]</f>
        <v>46101</v>
      </c>
      <c r="N2042" s="14" t="str" cm="1">
        <f t="array" ref="N2042">_xlfn.XLOOKUP(TRIM(D2042),TRIM(DFC!A:A),DFC!A:A,"NÃO ESTÁ NA DFC")</f>
        <v xml:space="preserve">          VALES</v>
      </c>
    </row>
    <row r="2043" spans="1:14" ht="15" customHeight="1" x14ac:dyDescent="0.3">
      <c r="A2043" s="19"/>
      <c r="B2043" s="21">
        <v>46101</v>
      </c>
      <c r="C2043" s="21" t="s">
        <v>15</v>
      </c>
      <c r="D2043" s="21" t="s">
        <v>246</v>
      </c>
      <c r="E2043" s="20"/>
      <c r="F2043" s="372" t="s">
        <v>322</v>
      </c>
      <c r="G2043" s="373">
        <v>722.49</v>
      </c>
      <c r="I2043" s="1">
        <f>COUNTIF(Tabela1[NF],Tabela1[[#This Row],[NF]])</f>
        <v>0</v>
      </c>
      <c r="K2043" s="26">
        <f>Tabela1[[#This Row],[DT. VENCIMENTO]]</f>
        <v>46101</v>
      </c>
      <c r="N2043" s="14" t="str" cm="1">
        <f t="array" ref="N2043">_xlfn.XLOOKUP(TRIM(D2043),TRIM(DFC!A:A),DFC!A:A,"NÃO ESTÁ NA DFC")</f>
        <v xml:space="preserve">          VALES</v>
      </c>
    </row>
    <row r="2044" spans="1:14" ht="15" customHeight="1" x14ac:dyDescent="0.3">
      <c r="A2044" s="19"/>
      <c r="B2044" s="21">
        <v>46101</v>
      </c>
      <c r="C2044" s="21" t="s">
        <v>15</v>
      </c>
      <c r="D2044" s="21" t="s">
        <v>246</v>
      </c>
      <c r="E2044" s="20"/>
      <c r="F2044" s="370" t="s">
        <v>327</v>
      </c>
      <c r="G2044" s="371">
        <v>903.07</v>
      </c>
      <c r="I2044" s="1">
        <f>COUNTIF(Tabela1[NF],Tabela1[[#This Row],[NF]])</f>
        <v>0</v>
      </c>
      <c r="K2044" s="26">
        <f>Tabela1[[#This Row],[DT. VENCIMENTO]]</f>
        <v>46101</v>
      </c>
      <c r="N2044" s="14" t="str" cm="1">
        <f t="array" ref="N2044">_xlfn.XLOOKUP(TRIM(D2044),TRIM(DFC!A:A),DFC!A:A,"NÃO ESTÁ NA DFC")</f>
        <v xml:space="preserve">          VALES</v>
      </c>
    </row>
    <row r="2045" spans="1:14" ht="15" customHeight="1" x14ac:dyDescent="0.3">
      <c r="A2045" s="19"/>
      <c r="B2045" s="21">
        <v>46101</v>
      </c>
      <c r="C2045" s="21" t="s">
        <v>15</v>
      </c>
      <c r="D2045" s="21" t="s">
        <v>246</v>
      </c>
      <c r="E2045" s="20"/>
      <c r="F2045" s="370" t="s">
        <v>710</v>
      </c>
      <c r="G2045" s="371">
        <v>500</v>
      </c>
      <c r="I2045" s="1">
        <f>COUNTIF(Tabela1[NF],Tabela1[[#This Row],[NF]])</f>
        <v>0</v>
      </c>
      <c r="K2045" s="26">
        <f>Tabela1[[#This Row],[DT. VENCIMENTO]]</f>
        <v>46101</v>
      </c>
      <c r="N2045" s="14" t="str" cm="1">
        <f t="array" ref="N2045">_xlfn.XLOOKUP(TRIM(D2045),TRIM(DFC!A:A),DFC!A:A,"NÃO ESTÁ NA DFC")</f>
        <v xml:space="preserve">          VALES</v>
      </c>
    </row>
    <row r="2046" spans="1:14" ht="15" customHeight="1" x14ac:dyDescent="0.3">
      <c r="A2046" s="19"/>
      <c r="B2046" s="21">
        <v>46101</v>
      </c>
      <c r="C2046" s="21" t="s">
        <v>15</v>
      </c>
      <c r="D2046" s="21" t="s">
        <v>82</v>
      </c>
      <c r="E2046" s="20"/>
      <c r="F2046" s="370" t="s">
        <v>783</v>
      </c>
      <c r="G2046" s="371">
        <v>100</v>
      </c>
      <c r="I2046" s="1">
        <f>COUNTIF(Tabela1[NF],Tabela1[[#This Row],[NF]])</f>
        <v>0</v>
      </c>
      <c r="K2046" s="26">
        <f>Tabela1[[#This Row],[DT. VENCIMENTO]]</f>
        <v>46101</v>
      </c>
      <c r="N2046" s="14" t="str" cm="1">
        <f t="array" ref="N2046">_xlfn.XLOOKUP(TRIM(D2046),TRIM(DFC!A:A),DFC!A:A,"NÃO ESTÁ NA DFC")</f>
        <v xml:space="preserve">          DIÁRIAS</v>
      </c>
    </row>
    <row r="2047" spans="1:14" ht="15" customHeight="1" x14ac:dyDescent="0.3">
      <c r="A2047" s="19"/>
      <c r="B2047" s="21">
        <v>46101</v>
      </c>
      <c r="C2047" s="21" t="s">
        <v>15</v>
      </c>
      <c r="D2047" s="21" t="s">
        <v>82</v>
      </c>
      <c r="E2047" s="20"/>
      <c r="F2047" s="370" t="s">
        <v>784</v>
      </c>
      <c r="G2047" s="371">
        <v>425</v>
      </c>
      <c r="I2047" s="1">
        <f>COUNTIF(Tabela1[NF],Tabela1[[#This Row],[NF]])</f>
        <v>0</v>
      </c>
      <c r="K2047" s="26">
        <f>Tabela1[[#This Row],[DT. VENCIMENTO]]</f>
        <v>46101</v>
      </c>
      <c r="N2047" s="14" t="str" cm="1">
        <f t="array" ref="N2047">_xlfn.XLOOKUP(TRIM(D2047),TRIM(DFC!A:A),DFC!A:A,"NÃO ESTÁ NA DFC")</f>
        <v xml:space="preserve">          DIÁRIAS</v>
      </c>
    </row>
    <row r="2048" spans="1:14" ht="15" customHeight="1" x14ac:dyDescent="0.3">
      <c r="A2048" s="19">
        <v>51349302</v>
      </c>
      <c r="B2048" s="21">
        <v>46102</v>
      </c>
      <c r="C2048" s="21" t="s">
        <v>15</v>
      </c>
      <c r="D2048" s="21" t="s">
        <v>19</v>
      </c>
      <c r="E2048" s="20"/>
      <c r="F2048" s="299" t="s">
        <v>282</v>
      </c>
      <c r="G2048" s="300">
        <v>1372</v>
      </c>
      <c r="I2048" s="1">
        <f>COUNTIF(Tabela1[NF],Tabela1[[#This Row],[NF]])</f>
        <v>1</v>
      </c>
      <c r="K2048" s="26">
        <v>46104</v>
      </c>
      <c r="N2048" s="14" t="str" cm="1">
        <f t="array" ref="N2048">_xlfn.XLOOKUP(TRIM(D2048),TRIM(DFC!A:A),DFC!A:A,"NÃO ESTÁ NA DFC")</f>
        <v xml:space="preserve">      PEÇAS</v>
      </c>
    </row>
    <row r="2049" spans="1:14" ht="15" customHeight="1" x14ac:dyDescent="0.3">
      <c r="A2049" s="19">
        <v>51349202</v>
      </c>
      <c r="B2049" s="21">
        <v>46102</v>
      </c>
      <c r="C2049" s="21" t="s">
        <v>15</v>
      </c>
      <c r="D2049" s="21" t="s">
        <v>19</v>
      </c>
      <c r="E2049" s="20"/>
      <c r="F2049" s="299" t="s">
        <v>282</v>
      </c>
      <c r="G2049" s="300">
        <v>655</v>
      </c>
      <c r="I2049" s="1">
        <f>COUNTIF(Tabela1[NF],Tabela1[[#This Row],[NF]])</f>
        <v>1</v>
      </c>
      <c r="K2049" s="26">
        <v>46104</v>
      </c>
      <c r="N2049" s="14" t="str" cm="1">
        <f t="array" ref="N2049">_xlfn.XLOOKUP(TRIM(D2049),TRIM(DFC!A:A),DFC!A:A,"NÃO ESTÁ NA DFC")</f>
        <v xml:space="preserve">      PEÇAS</v>
      </c>
    </row>
    <row r="2050" spans="1:14" ht="15" customHeight="1" x14ac:dyDescent="0.3">
      <c r="A2050" s="19"/>
      <c r="B2050" s="21">
        <v>46103</v>
      </c>
      <c r="C2050" s="21" t="s">
        <v>15</v>
      </c>
      <c r="D2050" s="21" t="s">
        <v>215</v>
      </c>
      <c r="E2050" s="20"/>
      <c r="F2050" s="299" t="s">
        <v>216</v>
      </c>
      <c r="G2050" s="300">
        <v>3250</v>
      </c>
      <c r="I2050" s="1">
        <f>COUNTIF(Tabela1[NF],Tabela1[[#This Row],[NF]])</f>
        <v>0</v>
      </c>
      <c r="K2050" s="26">
        <v>46104</v>
      </c>
      <c r="N2050" s="14" t="str" cm="1">
        <f t="array" ref="N2050">_xlfn.XLOOKUP(TRIM(D2050),TRIM(DFC!A:A),DFC!A:A,"NÃO ESTÁ NA DFC")</f>
        <v xml:space="preserve">         DESIGNER GRAFICO</v>
      </c>
    </row>
    <row r="2051" spans="1:14" ht="15" customHeight="1" x14ac:dyDescent="0.3">
      <c r="A2051" s="19">
        <v>47038402</v>
      </c>
      <c r="B2051" s="21">
        <v>46103</v>
      </c>
      <c r="C2051" s="21" t="s">
        <v>15</v>
      </c>
      <c r="D2051" s="21" t="s">
        <v>19</v>
      </c>
      <c r="E2051" s="20"/>
      <c r="F2051" s="299" t="s">
        <v>282</v>
      </c>
      <c r="G2051" s="300">
        <v>17335</v>
      </c>
      <c r="I2051" s="1">
        <f>COUNTIF(Tabela1[NF],Tabela1[[#This Row],[NF]])</f>
        <v>1</v>
      </c>
      <c r="K2051" s="26">
        <v>46104</v>
      </c>
      <c r="N2051" s="14" t="str" cm="1">
        <f t="array" ref="N2051">_xlfn.XLOOKUP(TRIM(D2051),TRIM(DFC!A:A),DFC!A:A,"NÃO ESTÁ NA DFC")</f>
        <v xml:space="preserve">      PEÇAS</v>
      </c>
    </row>
    <row r="2052" spans="1:14" ht="15" customHeight="1" x14ac:dyDescent="0.3">
      <c r="A2052" s="19">
        <v>14802</v>
      </c>
      <c r="B2052" s="21">
        <v>46103</v>
      </c>
      <c r="C2052" s="21" t="s">
        <v>15</v>
      </c>
      <c r="D2052" s="21" t="s">
        <v>19</v>
      </c>
      <c r="E2052" s="20"/>
      <c r="F2052" s="299" t="s">
        <v>738</v>
      </c>
      <c r="G2052" s="300">
        <v>2278.8000000000002</v>
      </c>
      <c r="I2052" s="1">
        <f>COUNTIF(Tabela1[NF],Tabela1[[#This Row],[NF]])</f>
        <v>1</v>
      </c>
      <c r="K2052" s="26">
        <v>46104</v>
      </c>
      <c r="N2052" s="14" t="str" cm="1">
        <f t="array" ref="N2052">_xlfn.XLOOKUP(TRIM(D2052),TRIM(DFC!A:A),DFC!A:A,"NÃO ESTÁ NA DFC")</f>
        <v xml:space="preserve">      PEÇAS</v>
      </c>
    </row>
    <row r="2053" spans="1:14" ht="15" customHeight="1" x14ac:dyDescent="0.3">
      <c r="A2053" s="19" t="s">
        <v>785</v>
      </c>
      <c r="B2053" s="21">
        <v>46103</v>
      </c>
      <c r="C2053" s="21" t="s">
        <v>15</v>
      </c>
      <c r="D2053" s="21" t="s">
        <v>19</v>
      </c>
      <c r="E2053" s="20"/>
      <c r="F2053" s="299" t="s">
        <v>786</v>
      </c>
      <c r="G2053" s="300">
        <v>15059.83</v>
      </c>
      <c r="I2053" s="1">
        <f>COUNTIF(Tabela1[NF],Tabela1[[#This Row],[NF]])</f>
        <v>1</v>
      </c>
      <c r="K2053" s="26">
        <v>46104</v>
      </c>
      <c r="N2053" s="14" t="str" cm="1">
        <f t="array" ref="N2053">_xlfn.XLOOKUP(TRIM(D2053),TRIM(DFC!A:A),DFC!A:A,"NÃO ESTÁ NA DFC")</f>
        <v xml:space="preserve">      PEÇAS</v>
      </c>
    </row>
    <row r="2054" spans="1:14" ht="15" customHeight="1" x14ac:dyDescent="0.3">
      <c r="A2054" s="19">
        <v>47034402</v>
      </c>
      <c r="B2054" s="21">
        <v>46103</v>
      </c>
      <c r="C2054" s="21" t="s">
        <v>15</v>
      </c>
      <c r="D2054" s="21" t="s">
        <v>19</v>
      </c>
      <c r="E2054" s="20"/>
      <c r="F2054" s="299" t="s">
        <v>282</v>
      </c>
      <c r="G2054" s="300">
        <v>21127</v>
      </c>
      <c r="I2054" s="1">
        <f>COUNTIF(Tabela1[NF],Tabela1[[#This Row],[NF]])</f>
        <v>1</v>
      </c>
      <c r="K2054" s="26">
        <v>46104</v>
      </c>
      <c r="N2054" s="14" t="str" cm="1">
        <f t="array" ref="N2054">_xlfn.XLOOKUP(TRIM(D2054),TRIM(DFC!A:A),DFC!A:A,"NÃO ESTÁ NA DFC")</f>
        <v xml:space="preserve">      PEÇAS</v>
      </c>
    </row>
    <row r="2055" spans="1:14" ht="15" customHeight="1" x14ac:dyDescent="0.3">
      <c r="A2055" s="19" t="s">
        <v>787</v>
      </c>
      <c r="B2055" s="21">
        <v>46103</v>
      </c>
      <c r="C2055" s="21" t="s">
        <v>15</v>
      </c>
      <c r="D2055" s="21" t="s">
        <v>19</v>
      </c>
      <c r="E2055" s="20"/>
      <c r="F2055" s="299" t="s">
        <v>774</v>
      </c>
      <c r="G2055" s="300">
        <v>7633.18</v>
      </c>
      <c r="I2055" s="1">
        <f>COUNTIF(Tabela1[NF],Tabela1[[#This Row],[NF]])</f>
        <v>1</v>
      </c>
      <c r="K2055" s="26">
        <v>46104</v>
      </c>
      <c r="N2055" s="14" t="str" cm="1">
        <f t="array" ref="N2055">_xlfn.XLOOKUP(TRIM(D2055),TRIM(DFC!A:A),DFC!A:A,"NÃO ESTÁ NA DFC")</f>
        <v xml:space="preserve">      PEÇAS</v>
      </c>
    </row>
    <row r="2056" spans="1:14" ht="15" customHeight="1" x14ac:dyDescent="0.3">
      <c r="A2056" s="19">
        <v>1088454</v>
      </c>
      <c r="B2056" s="21">
        <v>46103</v>
      </c>
      <c r="C2056" s="21" t="s">
        <v>15</v>
      </c>
      <c r="D2056" s="21" t="s">
        <v>19</v>
      </c>
      <c r="E2056" s="20"/>
      <c r="F2056" s="299" t="s">
        <v>237</v>
      </c>
      <c r="G2056" s="300">
        <v>899.5</v>
      </c>
      <c r="I2056" s="1">
        <f>COUNTIF(Tabela1[NF],Tabela1[[#This Row],[NF]])</f>
        <v>1</v>
      </c>
      <c r="K2056" s="26">
        <v>46104</v>
      </c>
      <c r="N2056" s="14" t="str" cm="1">
        <f t="array" ref="N2056">_xlfn.XLOOKUP(TRIM(D2056),TRIM(DFC!A:A),DFC!A:A,"NÃO ESTÁ NA DFC")</f>
        <v xml:space="preserve">      PEÇAS</v>
      </c>
    </row>
    <row r="2057" spans="1:14" ht="15" customHeight="1" x14ac:dyDescent="0.3">
      <c r="A2057" s="19" t="s">
        <v>788</v>
      </c>
      <c r="B2057" s="21">
        <v>46103</v>
      </c>
      <c r="C2057" s="21" t="s">
        <v>15</v>
      </c>
      <c r="D2057" s="21" t="s">
        <v>19</v>
      </c>
      <c r="E2057" s="20"/>
      <c r="F2057" s="299" t="s">
        <v>289</v>
      </c>
      <c r="G2057" s="300">
        <v>15059.83</v>
      </c>
      <c r="I2057" s="1">
        <f>COUNTIF(Tabela1[NF],Tabela1[[#This Row],[NF]])</f>
        <v>1</v>
      </c>
      <c r="K2057" s="26">
        <v>46104</v>
      </c>
      <c r="N2057" s="14" t="str" cm="1">
        <f t="array" ref="N2057">_xlfn.XLOOKUP(TRIM(D2057),TRIM(DFC!A:A),DFC!A:A,"NÃO ESTÁ NA DFC")</f>
        <v xml:space="preserve">      PEÇAS</v>
      </c>
    </row>
    <row r="2058" spans="1:14" ht="15" customHeight="1" x14ac:dyDescent="0.3">
      <c r="A2058" s="19">
        <v>127311</v>
      </c>
      <c r="B2058" s="21">
        <v>46103</v>
      </c>
      <c r="C2058" s="21" t="s">
        <v>15</v>
      </c>
      <c r="D2058" s="21" t="s">
        <v>19</v>
      </c>
      <c r="E2058" s="20"/>
      <c r="F2058" s="299" t="s">
        <v>789</v>
      </c>
      <c r="G2058" s="300">
        <v>2092</v>
      </c>
      <c r="I2058" s="1">
        <f>COUNTIF(Tabela1[NF],Tabela1[[#This Row],[NF]])</f>
        <v>1</v>
      </c>
      <c r="K2058" s="26">
        <v>46104</v>
      </c>
      <c r="N2058" s="14" t="str" cm="1">
        <f t="array" ref="N2058">_xlfn.XLOOKUP(TRIM(D2058),TRIM(DFC!A:A),DFC!A:A,"NÃO ESTÁ NA DFC")</f>
        <v xml:space="preserve">      PEÇAS</v>
      </c>
    </row>
    <row r="2059" spans="1:14" ht="15" customHeight="1" x14ac:dyDescent="0.3">
      <c r="A2059" s="19" t="s">
        <v>790</v>
      </c>
      <c r="B2059" s="21">
        <v>46104</v>
      </c>
      <c r="C2059" s="21" t="s">
        <v>15</v>
      </c>
      <c r="D2059" s="21" t="s">
        <v>19</v>
      </c>
      <c r="E2059" s="20"/>
      <c r="F2059" s="299" t="s">
        <v>744</v>
      </c>
      <c r="G2059" s="300">
        <v>3467.02</v>
      </c>
      <c r="I2059" s="1">
        <f>COUNTIF(Tabela1[NF],Tabela1[[#This Row],[NF]])</f>
        <v>1</v>
      </c>
      <c r="K2059" s="26">
        <f>Tabela1[[#This Row],[DT. VENCIMENTO]]</f>
        <v>46104</v>
      </c>
      <c r="N2059" s="14" t="str" cm="1">
        <f t="array" ref="N2059">_xlfn.XLOOKUP(TRIM(D2059),TRIM(DFC!A:A),DFC!A:A,"NÃO ESTÁ NA DFC")</f>
        <v xml:space="preserve">      PEÇAS</v>
      </c>
    </row>
    <row r="2060" spans="1:14" ht="15" customHeight="1" x14ac:dyDescent="0.3">
      <c r="A2060" s="19" t="s">
        <v>791</v>
      </c>
      <c r="B2060" s="21">
        <v>46104</v>
      </c>
      <c r="C2060" s="21" t="s">
        <v>15</v>
      </c>
      <c r="D2060" s="21" t="s">
        <v>232</v>
      </c>
      <c r="E2060" s="20"/>
      <c r="F2060" s="299" t="s">
        <v>792</v>
      </c>
      <c r="G2060" s="300">
        <v>15970.84</v>
      </c>
      <c r="I2060" s="1">
        <f>COUNTIF(Tabela1[NF],Tabela1[[#This Row],[NF]])</f>
        <v>1</v>
      </c>
      <c r="K2060" s="26">
        <f>Tabela1[[#This Row],[DT. VENCIMENTO]]</f>
        <v>46104</v>
      </c>
      <c r="N2060" s="14" t="str" cm="1">
        <f t="array" ref="N2060">_xlfn.XLOOKUP(TRIM(D2060),TRIM(DFC!A:A),DFC!A:A,"NÃO ESTÁ NA DFC")</f>
        <v xml:space="preserve">          COMPRA DE MÁQUINA</v>
      </c>
    </row>
    <row r="2061" spans="1:14" ht="15" customHeight="1" x14ac:dyDescent="0.3">
      <c r="A2061" s="19" t="s">
        <v>793</v>
      </c>
      <c r="B2061" s="21">
        <v>46104</v>
      </c>
      <c r="C2061" s="21" t="s">
        <v>15</v>
      </c>
      <c r="D2061" s="21" t="s">
        <v>19</v>
      </c>
      <c r="E2061" s="20"/>
      <c r="F2061" s="299" t="s">
        <v>794</v>
      </c>
      <c r="G2061" s="300">
        <v>3138.13</v>
      </c>
      <c r="I2061" s="1">
        <f>COUNTIF(Tabela1[NF],Tabela1[[#This Row],[NF]])</f>
        <v>1</v>
      </c>
      <c r="K2061" s="26">
        <f>Tabela1[[#This Row],[DT. VENCIMENTO]]</f>
        <v>46104</v>
      </c>
      <c r="N2061" s="14" t="str" cm="1">
        <f t="array" ref="N2061">_xlfn.XLOOKUP(TRIM(D2061),TRIM(DFC!A:A),DFC!A:A,"NÃO ESTÁ NA DFC")</f>
        <v xml:space="preserve">      PEÇAS</v>
      </c>
    </row>
    <row r="2062" spans="1:14" ht="15" customHeight="1" x14ac:dyDescent="0.3">
      <c r="A2062" s="19">
        <v>47047002</v>
      </c>
      <c r="B2062" s="21">
        <v>46104</v>
      </c>
      <c r="C2062" s="21" t="s">
        <v>15</v>
      </c>
      <c r="D2062" s="21" t="s">
        <v>19</v>
      </c>
      <c r="E2062" s="20"/>
      <c r="F2062" s="299" t="s">
        <v>282</v>
      </c>
      <c r="G2062" s="300">
        <v>564</v>
      </c>
      <c r="I2062" s="1">
        <f>COUNTIF(Tabela1[NF],Tabela1[[#This Row],[NF]])</f>
        <v>1</v>
      </c>
      <c r="K2062" s="26">
        <f>Tabela1[[#This Row],[DT. VENCIMENTO]]</f>
        <v>46104</v>
      </c>
      <c r="N2062" s="14" t="str" cm="1">
        <f t="array" ref="N2062">_xlfn.XLOOKUP(TRIM(D2062),TRIM(DFC!A:A),DFC!A:A,"NÃO ESTÁ NA DFC")</f>
        <v xml:space="preserve">      PEÇAS</v>
      </c>
    </row>
    <row r="2063" spans="1:14" ht="15" customHeight="1" x14ac:dyDescent="0.3">
      <c r="A2063" s="19">
        <v>15626</v>
      </c>
      <c r="B2063" s="21">
        <v>46104</v>
      </c>
      <c r="C2063" s="21" t="s">
        <v>15</v>
      </c>
      <c r="D2063" s="21" t="s">
        <v>386</v>
      </c>
      <c r="E2063" s="20"/>
      <c r="F2063" s="299" t="s">
        <v>795</v>
      </c>
      <c r="G2063" s="300">
        <v>446.54</v>
      </c>
      <c r="I2063" s="1">
        <f>COUNTIF(Tabela1[NF],Tabela1[[#This Row],[NF]])</f>
        <v>1</v>
      </c>
      <c r="K2063" s="26">
        <f>Tabela1[[#This Row],[DT. VENCIMENTO]]</f>
        <v>46104</v>
      </c>
      <c r="N2063" s="14" t="str" cm="1">
        <f t="array" ref="N2063">_xlfn.XLOOKUP(TRIM(D2063),TRIM(DFC!A:A),DFC!A:A,"NÃO ESTÁ NA DFC")</f>
        <v xml:space="preserve">          MATERIAIS DE USO E CONSUMO</v>
      </c>
    </row>
    <row r="2064" spans="1:14" ht="15" customHeight="1" x14ac:dyDescent="0.3">
      <c r="A2064" s="19" t="s">
        <v>796</v>
      </c>
      <c r="B2064" s="21">
        <v>46105</v>
      </c>
      <c r="C2064" s="21" t="s">
        <v>15</v>
      </c>
      <c r="D2064" s="21" t="s">
        <v>19</v>
      </c>
      <c r="E2064" s="20"/>
      <c r="F2064" s="299" t="s">
        <v>744</v>
      </c>
      <c r="G2064" s="300">
        <v>5461.88</v>
      </c>
      <c r="I2064" s="1">
        <f>COUNTIF(Tabela1[NF],Tabela1[[#This Row],[NF]])</f>
        <v>1</v>
      </c>
      <c r="K2064" s="26">
        <f>Tabela1[[#This Row],[DT. VENCIMENTO]]</f>
        <v>46105</v>
      </c>
      <c r="N2064" s="14" t="str" cm="1">
        <f t="array" ref="N2064">_xlfn.XLOOKUP(TRIM(D2064),TRIM(DFC!A:A),DFC!A:A,"NÃO ESTÁ NA DFC")</f>
        <v xml:space="preserve">      PEÇAS</v>
      </c>
    </row>
    <row r="2065" spans="1:14" ht="15" customHeight="1" x14ac:dyDescent="0.3">
      <c r="A2065" s="19" t="s">
        <v>797</v>
      </c>
      <c r="B2065" s="21">
        <v>46105</v>
      </c>
      <c r="C2065" s="21" t="s">
        <v>15</v>
      </c>
      <c r="D2065" s="21" t="s">
        <v>154</v>
      </c>
      <c r="E2065" s="20"/>
      <c r="F2065" s="299" t="s">
        <v>241</v>
      </c>
      <c r="G2065" s="300">
        <v>2959.83</v>
      </c>
      <c r="I2065" s="1">
        <f>COUNTIF(Tabela1[NF],Tabela1[[#This Row],[NF]])</f>
        <v>1</v>
      </c>
      <c r="K2065" s="26">
        <f>Tabela1[[#This Row],[DT. VENCIMENTO]]</f>
        <v>46105</v>
      </c>
      <c r="N2065" s="14" t="str" cm="1">
        <f t="array" ref="N2065">_xlfn.XLOOKUP(TRIM(D2065),TRIM(DFC!A:A),DFC!A:A,"NÃO ESTÁ NA DFC")</f>
        <v xml:space="preserve">      EMBALAGENS</v>
      </c>
    </row>
    <row r="2066" spans="1:14" ht="15" customHeight="1" x14ac:dyDescent="0.3">
      <c r="A2066" s="19" t="s">
        <v>798</v>
      </c>
      <c r="B2066" s="21">
        <v>46105</v>
      </c>
      <c r="C2066" s="21" t="s">
        <v>15</v>
      </c>
      <c r="D2066" s="21" t="s">
        <v>19</v>
      </c>
      <c r="E2066" s="20"/>
      <c r="F2066" s="299" t="s">
        <v>744</v>
      </c>
      <c r="G2066" s="300">
        <v>3218.6</v>
      </c>
      <c r="I2066" s="1">
        <f>COUNTIF(Tabela1[NF],Tabela1[[#This Row],[NF]])</f>
        <v>1</v>
      </c>
      <c r="K2066" s="26">
        <f>Tabela1[[#This Row],[DT. VENCIMENTO]]</f>
        <v>46105</v>
      </c>
      <c r="N2066" s="14" t="str" cm="1">
        <f t="array" ref="N2066">_xlfn.XLOOKUP(TRIM(D2066),TRIM(DFC!A:A),DFC!A:A,"NÃO ESTÁ NA DFC")</f>
        <v xml:space="preserve">      PEÇAS</v>
      </c>
    </row>
    <row r="2067" spans="1:14" ht="15" customHeight="1" x14ac:dyDescent="0.3">
      <c r="A2067" s="19">
        <v>16303</v>
      </c>
      <c r="B2067" s="21">
        <v>46105</v>
      </c>
      <c r="C2067" s="21" t="s">
        <v>15</v>
      </c>
      <c r="D2067" s="21" t="s">
        <v>19</v>
      </c>
      <c r="E2067" s="20" t="s">
        <v>573</v>
      </c>
      <c r="F2067" s="299" t="s">
        <v>768</v>
      </c>
      <c r="G2067" s="300">
        <v>3137.2</v>
      </c>
      <c r="I2067" s="1">
        <f>COUNTIF(Tabela1[NF],Tabela1[[#This Row],[NF]])</f>
        <v>1</v>
      </c>
      <c r="K2067" s="26">
        <f>Tabela1[[#This Row],[DT. VENCIMENTO]]</f>
        <v>46105</v>
      </c>
      <c r="N2067" s="14" t="str" cm="1">
        <f t="array" ref="N2067">_xlfn.XLOOKUP(TRIM(D2067),TRIM(DFC!A:A),DFC!A:A,"NÃO ESTÁ NA DFC")</f>
        <v xml:space="preserve">      PEÇAS</v>
      </c>
    </row>
    <row r="2068" spans="1:14" ht="15" customHeight="1" x14ac:dyDescent="0.3">
      <c r="A2068" s="328">
        <v>39373</v>
      </c>
      <c r="B2068" s="21">
        <v>46105</v>
      </c>
      <c r="C2068" s="21" t="s">
        <v>15</v>
      </c>
      <c r="D2068" s="21" t="s">
        <v>29</v>
      </c>
      <c r="E2068" s="20"/>
      <c r="F2068" s="313" t="s">
        <v>799</v>
      </c>
      <c r="G2068" s="300">
        <v>44.15</v>
      </c>
      <c r="I2068" s="1">
        <f>COUNTIF(Tabela1[NF],Tabela1[[#This Row],[NF]])</f>
        <v>1</v>
      </c>
      <c r="K2068" s="26">
        <f>Tabela1[[#This Row],[DT. VENCIMENTO]]</f>
        <v>46105</v>
      </c>
      <c r="N2068" s="14" t="str" cm="1">
        <f t="array" ref="N2068">_xlfn.XLOOKUP(TRIM(D2068),TRIM(DFC!A:A),DFC!A:A,"NÃO ESTÁ NA DFC")</f>
        <v xml:space="preserve">      FRETE DE SAÍDA</v>
      </c>
    </row>
    <row r="2069" spans="1:14" ht="15" customHeight="1" x14ac:dyDescent="0.3">
      <c r="A2069" s="19"/>
      <c r="B2069" s="21">
        <v>46106</v>
      </c>
      <c r="C2069" s="21" t="s">
        <v>15</v>
      </c>
      <c r="D2069" s="21" t="s">
        <v>40</v>
      </c>
      <c r="E2069" s="28" t="s">
        <v>800</v>
      </c>
      <c r="F2069" s="372" t="s">
        <v>801</v>
      </c>
      <c r="G2069" s="300">
        <v>300</v>
      </c>
      <c r="I2069" s="1">
        <f>COUNTIF(Tabela1[NF],Tabela1[[#This Row],[NF]])</f>
        <v>0</v>
      </c>
      <c r="K2069" s="26">
        <f>Tabela1[[#This Row],[DT. VENCIMENTO]]</f>
        <v>46106</v>
      </c>
      <c r="N2069" s="14" t="str" cm="1">
        <f t="array" ref="N2069">_xlfn.XLOOKUP(TRIM(D2069),TRIM(DFC!A:A),DFC!A:A,"NÃO ESTÁ NA DFC")</f>
        <v xml:space="preserve">         SERVIÇO TERCEIRIZADO</v>
      </c>
    </row>
    <row r="2070" spans="1:14" ht="15" customHeight="1" x14ac:dyDescent="0.3">
      <c r="A2070" s="19"/>
      <c r="B2070" s="21">
        <v>46106</v>
      </c>
      <c r="C2070" s="21" t="s">
        <v>15</v>
      </c>
      <c r="D2070" s="21" t="s">
        <v>29</v>
      </c>
      <c r="E2070" s="20"/>
      <c r="F2070" s="372" t="s">
        <v>168</v>
      </c>
      <c r="G2070" s="300">
        <v>189.8</v>
      </c>
      <c r="I2070" s="1">
        <f>COUNTIF(Tabela1[NF],Tabela1[[#This Row],[NF]])</f>
        <v>0</v>
      </c>
      <c r="K2070" s="26">
        <f>Tabela1[[#This Row],[DT. VENCIMENTO]]</f>
        <v>46106</v>
      </c>
      <c r="N2070" s="14" t="str" cm="1">
        <f t="array" ref="N2070">_xlfn.XLOOKUP(TRIM(D2070),TRIM(DFC!A:A),DFC!A:A,"NÃO ESTÁ NA DFC")</f>
        <v xml:space="preserve">      FRETE DE SAÍDA</v>
      </c>
    </row>
    <row r="2071" spans="1:14" ht="15" customHeight="1" x14ac:dyDescent="0.3">
      <c r="A2071" s="19"/>
      <c r="B2071" s="21">
        <v>46106</v>
      </c>
      <c r="C2071" s="21" t="s">
        <v>15</v>
      </c>
      <c r="D2071" s="21" t="s">
        <v>29</v>
      </c>
      <c r="E2071" s="20"/>
      <c r="F2071" s="372" t="s">
        <v>168</v>
      </c>
      <c r="G2071" s="300">
        <v>50</v>
      </c>
      <c r="I2071" s="1">
        <f>COUNTIF(Tabela1[NF],Tabela1[[#This Row],[NF]])</f>
        <v>0</v>
      </c>
      <c r="K2071" s="26">
        <f>Tabela1[[#This Row],[DT. VENCIMENTO]]</f>
        <v>46106</v>
      </c>
      <c r="N2071" s="14" t="str" cm="1">
        <f t="array" ref="N2071">_xlfn.XLOOKUP(TRIM(D2071),TRIM(DFC!A:A),DFC!A:A,"NÃO ESTÁ NA DFC")</f>
        <v xml:space="preserve">      FRETE DE SAÍDA</v>
      </c>
    </row>
    <row r="2072" spans="1:14" ht="15" customHeight="1" x14ac:dyDescent="0.3">
      <c r="A2072" s="19"/>
      <c r="B2072" s="21">
        <v>46106</v>
      </c>
      <c r="C2072" s="21" t="s">
        <v>15</v>
      </c>
      <c r="D2072" s="21" t="s">
        <v>43</v>
      </c>
      <c r="E2072" s="20"/>
      <c r="F2072" s="372" t="s">
        <v>294</v>
      </c>
      <c r="G2072" s="300">
        <v>270</v>
      </c>
      <c r="I2072" s="1">
        <f>COUNTIF(Tabela1[NF],Tabela1[[#This Row],[NF]])</f>
        <v>0</v>
      </c>
      <c r="K2072" s="26">
        <f>Tabela1[[#This Row],[DT. VENCIMENTO]]</f>
        <v>46106</v>
      </c>
      <c r="N2072" s="14" t="str" cm="1">
        <f t="array" ref="N2072">_xlfn.XLOOKUP(TRIM(D2072),TRIM(DFC!A:A),DFC!A:A,"NÃO ESTÁ NA DFC")</f>
        <v xml:space="preserve">          TRABALHISTA</v>
      </c>
    </row>
    <row r="2073" spans="1:14" ht="15" customHeight="1" x14ac:dyDescent="0.3">
      <c r="A2073" s="19" t="s">
        <v>802</v>
      </c>
      <c r="B2073" s="21">
        <v>46107</v>
      </c>
      <c r="C2073" s="21" t="s">
        <v>15</v>
      </c>
      <c r="D2073" s="21" t="s">
        <v>19</v>
      </c>
      <c r="E2073" s="20"/>
      <c r="F2073" s="299" t="s">
        <v>786</v>
      </c>
      <c r="G2073" s="300">
        <v>6271.37</v>
      </c>
      <c r="I2073" s="1">
        <f>COUNTIF(Tabela1[NF],Tabela1[[#This Row],[NF]])</f>
        <v>1</v>
      </c>
      <c r="K2073" s="26">
        <f>Tabela1[[#This Row],[DT. VENCIMENTO]]</f>
        <v>46107</v>
      </c>
      <c r="N2073" s="14" t="str" cm="1">
        <f t="array" ref="N2073">_xlfn.XLOOKUP(TRIM(D2073),TRIM(DFC!A:A),DFC!A:A,"NÃO ESTÁ NA DFC")</f>
        <v xml:space="preserve">      PEÇAS</v>
      </c>
    </row>
    <row r="2074" spans="1:14" ht="15" customHeight="1" x14ac:dyDescent="0.3">
      <c r="A2074" s="19" t="s">
        <v>803</v>
      </c>
      <c r="B2074" s="21">
        <v>46107</v>
      </c>
      <c r="C2074" s="21" t="s">
        <v>15</v>
      </c>
      <c r="D2074" s="21" t="s">
        <v>19</v>
      </c>
      <c r="E2074" s="20"/>
      <c r="F2074" s="299" t="s">
        <v>289</v>
      </c>
      <c r="G2074" s="300">
        <v>7499.99</v>
      </c>
      <c r="I2074" s="1">
        <f>COUNTIF(Tabela1[NF],Tabela1[[#This Row],[NF]])</f>
        <v>1</v>
      </c>
      <c r="K2074" s="26">
        <f>Tabela1[[#This Row],[DT. VENCIMENTO]]</f>
        <v>46107</v>
      </c>
      <c r="N2074" s="14" t="str" cm="1">
        <f t="array" ref="N2074">_xlfn.XLOOKUP(TRIM(D2074),TRIM(DFC!A:A),DFC!A:A,"NÃO ESTÁ NA DFC")</f>
        <v xml:space="preserve">      PEÇAS</v>
      </c>
    </row>
    <row r="2075" spans="1:14" ht="15" customHeight="1" x14ac:dyDescent="0.3">
      <c r="A2075" s="19" t="s">
        <v>804</v>
      </c>
      <c r="B2075" s="21">
        <v>46107</v>
      </c>
      <c r="C2075" s="21" t="s">
        <v>15</v>
      </c>
      <c r="D2075" s="21" t="s">
        <v>19</v>
      </c>
      <c r="E2075" s="20"/>
      <c r="F2075" s="299" t="s">
        <v>786</v>
      </c>
      <c r="G2075" s="300">
        <v>2500</v>
      </c>
      <c r="I2075" s="1">
        <f>COUNTIF(Tabela1[NF],Tabela1[[#This Row],[NF]])</f>
        <v>1</v>
      </c>
      <c r="K2075" s="26">
        <f>Tabela1[[#This Row],[DT. VENCIMENTO]]</f>
        <v>46107</v>
      </c>
      <c r="N2075" s="14" t="str" cm="1">
        <f t="array" ref="N2075">_xlfn.XLOOKUP(TRIM(D2075),TRIM(DFC!A:A),DFC!A:A,"NÃO ESTÁ NA DFC")</f>
        <v xml:space="preserve">      PEÇAS</v>
      </c>
    </row>
    <row r="2076" spans="1:14" ht="15" customHeight="1" x14ac:dyDescent="0.3">
      <c r="A2076" s="19" t="s">
        <v>805</v>
      </c>
      <c r="B2076" s="21">
        <v>46107</v>
      </c>
      <c r="C2076" s="21" t="s">
        <v>15</v>
      </c>
      <c r="D2076" s="21" t="s">
        <v>19</v>
      </c>
      <c r="E2076" s="20"/>
      <c r="F2076" s="299" t="s">
        <v>289</v>
      </c>
      <c r="G2076" s="300">
        <v>6271.37</v>
      </c>
      <c r="I2076" s="1">
        <f>COUNTIF(Tabela1[NF],Tabela1[[#This Row],[NF]])</f>
        <v>1</v>
      </c>
      <c r="K2076" s="26">
        <f>Tabela1[[#This Row],[DT. VENCIMENTO]]</f>
        <v>46107</v>
      </c>
      <c r="N2076" s="14" t="str" cm="1">
        <f t="array" ref="N2076">_xlfn.XLOOKUP(TRIM(D2076),TRIM(DFC!A:A),DFC!A:A,"NÃO ESTÁ NA DFC")</f>
        <v xml:space="preserve">      PEÇAS</v>
      </c>
    </row>
    <row r="2077" spans="1:14" ht="15" customHeight="1" x14ac:dyDescent="0.3">
      <c r="A2077" s="19" t="s">
        <v>806</v>
      </c>
      <c r="B2077" s="21">
        <v>46107</v>
      </c>
      <c r="C2077" s="21" t="s">
        <v>15</v>
      </c>
      <c r="D2077" s="21" t="s">
        <v>19</v>
      </c>
      <c r="E2077" s="20"/>
      <c r="F2077" s="299" t="s">
        <v>786</v>
      </c>
      <c r="G2077" s="300">
        <v>1416</v>
      </c>
      <c r="I2077" s="1">
        <f>COUNTIF(Tabela1[NF],Tabela1[[#This Row],[NF]])</f>
        <v>1</v>
      </c>
      <c r="K2077" s="26">
        <f>Tabela1[[#This Row],[DT. VENCIMENTO]]</f>
        <v>46107</v>
      </c>
      <c r="N2077" s="14" t="str" cm="1">
        <f t="array" ref="N2077">_xlfn.XLOOKUP(TRIM(D2077),TRIM(DFC!A:A),DFC!A:A,"NÃO ESTÁ NA DFC")</f>
        <v xml:space="preserve">      PEÇAS</v>
      </c>
    </row>
    <row r="2078" spans="1:14" ht="15" customHeight="1" x14ac:dyDescent="0.3">
      <c r="A2078" s="19" t="s">
        <v>807</v>
      </c>
      <c r="B2078" s="21">
        <v>46107</v>
      </c>
      <c r="C2078" s="21" t="s">
        <v>15</v>
      </c>
      <c r="D2078" s="21" t="s">
        <v>19</v>
      </c>
      <c r="E2078" s="20"/>
      <c r="F2078" s="299" t="s">
        <v>794</v>
      </c>
      <c r="G2078" s="300">
        <v>2072.1</v>
      </c>
      <c r="I2078" s="1">
        <f>COUNTIF(Tabela1[NF],Tabela1[[#This Row],[NF]])</f>
        <v>1</v>
      </c>
      <c r="K2078" s="26">
        <f>Tabela1[[#This Row],[DT. VENCIMENTO]]</f>
        <v>46107</v>
      </c>
      <c r="N2078" s="14" t="str" cm="1">
        <f t="array" ref="N2078">_xlfn.XLOOKUP(TRIM(D2078),TRIM(DFC!A:A),DFC!A:A,"NÃO ESTÁ NA DFC")</f>
        <v xml:space="preserve">      PEÇAS</v>
      </c>
    </row>
    <row r="2079" spans="1:14" ht="15" customHeight="1" x14ac:dyDescent="0.3">
      <c r="A2079" s="19"/>
      <c r="B2079" s="21">
        <v>46108</v>
      </c>
      <c r="C2079" s="21" t="s">
        <v>15</v>
      </c>
      <c r="D2079" s="21" t="s">
        <v>731</v>
      </c>
      <c r="E2079" s="20" t="s">
        <v>808</v>
      </c>
      <c r="F2079" s="372" t="s">
        <v>809</v>
      </c>
      <c r="G2079" s="300">
        <v>174.45</v>
      </c>
      <c r="I2079" s="1">
        <f>COUNTIF(Tabela1[NF],Tabela1[[#This Row],[NF]])</f>
        <v>0</v>
      </c>
      <c r="K2079" s="26">
        <f>Tabela1[[#This Row],[DT. VENCIMENTO]]</f>
        <v>46108</v>
      </c>
      <c r="N2079" s="14" t="str" cm="1">
        <f t="array" ref="N2079">_xlfn.XLOOKUP(TRIM(D2079),TRIM(DFC!A:A),DFC!A:A,"NÃO ESTÁ NA DFC")</f>
        <v xml:space="preserve">     DIFAL</v>
      </c>
    </row>
    <row r="2080" spans="1:14" ht="15" customHeight="1" x14ac:dyDescent="0.3">
      <c r="A2080" s="19"/>
      <c r="B2080" s="21">
        <v>46108</v>
      </c>
      <c r="C2080" s="21" t="s">
        <v>15</v>
      </c>
      <c r="D2080" s="21" t="s">
        <v>731</v>
      </c>
      <c r="E2080" s="20" t="s">
        <v>810</v>
      </c>
      <c r="F2080" s="372" t="s">
        <v>811</v>
      </c>
      <c r="G2080" s="300">
        <v>131.34</v>
      </c>
      <c r="I2080" s="1">
        <f>COUNTIF(Tabela1[NF],Tabela1[[#This Row],[NF]])</f>
        <v>0</v>
      </c>
      <c r="K2080" s="26">
        <f>Tabela1[[#This Row],[DT. VENCIMENTO]]</f>
        <v>46108</v>
      </c>
      <c r="N2080" s="14" t="str" cm="1">
        <f t="array" ref="N2080">_xlfn.XLOOKUP(TRIM(D2080),TRIM(DFC!A:A),DFC!A:A,"NÃO ESTÁ NA DFC")</f>
        <v xml:space="preserve">     DIFAL</v>
      </c>
    </row>
    <row r="2081" spans="1:14" ht="15" customHeight="1" x14ac:dyDescent="0.3">
      <c r="A2081" s="19"/>
      <c r="B2081" s="21">
        <v>46108</v>
      </c>
      <c r="C2081" s="21" t="s">
        <v>15</v>
      </c>
      <c r="D2081" s="21" t="s">
        <v>731</v>
      </c>
      <c r="E2081" s="20" t="s">
        <v>812</v>
      </c>
      <c r="F2081" s="372" t="s">
        <v>732</v>
      </c>
      <c r="G2081" s="300">
        <v>137.56</v>
      </c>
      <c r="I2081" s="1">
        <f>COUNTIF(Tabela1[NF],Tabela1[[#This Row],[NF]])</f>
        <v>0</v>
      </c>
      <c r="K2081" s="26">
        <f>Tabela1[[#This Row],[DT. VENCIMENTO]]</f>
        <v>46108</v>
      </c>
      <c r="N2081" s="14" t="str" cm="1">
        <f t="array" ref="N2081">_xlfn.XLOOKUP(TRIM(D2081),TRIM(DFC!A:A),DFC!A:A,"NÃO ESTÁ NA DFC")</f>
        <v xml:space="preserve">     DIFAL</v>
      </c>
    </row>
    <row r="2082" spans="1:14" ht="15" customHeight="1" x14ac:dyDescent="0.3">
      <c r="A2082" s="19" t="s">
        <v>813</v>
      </c>
      <c r="B2082" s="21">
        <v>46109</v>
      </c>
      <c r="C2082" s="21" t="s">
        <v>15</v>
      </c>
      <c r="D2082" s="21" t="s">
        <v>154</v>
      </c>
      <c r="E2082" s="20"/>
      <c r="F2082" s="299" t="s">
        <v>241</v>
      </c>
      <c r="G2082" s="300">
        <v>1775.9</v>
      </c>
      <c r="I2082" s="1">
        <f>COUNTIF(Tabela1[NF],Tabela1[[#This Row],[NF]])</f>
        <v>1</v>
      </c>
      <c r="K2082" s="26">
        <v>46111</v>
      </c>
      <c r="N2082" s="14" t="str" cm="1">
        <f t="array" ref="N2082">_xlfn.XLOOKUP(TRIM(D2082),TRIM(DFC!A:A),DFC!A:A,"NÃO ESTÁ NA DFC")</f>
        <v xml:space="preserve">      EMBALAGENS</v>
      </c>
    </row>
    <row r="2083" spans="1:14" ht="15" customHeight="1" x14ac:dyDescent="0.3">
      <c r="A2083" s="19" t="s">
        <v>814</v>
      </c>
      <c r="B2083" s="21">
        <v>46110</v>
      </c>
      <c r="C2083" s="21" t="s">
        <v>15</v>
      </c>
      <c r="D2083" s="21" t="s">
        <v>154</v>
      </c>
      <c r="E2083" s="20"/>
      <c r="F2083" s="299" t="s">
        <v>241</v>
      </c>
      <c r="G2083" s="300">
        <v>3255.82</v>
      </c>
      <c r="I2083" s="1">
        <f>COUNTIF(Tabela1[NF],Tabela1[[#This Row],[NF]])</f>
        <v>1</v>
      </c>
      <c r="K2083" s="26">
        <v>46111</v>
      </c>
      <c r="N2083" s="14" t="str" cm="1">
        <f t="array" ref="N2083">_xlfn.XLOOKUP(TRIM(D2083),TRIM(DFC!A:A),DFC!A:A,"NÃO ESTÁ NA DFC")</f>
        <v xml:space="preserve">      EMBALAGENS</v>
      </c>
    </row>
    <row r="2084" spans="1:14" ht="15" customHeight="1" x14ac:dyDescent="0.3">
      <c r="A2084" s="19" t="s">
        <v>815</v>
      </c>
      <c r="B2084" s="21">
        <v>46111</v>
      </c>
      <c r="C2084" s="21" t="s">
        <v>15</v>
      </c>
      <c r="D2084" s="21" t="s">
        <v>19</v>
      </c>
      <c r="E2084" s="20"/>
      <c r="F2084" s="299" t="s">
        <v>786</v>
      </c>
      <c r="G2084" s="300">
        <v>833.33</v>
      </c>
      <c r="I2084" s="1">
        <f>COUNTIF(Tabela1[NF],Tabela1[[#This Row],[NF]])</f>
        <v>1</v>
      </c>
      <c r="K2084" s="26">
        <f>Tabela1[[#This Row],[DT. VENCIMENTO]]</f>
        <v>46111</v>
      </c>
      <c r="N2084" s="14" t="str" cm="1">
        <f t="array" ref="N2084">_xlfn.XLOOKUP(TRIM(D2084),TRIM(DFC!A:A),DFC!A:A,"NÃO ESTÁ NA DFC")</f>
        <v xml:space="preserve">      PEÇAS</v>
      </c>
    </row>
    <row r="2085" spans="1:14" ht="15" customHeight="1" x14ac:dyDescent="0.3">
      <c r="A2085" s="19" t="s">
        <v>816</v>
      </c>
      <c r="B2085" s="21">
        <v>46111</v>
      </c>
      <c r="C2085" s="21" t="s">
        <v>15</v>
      </c>
      <c r="D2085" s="21" t="s">
        <v>19</v>
      </c>
      <c r="E2085" s="20"/>
      <c r="F2085" s="299" t="s">
        <v>289</v>
      </c>
      <c r="G2085" s="300">
        <v>4999.99</v>
      </c>
      <c r="I2085" s="1">
        <f>COUNTIF(Tabela1[NF],Tabela1[[#This Row],[NF]])</f>
        <v>1</v>
      </c>
      <c r="K2085" s="26">
        <f>Tabela1[[#This Row],[DT. VENCIMENTO]]</f>
        <v>46111</v>
      </c>
      <c r="N2085" s="14" t="str" cm="1">
        <f t="array" ref="N2085">_xlfn.XLOOKUP(TRIM(D2085),TRIM(DFC!A:A),DFC!A:A,"NÃO ESTÁ NA DFC")</f>
        <v xml:space="preserve">      PEÇAS</v>
      </c>
    </row>
    <row r="2086" spans="1:14" ht="15" customHeight="1" x14ac:dyDescent="0.3">
      <c r="A2086" s="19" t="s">
        <v>817</v>
      </c>
      <c r="B2086" s="21">
        <v>46111</v>
      </c>
      <c r="C2086" s="21" t="s">
        <v>15</v>
      </c>
      <c r="D2086" s="21" t="s">
        <v>19</v>
      </c>
      <c r="E2086" s="20"/>
      <c r="F2086" s="299" t="s">
        <v>786</v>
      </c>
      <c r="G2086" s="300">
        <v>7473.33</v>
      </c>
      <c r="I2086" s="1">
        <f>COUNTIF(Tabela1[NF],Tabela1[[#This Row],[NF]])</f>
        <v>1</v>
      </c>
      <c r="K2086" s="26">
        <f>Tabela1[[#This Row],[DT. VENCIMENTO]]</f>
        <v>46111</v>
      </c>
      <c r="N2086" s="14" t="str" cm="1">
        <f t="array" ref="N2086">_xlfn.XLOOKUP(TRIM(D2086),TRIM(DFC!A:A),DFC!A:A,"NÃO ESTÁ NA DFC")</f>
        <v xml:space="preserve">      PEÇAS</v>
      </c>
    </row>
    <row r="2087" spans="1:14" ht="15" customHeight="1" x14ac:dyDescent="0.3">
      <c r="A2087" s="19" t="s">
        <v>818</v>
      </c>
      <c r="B2087" s="21">
        <v>46111</v>
      </c>
      <c r="C2087" s="21" t="s">
        <v>15</v>
      </c>
      <c r="D2087" s="21" t="s">
        <v>19</v>
      </c>
      <c r="E2087" s="20"/>
      <c r="F2087" s="299" t="s">
        <v>289</v>
      </c>
      <c r="G2087" s="300">
        <v>2500</v>
      </c>
      <c r="I2087" s="1">
        <f>COUNTIF(Tabela1[NF],Tabela1[[#This Row],[NF]])</f>
        <v>1</v>
      </c>
      <c r="K2087" s="26">
        <f>Tabela1[[#This Row],[DT. VENCIMENTO]]</f>
        <v>46111</v>
      </c>
      <c r="N2087" s="14" t="str" cm="1">
        <f t="array" ref="N2087">_xlfn.XLOOKUP(TRIM(D2087),TRIM(DFC!A:A),DFC!A:A,"NÃO ESTÁ NA DFC")</f>
        <v xml:space="preserve">      PEÇAS</v>
      </c>
    </row>
    <row r="2088" spans="1:14" ht="15" customHeight="1" x14ac:dyDescent="0.3">
      <c r="A2088" s="19" t="s">
        <v>819</v>
      </c>
      <c r="B2088" s="21">
        <v>46111</v>
      </c>
      <c r="C2088" s="21" t="s">
        <v>15</v>
      </c>
      <c r="D2088" s="21" t="s">
        <v>19</v>
      </c>
      <c r="E2088" s="20"/>
      <c r="F2088" s="299" t="s">
        <v>786</v>
      </c>
      <c r="G2088" s="300">
        <v>1666.66</v>
      </c>
      <c r="I2088" s="1">
        <f>COUNTIF(Tabela1[NF],Tabela1[[#This Row],[NF]])</f>
        <v>1</v>
      </c>
      <c r="K2088" s="26">
        <f>Tabela1[[#This Row],[DT. VENCIMENTO]]</f>
        <v>46111</v>
      </c>
      <c r="N2088" s="14" t="str" cm="1">
        <f t="array" ref="N2088">_xlfn.XLOOKUP(TRIM(D2088),TRIM(DFC!A:A),DFC!A:A,"NÃO ESTÁ NA DFC")</f>
        <v xml:space="preserve">      PEÇAS</v>
      </c>
    </row>
    <row r="2089" spans="1:14" ht="15" customHeight="1" x14ac:dyDescent="0.3">
      <c r="A2089" s="19"/>
      <c r="B2089" s="21">
        <v>46112</v>
      </c>
      <c r="C2089" s="21" t="s">
        <v>15</v>
      </c>
      <c r="D2089" s="21" t="s">
        <v>29</v>
      </c>
      <c r="E2089" s="20"/>
      <c r="F2089" s="299" t="s">
        <v>820</v>
      </c>
      <c r="G2089" s="300">
        <v>629.41</v>
      </c>
      <c r="I2089" s="1">
        <f>COUNTIF(Tabela1[NF],Tabela1[[#This Row],[NF]])</f>
        <v>0</v>
      </c>
      <c r="K2089" s="26">
        <f>Tabela1[[#This Row],[DT. VENCIMENTO]]</f>
        <v>46112</v>
      </c>
      <c r="N2089" s="14" t="str" cm="1">
        <f t="array" ref="N2089">_xlfn.XLOOKUP(TRIM(D2089),TRIM(DFC!A:A),DFC!A:A,"NÃO ESTÁ NA DFC")</f>
        <v xml:space="preserve">      FRETE DE SAÍDA</v>
      </c>
    </row>
    <row r="2090" spans="1:14" ht="15" customHeight="1" x14ac:dyDescent="0.3">
      <c r="A2090" s="19" t="s">
        <v>821</v>
      </c>
      <c r="B2090" s="21">
        <v>46112</v>
      </c>
      <c r="C2090" s="21" t="s">
        <v>15</v>
      </c>
      <c r="D2090" s="21" t="s">
        <v>19</v>
      </c>
      <c r="E2090" s="20"/>
      <c r="F2090" s="299" t="s">
        <v>736</v>
      </c>
      <c r="G2090" s="300">
        <v>4439.88</v>
      </c>
      <c r="I2090" s="1">
        <f>COUNTIF(Tabela1[NF],Tabela1[[#This Row],[NF]])</f>
        <v>1</v>
      </c>
      <c r="K2090" s="26">
        <f>Tabela1[[#This Row],[DT. VENCIMENTO]]</f>
        <v>46112</v>
      </c>
      <c r="N2090" s="14" t="str" cm="1">
        <f t="array" ref="N2090">_xlfn.XLOOKUP(TRIM(D2090),TRIM(DFC!A:A),DFC!A:A,"NÃO ESTÁ NA DFC")</f>
        <v xml:space="preserve">      PEÇAS</v>
      </c>
    </row>
    <row r="2091" spans="1:14" ht="15" customHeight="1" x14ac:dyDescent="0.3">
      <c r="A2091" s="19"/>
      <c r="B2091" s="21">
        <v>46105</v>
      </c>
      <c r="C2091" s="21" t="s">
        <v>15</v>
      </c>
      <c r="D2091" s="21" t="s">
        <v>29</v>
      </c>
      <c r="E2091" s="20" t="s">
        <v>716</v>
      </c>
      <c r="F2091" s="372" t="s">
        <v>467</v>
      </c>
      <c r="G2091" s="252">
        <v>200.97</v>
      </c>
      <c r="I2091" s="1">
        <f>COUNTIF(Tabela1[NF],Tabela1[[#This Row],[NF]])</f>
        <v>0</v>
      </c>
      <c r="K2091" s="26">
        <f>Tabela1[[#This Row],[DT. VENCIMENTO]]</f>
        <v>46105</v>
      </c>
      <c r="N2091" s="14" t="str" cm="1">
        <f t="array" ref="N2091">_xlfn.XLOOKUP(TRIM(D2091),TRIM(DFC!A:A),DFC!A:A,"NÃO ESTÁ NA DFC")</f>
        <v xml:space="preserve">      FRETE DE SAÍDA</v>
      </c>
    </row>
    <row r="2092" spans="1:14" ht="15" customHeight="1" x14ac:dyDescent="0.3">
      <c r="A2092" s="19"/>
      <c r="B2092" s="21">
        <v>46105</v>
      </c>
      <c r="C2092" s="21" t="s">
        <v>15</v>
      </c>
      <c r="D2092" s="21" t="s">
        <v>19</v>
      </c>
      <c r="E2092" s="20"/>
      <c r="F2092" s="372" t="s">
        <v>310</v>
      </c>
      <c r="G2092" s="252">
        <v>5998.79</v>
      </c>
      <c r="I2092" s="1">
        <f>COUNTIF(Tabela1[NF],Tabela1[[#This Row],[NF]])</f>
        <v>0</v>
      </c>
      <c r="K2092" s="26">
        <f>Tabela1[[#This Row],[DT. VENCIMENTO]]</f>
        <v>46105</v>
      </c>
      <c r="N2092" s="14" t="str" cm="1">
        <f t="array" ref="N2092">_xlfn.XLOOKUP(TRIM(D2092),TRIM(DFC!A:A),DFC!A:A,"NÃO ESTÁ NA DFC")</f>
        <v xml:space="preserve">      PEÇAS</v>
      </c>
    </row>
    <row r="2093" spans="1:14" ht="15" customHeight="1" x14ac:dyDescent="0.3">
      <c r="A2093" s="19"/>
      <c r="B2093" s="21">
        <v>46105</v>
      </c>
      <c r="C2093" s="21" t="s">
        <v>15</v>
      </c>
      <c r="D2093" s="21" t="s">
        <v>19</v>
      </c>
      <c r="E2093" s="20"/>
      <c r="F2093" s="372" t="s">
        <v>173</v>
      </c>
      <c r="G2093" s="252">
        <v>5777.26</v>
      </c>
      <c r="I2093" s="1">
        <f>COUNTIF(Tabela1[NF],Tabela1[[#This Row],[NF]])</f>
        <v>0</v>
      </c>
      <c r="K2093" s="26">
        <f>Tabela1[[#This Row],[DT. VENCIMENTO]]</f>
        <v>46105</v>
      </c>
      <c r="N2093" s="14" t="str" cm="1">
        <f t="array" ref="N2093">_xlfn.XLOOKUP(TRIM(D2093),TRIM(DFC!A:A),DFC!A:A,"NÃO ESTÁ NA DFC")</f>
        <v xml:space="preserve">      PEÇAS</v>
      </c>
    </row>
    <row r="2094" spans="1:14" ht="15" customHeight="1" x14ac:dyDescent="0.3">
      <c r="A2094" s="19"/>
      <c r="B2094" s="21">
        <v>46105</v>
      </c>
      <c r="C2094" s="21" t="s">
        <v>15</v>
      </c>
      <c r="D2094" s="21" t="s">
        <v>19</v>
      </c>
      <c r="E2094" s="20"/>
      <c r="F2094" s="372" t="s">
        <v>173</v>
      </c>
      <c r="G2094" s="252">
        <v>5682.61</v>
      </c>
      <c r="I2094" s="1">
        <f>COUNTIF(Tabela1[NF],Tabela1[[#This Row],[NF]])</f>
        <v>0</v>
      </c>
      <c r="K2094" s="26">
        <f>Tabela1[[#This Row],[DT. VENCIMENTO]]</f>
        <v>46105</v>
      </c>
      <c r="N2094" s="14" t="str" cm="1">
        <f t="array" ref="N2094">_xlfn.XLOOKUP(TRIM(D2094),TRIM(DFC!A:A),DFC!A:A,"NÃO ESTÁ NA DFC")</f>
        <v xml:space="preserve">      PEÇAS</v>
      </c>
    </row>
    <row r="2095" spans="1:14" ht="15" customHeight="1" x14ac:dyDescent="0.3">
      <c r="A2095" s="19"/>
      <c r="B2095" s="21">
        <v>46105</v>
      </c>
      <c r="C2095" s="21" t="s">
        <v>15</v>
      </c>
      <c r="D2095" s="21" t="s">
        <v>82</v>
      </c>
      <c r="E2095" s="20" t="s">
        <v>572</v>
      </c>
      <c r="F2095" s="372" t="s">
        <v>411</v>
      </c>
      <c r="G2095" s="252">
        <v>360</v>
      </c>
      <c r="I2095" s="1">
        <f>COUNTIF(Tabela1[NF],Tabela1[[#This Row],[NF]])</f>
        <v>0</v>
      </c>
      <c r="K2095" s="26">
        <f>Tabela1[[#This Row],[DT. VENCIMENTO]]</f>
        <v>46105</v>
      </c>
      <c r="N2095" s="14" t="str" cm="1">
        <f t="array" ref="N2095">_xlfn.XLOOKUP(TRIM(D2095),TRIM(DFC!A:A),DFC!A:A,"NÃO ESTÁ NA DFC")</f>
        <v xml:space="preserve">          DIÁRIAS</v>
      </c>
    </row>
    <row r="2096" spans="1:14" ht="15" customHeight="1" x14ac:dyDescent="0.3">
      <c r="A2096" s="19"/>
      <c r="B2096" s="21">
        <v>46105</v>
      </c>
      <c r="C2096" s="21" t="s">
        <v>15</v>
      </c>
      <c r="D2096" s="21" t="s">
        <v>156</v>
      </c>
      <c r="E2096" s="20" t="s">
        <v>822</v>
      </c>
      <c r="F2096" s="372" t="s">
        <v>314</v>
      </c>
      <c r="G2096" s="252">
        <v>2040</v>
      </c>
      <c r="I2096" s="1">
        <f>COUNTIF(Tabela1[NF],Tabela1[[#This Row],[NF]])</f>
        <v>0</v>
      </c>
      <c r="K2096" s="26">
        <f>Tabela1[[#This Row],[DT. VENCIMENTO]]</f>
        <v>46105</v>
      </c>
      <c r="N2096" s="14" t="str" cm="1">
        <f t="array" ref="N2096">_xlfn.XLOOKUP(TRIM(D2096),TRIM(DFC!A:A),DFC!A:A,"NÃO ESTÁ NA DFC")</f>
        <v xml:space="preserve">      MONTAGEM DE RODAS</v>
      </c>
    </row>
    <row r="2097" spans="1:14" ht="15" customHeight="1" x14ac:dyDescent="0.3">
      <c r="A2097" s="19"/>
      <c r="B2097" s="21">
        <v>46106</v>
      </c>
      <c r="C2097" s="21" t="s">
        <v>15</v>
      </c>
      <c r="D2097" s="21" t="s">
        <v>29</v>
      </c>
      <c r="E2097" s="20"/>
      <c r="F2097" s="372" t="s">
        <v>168</v>
      </c>
      <c r="G2097" s="252">
        <v>333.32</v>
      </c>
      <c r="I2097" s="1">
        <f>COUNTIF(Tabela1[NF],Tabela1[[#This Row],[NF]])</f>
        <v>0</v>
      </c>
      <c r="K2097" s="26">
        <f>Tabela1[[#This Row],[DT. VENCIMENTO]]</f>
        <v>46106</v>
      </c>
      <c r="N2097" s="14" t="str" cm="1">
        <f t="array" ref="N2097">_xlfn.XLOOKUP(TRIM(D2097),TRIM(DFC!A:A),DFC!A:A,"NÃO ESTÁ NA DFC")</f>
        <v xml:space="preserve">      FRETE DE SAÍDA</v>
      </c>
    </row>
    <row r="2098" spans="1:14" ht="15" customHeight="1" x14ac:dyDescent="0.3">
      <c r="A2098" s="19"/>
      <c r="B2098" s="21">
        <v>46106</v>
      </c>
      <c r="C2098" s="21" t="s">
        <v>15</v>
      </c>
      <c r="D2098" s="21" t="s">
        <v>29</v>
      </c>
      <c r="E2098" s="20"/>
      <c r="F2098" s="372" t="s">
        <v>450</v>
      </c>
      <c r="G2098" s="252">
        <v>880</v>
      </c>
      <c r="I2098" s="1">
        <f>COUNTIF(Tabela1[NF],Tabela1[[#This Row],[NF]])</f>
        <v>0</v>
      </c>
      <c r="K2098" s="26">
        <f>Tabela1[[#This Row],[DT. VENCIMENTO]]</f>
        <v>46106</v>
      </c>
      <c r="N2098" s="14" t="str" cm="1">
        <f t="array" ref="N2098">_xlfn.XLOOKUP(TRIM(D2098),TRIM(DFC!A:A),DFC!A:A,"NÃO ESTÁ NA DFC")</f>
        <v xml:space="preserve">      FRETE DE SAÍDA</v>
      </c>
    </row>
    <row r="2099" spans="1:14" ht="15" customHeight="1" x14ac:dyDescent="0.3">
      <c r="A2099" s="19"/>
      <c r="B2099" s="21">
        <v>46106</v>
      </c>
      <c r="C2099" s="21" t="s">
        <v>15</v>
      </c>
      <c r="D2099" s="21" t="s">
        <v>29</v>
      </c>
      <c r="E2099" s="20"/>
      <c r="F2099" s="372" t="s">
        <v>168</v>
      </c>
      <c r="G2099" s="252">
        <v>490</v>
      </c>
      <c r="I2099" s="1">
        <f>COUNTIF(Tabela1[NF],Tabela1[[#This Row],[NF]])</f>
        <v>0</v>
      </c>
      <c r="K2099" s="26">
        <f>Tabela1[[#This Row],[DT. VENCIMENTO]]</f>
        <v>46106</v>
      </c>
      <c r="N2099" s="14" t="str" cm="1">
        <f t="array" ref="N2099">_xlfn.XLOOKUP(TRIM(D2099),TRIM(DFC!A:A),DFC!A:A,"NÃO ESTÁ NA DFC")</f>
        <v xml:space="preserve">      FRETE DE SAÍDA</v>
      </c>
    </row>
    <row r="2100" spans="1:14" ht="15" customHeight="1" x14ac:dyDescent="0.3">
      <c r="A2100" s="19"/>
      <c r="B2100" s="21">
        <v>46106</v>
      </c>
      <c r="C2100" s="21" t="s">
        <v>15</v>
      </c>
      <c r="D2100" s="21" t="s">
        <v>29</v>
      </c>
      <c r="E2100" s="20"/>
      <c r="F2100" s="372" t="s">
        <v>168</v>
      </c>
      <c r="G2100" s="252">
        <v>110</v>
      </c>
      <c r="I2100" s="1">
        <f>COUNTIF(Tabela1[NF],Tabela1[[#This Row],[NF]])</f>
        <v>0</v>
      </c>
      <c r="K2100" s="26">
        <f>Tabela1[[#This Row],[DT. VENCIMENTO]]</f>
        <v>46106</v>
      </c>
      <c r="N2100" s="14" t="str" cm="1">
        <f t="array" ref="N2100">_xlfn.XLOOKUP(TRIM(D2100),TRIM(DFC!A:A),DFC!A:A,"NÃO ESTÁ NA DFC")</f>
        <v xml:space="preserve">      FRETE DE SAÍDA</v>
      </c>
    </row>
    <row r="2101" spans="1:14" ht="15" customHeight="1" x14ac:dyDescent="0.3">
      <c r="A2101" s="19"/>
      <c r="B2101" s="21">
        <v>46106</v>
      </c>
      <c r="C2101" s="21" t="s">
        <v>15</v>
      </c>
      <c r="D2101" s="21" t="s">
        <v>29</v>
      </c>
      <c r="E2101" s="20"/>
      <c r="F2101" s="372" t="s">
        <v>168</v>
      </c>
      <c r="G2101" s="252">
        <v>874.89</v>
      </c>
      <c r="I2101" s="1">
        <f>COUNTIF(Tabela1[NF],Tabela1[[#This Row],[NF]])</f>
        <v>0</v>
      </c>
      <c r="K2101" s="26">
        <f>Tabela1[[#This Row],[DT. VENCIMENTO]]</f>
        <v>46106</v>
      </c>
      <c r="N2101" s="14" t="str" cm="1">
        <f t="array" ref="N2101">_xlfn.XLOOKUP(TRIM(D2101),TRIM(DFC!A:A),DFC!A:A,"NÃO ESTÁ NA DFC")</f>
        <v xml:space="preserve">      FRETE DE SAÍDA</v>
      </c>
    </row>
    <row r="2102" spans="1:14" ht="15" customHeight="1" x14ac:dyDescent="0.3">
      <c r="A2102" s="19"/>
      <c r="B2102" s="21">
        <v>46106</v>
      </c>
      <c r="C2102" s="21" t="s">
        <v>15</v>
      </c>
      <c r="D2102" s="21" t="s">
        <v>29</v>
      </c>
      <c r="E2102" s="20"/>
      <c r="F2102" s="372" t="s">
        <v>168</v>
      </c>
      <c r="G2102" s="252">
        <v>325</v>
      </c>
      <c r="I2102" s="1">
        <f>COUNTIF(Tabela1[NF],Tabela1[[#This Row],[NF]])</f>
        <v>0</v>
      </c>
      <c r="K2102" s="26">
        <f>Tabela1[[#This Row],[DT. VENCIMENTO]]</f>
        <v>46106</v>
      </c>
      <c r="N2102" s="14" t="str" cm="1">
        <f t="array" ref="N2102">_xlfn.XLOOKUP(TRIM(D2102),TRIM(DFC!A:A),DFC!A:A,"NÃO ESTÁ NA DFC")</f>
        <v xml:space="preserve">      FRETE DE SAÍDA</v>
      </c>
    </row>
    <row r="2103" spans="1:14" ht="15" customHeight="1" x14ac:dyDescent="0.3">
      <c r="A2103" s="19"/>
      <c r="B2103" s="21">
        <v>46106</v>
      </c>
      <c r="C2103" s="21" t="s">
        <v>15</v>
      </c>
      <c r="D2103" s="21" t="s">
        <v>29</v>
      </c>
      <c r="E2103" s="20"/>
      <c r="F2103" s="372" t="s">
        <v>168</v>
      </c>
      <c r="G2103" s="252">
        <v>195</v>
      </c>
      <c r="I2103" s="1">
        <f>COUNTIF(Tabela1[NF],Tabela1[[#This Row],[NF]])</f>
        <v>0</v>
      </c>
      <c r="K2103" s="26">
        <f>Tabela1[[#This Row],[DT. VENCIMENTO]]</f>
        <v>46106</v>
      </c>
      <c r="N2103" s="14" t="str" cm="1">
        <f t="array" ref="N2103">_xlfn.XLOOKUP(TRIM(D2103),TRIM(DFC!A:A),DFC!A:A,"NÃO ESTÁ NA DFC")</f>
        <v xml:space="preserve">      FRETE DE SAÍDA</v>
      </c>
    </row>
    <row r="2104" spans="1:14" ht="15" customHeight="1" x14ac:dyDescent="0.3">
      <c r="A2104" s="19"/>
      <c r="B2104" s="21">
        <v>46106</v>
      </c>
      <c r="C2104" s="21" t="s">
        <v>15</v>
      </c>
      <c r="D2104" s="21" t="s">
        <v>29</v>
      </c>
      <c r="E2104" s="20"/>
      <c r="F2104" s="372" t="s">
        <v>484</v>
      </c>
      <c r="G2104" s="252">
        <v>440</v>
      </c>
      <c r="I2104" s="1">
        <f>COUNTIF(Tabela1[NF],Tabela1[[#This Row],[NF]])</f>
        <v>0</v>
      </c>
      <c r="K2104" s="26">
        <f>Tabela1[[#This Row],[DT. VENCIMENTO]]</f>
        <v>46106</v>
      </c>
      <c r="N2104" s="14" t="str" cm="1">
        <f t="array" ref="N2104">_xlfn.XLOOKUP(TRIM(D2104),TRIM(DFC!A:A),DFC!A:A,"NÃO ESTÁ NA DFC")</f>
        <v xml:space="preserve">      FRETE DE SAÍDA</v>
      </c>
    </row>
    <row r="2105" spans="1:14" ht="15" customHeight="1" x14ac:dyDescent="0.3">
      <c r="A2105" s="19"/>
      <c r="B2105" s="21">
        <v>46106</v>
      </c>
      <c r="C2105" s="21" t="s">
        <v>15</v>
      </c>
      <c r="D2105" s="21" t="s">
        <v>29</v>
      </c>
      <c r="E2105" s="20"/>
      <c r="F2105" s="372" t="s">
        <v>168</v>
      </c>
      <c r="G2105" s="252">
        <v>40</v>
      </c>
      <c r="I2105" s="1">
        <f>COUNTIF(Tabela1[NF],Tabela1[[#This Row],[NF]])</f>
        <v>0</v>
      </c>
      <c r="K2105" s="26">
        <f>Tabela1[[#This Row],[DT. VENCIMENTO]]</f>
        <v>46106</v>
      </c>
      <c r="N2105" s="14" t="str" cm="1">
        <f t="array" ref="N2105">_xlfn.XLOOKUP(TRIM(D2105),TRIM(DFC!A:A),DFC!A:A,"NÃO ESTÁ NA DFC")</f>
        <v xml:space="preserve">      FRETE DE SAÍDA</v>
      </c>
    </row>
    <row r="2106" spans="1:14" ht="15" customHeight="1" x14ac:dyDescent="0.3">
      <c r="A2106" s="19"/>
      <c r="B2106" s="21">
        <v>46106</v>
      </c>
      <c r="C2106" s="21" t="s">
        <v>15</v>
      </c>
      <c r="D2106" s="21" t="s">
        <v>29</v>
      </c>
      <c r="E2106" s="20"/>
      <c r="F2106" s="372" t="s">
        <v>168</v>
      </c>
      <c r="G2106" s="252">
        <v>399.5</v>
      </c>
      <c r="I2106" s="1">
        <f>COUNTIF(Tabela1[NF],Tabela1[[#This Row],[NF]])</f>
        <v>0</v>
      </c>
      <c r="K2106" s="26">
        <f>Tabela1[[#This Row],[DT. VENCIMENTO]]</f>
        <v>46106</v>
      </c>
      <c r="N2106" s="14" t="str" cm="1">
        <f t="array" ref="N2106">_xlfn.XLOOKUP(TRIM(D2106),TRIM(DFC!A:A),DFC!A:A,"NÃO ESTÁ NA DFC")</f>
        <v xml:space="preserve">      FRETE DE SAÍDA</v>
      </c>
    </row>
    <row r="2107" spans="1:14" ht="15" customHeight="1" x14ac:dyDescent="0.3">
      <c r="A2107" s="19"/>
      <c r="B2107" s="21">
        <v>46106</v>
      </c>
      <c r="C2107" s="21" t="s">
        <v>15</v>
      </c>
      <c r="D2107" s="21" t="s">
        <v>265</v>
      </c>
      <c r="E2107" s="20"/>
      <c r="F2107" s="372" t="s">
        <v>266</v>
      </c>
      <c r="G2107" s="252">
        <v>3510</v>
      </c>
      <c r="I2107" s="1">
        <f>COUNTIF(Tabela1[NF],Tabela1[[#This Row],[NF]])</f>
        <v>0</v>
      </c>
      <c r="K2107" s="26">
        <f>Tabela1[[#This Row],[DT. VENCIMENTO]]</f>
        <v>46106</v>
      </c>
      <c r="N2107" s="14" t="str" cm="1">
        <f t="array" ref="N2107">_xlfn.XLOOKUP(TRIM(D2107),TRIM(DFC!A:A),DFC!A:A,"NÃO ESTÁ NA DFC")</f>
        <v xml:space="preserve">      PROJETO CASAS CONSTRUIR</v>
      </c>
    </row>
    <row r="2108" spans="1:14" ht="15" customHeight="1" x14ac:dyDescent="0.3">
      <c r="A2108" s="19"/>
      <c r="B2108" s="21">
        <v>46106</v>
      </c>
      <c r="C2108" s="21" t="s">
        <v>15</v>
      </c>
      <c r="D2108" s="21" t="s">
        <v>823</v>
      </c>
      <c r="E2108" s="20"/>
      <c r="F2108" s="372" t="s">
        <v>824</v>
      </c>
      <c r="G2108" s="252">
        <v>6750</v>
      </c>
      <c r="I2108" s="1">
        <f>COUNTIF(Tabela1[NF],Tabela1[[#This Row],[NF]])</f>
        <v>0</v>
      </c>
      <c r="K2108" s="26">
        <f>Tabela1[[#This Row],[DT. VENCIMENTO]]</f>
        <v>46106</v>
      </c>
      <c r="N2108" s="14" t="str" cm="1">
        <f t="array" ref="N2108">_xlfn.XLOOKUP(TRIM(D2108),TRIM(DFC!A:A),DFC!A:A,"NÃO ESTÁ NA DFC")</f>
        <v xml:space="preserve">     LANÇAMENTO DE PRODUTOS</v>
      </c>
    </row>
    <row r="2109" spans="1:14" ht="15" customHeight="1" x14ac:dyDescent="0.3">
      <c r="A2109" s="19"/>
      <c r="B2109" s="21">
        <v>46106</v>
      </c>
      <c r="C2109" s="21" t="s">
        <v>15</v>
      </c>
      <c r="D2109" s="21" t="s">
        <v>19</v>
      </c>
      <c r="E2109" s="20" t="s">
        <v>491</v>
      </c>
      <c r="F2109" s="372" t="s">
        <v>150</v>
      </c>
      <c r="G2109" s="252">
        <v>13333.33</v>
      </c>
      <c r="I2109" s="1">
        <f>COUNTIF(Tabela1[NF],Tabela1[[#This Row],[NF]])</f>
        <v>0</v>
      </c>
      <c r="K2109" s="26">
        <f>Tabela1[[#This Row],[DT. VENCIMENTO]]</f>
        <v>46106</v>
      </c>
      <c r="N2109" s="14" t="str" cm="1">
        <f t="array" ref="N2109">_xlfn.XLOOKUP(TRIM(D2109),TRIM(DFC!A:A),DFC!A:A,"NÃO ESTÁ NA DFC")</f>
        <v xml:space="preserve">      PEÇAS</v>
      </c>
    </row>
    <row r="2110" spans="1:14" ht="15" customHeight="1" x14ac:dyDescent="0.3">
      <c r="A2110" s="19"/>
      <c r="B2110" s="21">
        <v>46106</v>
      </c>
      <c r="C2110" s="21" t="s">
        <v>15</v>
      </c>
      <c r="D2110" s="21" t="s">
        <v>72</v>
      </c>
      <c r="E2110" s="20"/>
      <c r="F2110" s="372" t="s">
        <v>825</v>
      </c>
      <c r="G2110" s="252">
        <v>400</v>
      </c>
      <c r="I2110" s="1">
        <f>COUNTIF(Tabela1[NF],Tabela1[[#This Row],[NF]])</f>
        <v>0</v>
      </c>
      <c r="K2110" s="26">
        <f>Tabela1[[#This Row],[DT. VENCIMENTO]]</f>
        <v>46106</v>
      </c>
      <c r="N2110" s="14" t="str" cm="1">
        <f t="array" ref="N2110">_xlfn.XLOOKUP(TRIM(D2110),TRIM(DFC!A:A),DFC!A:A,"NÃO ESTÁ NA DFC")</f>
        <v xml:space="preserve">          COMBUSTÍVEL</v>
      </c>
    </row>
    <row r="2111" spans="1:14" ht="15" customHeight="1" x14ac:dyDescent="0.3">
      <c r="A2111" s="19"/>
      <c r="B2111" s="21">
        <v>46107</v>
      </c>
      <c r="C2111" s="21" t="s">
        <v>15</v>
      </c>
      <c r="D2111" s="21" t="s">
        <v>79</v>
      </c>
      <c r="E2111" s="20"/>
      <c r="F2111" s="372" t="s">
        <v>161</v>
      </c>
      <c r="G2111" s="252">
        <v>1120</v>
      </c>
      <c r="I2111" s="1">
        <f>COUNTIF(Tabela1[NF],Tabela1[[#This Row],[NF]])</f>
        <v>0</v>
      </c>
      <c r="K2111" s="21">
        <v>46107</v>
      </c>
      <c r="N2111" s="14" t="str" cm="1">
        <f t="array" ref="N2111">_xlfn.XLOOKUP(TRIM(D2111),TRIM(DFC!A:A),DFC!A:A,"NÃO ESTÁ NA DFC")</f>
        <v xml:space="preserve">     DESP DE MARKETING E PROPAGANDA</v>
      </c>
    </row>
    <row r="2112" spans="1:14" ht="15" customHeight="1" x14ac:dyDescent="0.3">
      <c r="A2112" s="19"/>
      <c r="B2112" s="21">
        <v>46107</v>
      </c>
      <c r="C2112" s="21" t="s">
        <v>15</v>
      </c>
      <c r="D2112" s="21" t="s">
        <v>22</v>
      </c>
      <c r="E2112" s="20"/>
      <c r="F2112" s="372" t="s">
        <v>428</v>
      </c>
      <c r="G2112" s="252">
        <v>4000</v>
      </c>
      <c r="I2112" s="1">
        <f>COUNTIF(Tabela1[NF],Tabela1[[#This Row],[NF]])</f>
        <v>0</v>
      </c>
      <c r="K2112" s="21">
        <v>46107</v>
      </c>
      <c r="N2112" s="14" t="str" cm="1">
        <f t="array" ref="N2112">_xlfn.XLOOKUP(TRIM(D2112),TRIM(DFC!A:A),DFC!A:A,"NÃO ESTÁ NA DFC")</f>
        <v xml:space="preserve">         CONSULTORIAS</v>
      </c>
    </row>
    <row r="2113" spans="1:14" ht="15" customHeight="1" x14ac:dyDescent="0.3">
      <c r="A2113" s="19"/>
      <c r="B2113" s="21">
        <v>46107</v>
      </c>
      <c r="C2113" s="21" t="s">
        <v>15</v>
      </c>
      <c r="D2113" s="21" t="s">
        <v>19</v>
      </c>
      <c r="E2113" s="20"/>
      <c r="F2113" s="372" t="s">
        <v>24</v>
      </c>
      <c r="G2113" s="252">
        <v>6070.16</v>
      </c>
      <c r="I2113" s="1">
        <f>COUNTIF(Tabela1[NF],Tabela1[[#This Row],[NF]])</f>
        <v>0</v>
      </c>
      <c r="K2113" s="21">
        <v>46107</v>
      </c>
      <c r="N2113" s="14" t="str" cm="1">
        <f t="array" ref="N2113">_xlfn.XLOOKUP(TRIM(D2113),TRIM(DFC!A:A),DFC!A:A,"NÃO ESTÁ NA DFC")</f>
        <v xml:space="preserve">      PEÇAS</v>
      </c>
    </row>
    <row r="2114" spans="1:14" ht="15" customHeight="1" x14ac:dyDescent="0.3">
      <c r="A2114" s="19"/>
      <c r="B2114" s="21">
        <v>46107</v>
      </c>
      <c r="C2114" s="21" t="s">
        <v>15</v>
      </c>
      <c r="D2114" s="21" t="s">
        <v>19</v>
      </c>
      <c r="E2114" s="20"/>
      <c r="F2114" s="372" t="s">
        <v>615</v>
      </c>
      <c r="G2114" s="252">
        <v>824.72</v>
      </c>
      <c r="I2114" s="1">
        <f>COUNTIF(Tabela1[NF],Tabela1[[#This Row],[NF]])</f>
        <v>0</v>
      </c>
      <c r="K2114" s="21">
        <v>46107</v>
      </c>
      <c r="N2114" s="14" t="str" cm="1">
        <f t="array" ref="N2114">_xlfn.XLOOKUP(TRIM(D2114),TRIM(DFC!A:A),DFC!A:A,"NÃO ESTÁ NA DFC")</f>
        <v xml:space="preserve">      PEÇAS</v>
      </c>
    </row>
    <row r="2115" spans="1:14" ht="15" customHeight="1" x14ac:dyDescent="0.3">
      <c r="A2115" s="19"/>
      <c r="B2115" s="21">
        <v>46107</v>
      </c>
      <c r="C2115" s="21" t="s">
        <v>15</v>
      </c>
      <c r="D2115" s="21" t="s">
        <v>19</v>
      </c>
      <c r="E2115" s="20"/>
      <c r="F2115" s="372" t="s">
        <v>702</v>
      </c>
      <c r="G2115" s="252">
        <v>1770.02</v>
      </c>
      <c r="I2115" s="1">
        <f>COUNTIF(Tabela1[NF],Tabela1[[#This Row],[NF]])</f>
        <v>0</v>
      </c>
      <c r="K2115" s="21">
        <v>46107</v>
      </c>
      <c r="N2115" s="14" t="str" cm="1">
        <f t="array" ref="N2115">_xlfn.XLOOKUP(TRIM(D2115),TRIM(DFC!A:A),DFC!A:A,"NÃO ESTÁ NA DFC")</f>
        <v xml:space="preserve">      PEÇAS</v>
      </c>
    </row>
    <row r="2116" spans="1:14" ht="15" customHeight="1" x14ac:dyDescent="0.3">
      <c r="A2116" s="19"/>
      <c r="B2116" s="21">
        <v>46107</v>
      </c>
      <c r="C2116" s="21" t="s">
        <v>15</v>
      </c>
      <c r="D2116" s="21" t="s">
        <v>19</v>
      </c>
      <c r="E2116" s="20"/>
      <c r="F2116" s="372" t="s">
        <v>24</v>
      </c>
      <c r="G2116" s="252">
        <v>8235.44</v>
      </c>
      <c r="I2116" s="1">
        <f>COUNTIF(Tabela1[NF],Tabela1[[#This Row],[NF]])</f>
        <v>0</v>
      </c>
      <c r="K2116" s="21">
        <v>46107</v>
      </c>
      <c r="N2116" s="14" t="str" cm="1">
        <f t="array" ref="N2116">_xlfn.XLOOKUP(TRIM(D2116),TRIM(DFC!A:A),DFC!A:A,"NÃO ESTÁ NA DFC")</f>
        <v xml:space="preserve">      PEÇAS</v>
      </c>
    </row>
    <row r="2117" spans="1:14" ht="15" customHeight="1" x14ac:dyDescent="0.3">
      <c r="A2117" s="19"/>
      <c r="B2117" s="21">
        <v>46107</v>
      </c>
      <c r="C2117" s="21" t="s">
        <v>15</v>
      </c>
      <c r="D2117" s="21" t="s">
        <v>215</v>
      </c>
      <c r="E2117" s="20"/>
      <c r="F2117" s="372" t="s">
        <v>381</v>
      </c>
      <c r="G2117" s="252">
        <v>2958.96</v>
      </c>
      <c r="I2117" s="1">
        <f>COUNTIF(Tabela1[NF],Tabela1[[#This Row],[NF]])</f>
        <v>0</v>
      </c>
      <c r="K2117" s="21">
        <v>46107</v>
      </c>
      <c r="N2117" s="14" t="str" cm="1">
        <f t="array" ref="N2117">_xlfn.XLOOKUP(TRIM(D2117),TRIM(DFC!A:A),DFC!A:A,"NÃO ESTÁ NA DFC")</f>
        <v xml:space="preserve">         DESIGNER GRAFICO</v>
      </c>
    </row>
    <row r="2118" spans="1:14" ht="15" customHeight="1" x14ac:dyDescent="0.3">
      <c r="A2118" s="19"/>
      <c r="B2118" s="21">
        <v>46107</v>
      </c>
      <c r="C2118" s="21" t="s">
        <v>15</v>
      </c>
      <c r="D2118" s="21" t="s">
        <v>29</v>
      </c>
      <c r="E2118" s="20"/>
      <c r="F2118" s="372" t="s">
        <v>271</v>
      </c>
      <c r="G2118" s="252">
        <v>323.72000000000003</v>
      </c>
      <c r="I2118" s="1">
        <f>COUNTIF(Tabela1[NF],Tabela1[[#This Row],[NF]])</f>
        <v>0</v>
      </c>
      <c r="K2118" s="21">
        <v>46107</v>
      </c>
      <c r="N2118" s="14" t="str" cm="1">
        <f t="array" ref="N2118">_xlfn.XLOOKUP(TRIM(D2118),TRIM(DFC!A:A),DFC!A:A,"NÃO ESTÁ NA DFC")</f>
        <v xml:space="preserve">      FRETE DE SAÍDA</v>
      </c>
    </row>
    <row r="2119" spans="1:14" ht="15" customHeight="1" x14ac:dyDescent="0.3">
      <c r="A2119" s="19"/>
      <c r="B2119" s="21">
        <v>46107</v>
      </c>
      <c r="C2119" s="21" t="s">
        <v>15</v>
      </c>
      <c r="D2119" s="21" t="s">
        <v>29</v>
      </c>
      <c r="E2119" s="20"/>
      <c r="F2119" s="372" t="s">
        <v>271</v>
      </c>
      <c r="G2119" s="252">
        <v>1241.1500000000001</v>
      </c>
      <c r="I2119" s="1">
        <f>COUNTIF(Tabela1[NF],Tabela1[[#This Row],[NF]])</f>
        <v>0</v>
      </c>
      <c r="K2119" s="21">
        <v>46107</v>
      </c>
      <c r="N2119" s="14" t="str" cm="1">
        <f t="array" ref="N2119">_xlfn.XLOOKUP(TRIM(D2119),TRIM(DFC!A:A),DFC!A:A,"NÃO ESTÁ NA DFC")</f>
        <v xml:space="preserve">      FRETE DE SAÍDA</v>
      </c>
    </row>
    <row r="2120" spans="1:14" ht="15" customHeight="1" x14ac:dyDescent="0.3">
      <c r="A2120" s="19"/>
      <c r="B2120" s="21">
        <v>46107</v>
      </c>
      <c r="C2120" s="21" t="s">
        <v>15</v>
      </c>
      <c r="D2120" s="21" t="s">
        <v>29</v>
      </c>
      <c r="E2120" s="20"/>
      <c r="F2120" s="372" t="s">
        <v>271</v>
      </c>
      <c r="G2120" s="252">
        <v>2605</v>
      </c>
      <c r="I2120" s="1">
        <f>COUNTIF(Tabela1[NF],Tabela1[[#This Row],[NF]])</f>
        <v>0</v>
      </c>
      <c r="K2120" s="21">
        <v>46107</v>
      </c>
      <c r="N2120" s="14" t="str" cm="1">
        <f t="array" ref="N2120">_xlfn.XLOOKUP(TRIM(D2120),TRIM(DFC!A:A),DFC!A:A,"NÃO ESTÁ NA DFC")</f>
        <v xml:space="preserve">      FRETE DE SAÍDA</v>
      </c>
    </row>
    <row r="2121" spans="1:14" ht="15" customHeight="1" x14ac:dyDescent="0.3">
      <c r="A2121" s="19"/>
      <c r="B2121" s="21">
        <v>46107</v>
      </c>
      <c r="C2121" s="21" t="s">
        <v>15</v>
      </c>
      <c r="D2121" s="21" t="s">
        <v>29</v>
      </c>
      <c r="E2121" s="20"/>
      <c r="F2121" s="372" t="s">
        <v>271</v>
      </c>
      <c r="G2121" s="252">
        <v>3197.62</v>
      </c>
      <c r="I2121" s="1">
        <f>COUNTIF(Tabela1[NF],Tabela1[[#This Row],[NF]])</f>
        <v>0</v>
      </c>
      <c r="K2121" s="21">
        <v>46107</v>
      </c>
      <c r="N2121" s="14" t="str" cm="1">
        <f t="array" ref="N2121">_xlfn.XLOOKUP(TRIM(D2121),TRIM(DFC!A:A),DFC!A:A,"NÃO ESTÁ NA DFC")</f>
        <v xml:space="preserve">      FRETE DE SAÍDA</v>
      </c>
    </row>
    <row r="2122" spans="1:14" ht="15" customHeight="1" x14ac:dyDescent="0.3">
      <c r="A2122" s="19"/>
      <c r="B2122" s="21">
        <v>46107</v>
      </c>
      <c r="C2122" s="21" t="s">
        <v>15</v>
      </c>
      <c r="D2122" s="21" t="s">
        <v>40</v>
      </c>
      <c r="E2122" s="28" t="s">
        <v>826</v>
      </c>
      <c r="F2122" s="372" t="s">
        <v>827</v>
      </c>
      <c r="G2122" s="252">
        <v>620</v>
      </c>
      <c r="I2122" s="1">
        <f>COUNTIF(Tabela1[NF],Tabela1[[#This Row],[NF]])</f>
        <v>0</v>
      </c>
      <c r="K2122" s="21">
        <v>46107</v>
      </c>
      <c r="N2122" s="14" t="str" cm="1">
        <f t="array" ref="N2122">_xlfn.XLOOKUP(TRIM(D2122),TRIM(DFC!A:A),DFC!A:A,"NÃO ESTÁ NA DFC")</f>
        <v xml:space="preserve">         SERVIÇO TERCEIRIZADO</v>
      </c>
    </row>
    <row r="2123" spans="1:14" ht="15" customHeight="1" x14ac:dyDescent="0.3">
      <c r="A2123" s="19"/>
      <c r="B2123" s="21">
        <v>46108</v>
      </c>
      <c r="C2123" s="21" t="s">
        <v>15</v>
      </c>
      <c r="D2123" s="21" t="s">
        <v>98</v>
      </c>
      <c r="E2123" s="20"/>
      <c r="F2123" s="372" t="s">
        <v>828</v>
      </c>
      <c r="G2123" s="252">
        <v>40</v>
      </c>
      <c r="I2123" s="1">
        <f>COUNTIF(Tabela1[NF],Tabela1[[#This Row],[NF]])</f>
        <v>0</v>
      </c>
      <c r="K2123" s="26">
        <f>Tabela1[[#This Row],[DT. VENCIMENTO]]</f>
        <v>46108</v>
      </c>
      <c r="N2123" s="14" t="str" cm="1">
        <f t="array" ref="N2123">_xlfn.XLOOKUP(TRIM(D2123),TRIM(DFC!A:A),DFC!A:A,"NÃO ESTÁ NA DFC")</f>
        <v xml:space="preserve">     REEMBOLSO SAC</v>
      </c>
    </row>
    <row r="2124" spans="1:14" ht="15" customHeight="1" x14ac:dyDescent="0.3">
      <c r="A2124" s="19"/>
      <c r="B2124" s="21">
        <v>46108</v>
      </c>
      <c r="C2124" s="21" t="s">
        <v>15</v>
      </c>
      <c r="D2124" s="21" t="s">
        <v>98</v>
      </c>
      <c r="E2124" s="20"/>
      <c r="F2124" s="372" t="s">
        <v>829</v>
      </c>
      <c r="G2124" s="252">
        <v>40</v>
      </c>
      <c r="I2124" s="1">
        <f>COUNTIF(Tabela1[NF],Tabela1[[#This Row],[NF]])</f>
        <v>0</v>
      </c>
      <c r="K2124" s="26">
        <f>Tabela1[[#This Row],[DT. VENCIMENTO]]</f>
        <v>46108</v>
      </c>
      <c r="N2124" s="14" t="str" cm="1">
        <f t="array" ref="N2124">_xlfn.XLOOKUP(TRIM(D2124),TRIM(DFC!A:A),DFC!A:A,"NÃO ESTÁ NA DFC")</f>
        <v xml:space="preserve">     REEMBOLSO SAC</v>
      </c>
    </row>
    <row r="2125" spans="1:14" ht="15" customHeight="1" x14ac:dyDescent="0.3">
      <c r="A2125" s="19"/>
      <c r="B2125" s="21">
        <v>46108</v>
      </c>
      <c r="C2125" s="21" t="s">
        <v>15</v>
      </c>
      <c r="D2125" s="21" t="s">
        <v>731</v>
      </c>
      <c r="E2125" s="20" t="s">
        <v>810</v>
      </c>
      <c r="F2125" s="372" t="s">
        <v>811</v>
      </c>
      <c r="G2125" s="252">
        <v>88.23</v>
      </c>
      <c r="I2125" s="1">
        <f>COUNTIF(Tabela1[NF],Tabela1[[#This Row],[NF]])</f>
        <v>0</v>
      </c>
      <c r="K2125" s="26">
        <f>Tabela1[[#This Row],[DT. VENCIMENTO]]</f>
        <v>46108</v>
      </c>
      <c r="N2125" s="14" t="str" cm="1">
        <f t="array" ref="N2125">_xlfn.XLOOKUP(TRIM(D2125),TRIM(DFC!A:A),DFC!A:A,"NÃO ESTÁ NA DFC")</f>
        <v xml:space="preserve">     DIFAL</v>
      </c>
    </row>
    <row r="2126" spans="1:14" ht="15" customHeight="1" x14ac:dyDescent="0.3">
      <c r="A2126" s="19"/>
      <c r="B2126" s="21">
        <v>46108</v>
      </c>
      <c r="C2126" s="21" t="s">
        <v>15</v>
      </c>
      <c r="D2126" s="21" t="s">
        <v>731</v>
      </c>
      <c r="E2126" s="20" t="s">
        <v>810</v>
      </c>
      <c r="F2126" s="372" t="s">
        <v>811</v>
      </c>
      <c r="G2126" s="252">
        <v>79.52</v>
      </c>
      <c r="I2126" s="1">
        <f>COUNTIF(Tabela1[NF],Tabela1[[#This Row],[NF]])</f>
        <v>0</v>
      </c>
      <c r="K2126" s="26">
        <f>Tabela1[[#This Row],[DT. VENCIMENTO]]</f>
        <v>46108</v>
      </c>
      <c r="N2126" s="14" t="str" cm="1">
        <f t="array" ref="N2126">_xlfn.XLOOKUP(TRIM(D2126),TRIM(DFC!A:A),DFC!A:A,"NÃO ESTÁ NA DFC")</f>
        <v xml:space="preserve">     DIFAL</v>
      </c>
    </row>
    <row r="2127" spans="1:14" ht="15" customHeight="1" x14ac:dyDescent="0.3">
      <c r="A2127" s="19"/>
      <c r="B2127" s="21">
        <v>46108</v>
      </c>
      <c r="C2127" s="21" t="s">
        <v>15</v>
      </c>
      <c r="D2127" s="21" t="s">
        <v>41</v>
      </c>
      <c r="E2127" s="20" t="s">
        <v>692</v>
      </c>
      <c r="F2127" s="372" t="s">
        <v>693</v>
      </c>
      <c r="G2127" s="252">
        <v>71.87</v>
      </c>
      <c r="I2127" s="1">
        <f>COUNTIF(Tabela1[NF],Tabela1[[#This Row],[NF]])</f>
        <v>0</v>
      </c>
      <c r="K2127" s="26">
        <f>Tabela1[[#This Row],[DT. VENCIMENTO]]</f>
        <v>46108</v>
      </c>
      <c r="N2127" s="14" t="str" cm="1">
        <f t="array" ref="N2127">_xlfn.XLOOKUP(TRIM(D2127),TRIM(DFC!A:A),DFC!A:A,"NÃO ESTÁ NA DFC")</f>
        <v xml:space="preserve">         T.I</v>
      </c>
    </row>
    <row r="2128" spans="1:14" ht="15" customHeight="1" x14ac:dyDescent="0.3">
      <c r="A2128" s="19"/>
      <c r="B2128" s="21">
        <v>46108</v>
      </c>
      <c r="C2128" s="21" t="s">
        <v>15</v>
      </c>
      <c r="D2128" s="21" t="s">
        <v>41</v>
      </c>
      <c r="E2128" s="20" t="s">
        <v>692</v>
      </c>
      <c r="F2128" s="372" t="s">
        <v>693</v>
      </c>
      <c r="G2128" s="252">
        <v>27.63</v>
      </c>
      <c r="I2128" s="1">
        <f>COUNTIF(Tabela1[NF],Tabela1[[#This Row],[NF]])</f>
        <v>0</v>
      </c>
      <c r="K2128" s="26">
        <f>Tabela1[[#This Row],[DT. VENCIMENTO]]</f>
        <v>46108</v>
      </c>
      <c r="N2128" s="14" t="str" cm="1">
        <f t="array" ref="N2128">_xlfn.XLOOKUP(TRIM(D2128),TRIM(DFC!A:A),DFC!A:A,"NÃO ESTÁ NA DFC")</f>
        <v xml:space="preserve">         T.I</v>
      </c>
    </row>
    <row r="2129" spans="1:14" ht="15" customHeight="1" x14ac:dyDescent="0.3">
      <c r="A2129" s="19"/>
      <c r="B2129" s="21">
        <v>46108</v>
      </c>
      <c r="C2129" s="21" t="s">
        <v>15</v>
      </c>
      <c r="D2129" s="21" t="s">
        <v>65</v>
      </c>
      <c r="E2129" s="20" t="s">
        <v>830</v>
      </c>
      <c r="F2129" s="372" t="s">
        <v>103</v>
      </c>
      <c r="G2129" s="252">
        <v>10000</v>
      </c>
      <c r="I2129" s="1">
        <f>COUNTIF(Tabela1[NF],Tabela1[[#This Row],[NF]])</f>
        <v>0</v>
      </c>
      <c r="K2129" s="26">
        <f>Tabela1[[#This Row],[DT. VENCIMENTO]]</f>
        <v>46108</v>
      </c>
      <c r="N2129" s="14" t="str" cm="1">
        <f t="array" ref="N2129">_xlfn.XLOOKUP(TRIM(D2129),TRIM(DFC!A:A),DFC!A:A,"NÃO ESTÁ NA DFC")</f>
        <v xml:space="preserve">          AMORTIZAÇÃO FELIPE </v>
      </c>
    </row>
    <row r="2130" spans="1:14" ht="15" customHeight="1" x14ac:dyDescent="0.3">
      <c r="A2130" s="19"/>
      <c r="B2130" s="21">
        <v>46111</v>
      </c>
      <c r="C2130" s="21" t="s">
        <v>15</v>
      </c>
      <c r="D2130" s="21" t="s">
        <v>82</v>
      </c>
      <c r="E2130" s="20"/>
      <c r="F2130" s="372" t="s">
        <v>784</v>
      </c>
      <c r="G2130" s="252">
        <v>564.08000000000004</v>
      </c>
      <c r="I2130" s="1">
        <f>COUNTIF(Tabela1[NF],Tabela1[[#This Row],[NF]])</f>
        <v>0</v>
      </c>
      <c r="K2130" s="21">
        <v>46111</v>
      </c>
      <c r="N2130" s="14" t="str" cm="1">
        <f t="array" ref="N2130">_xlfn.XLOOKUP(TRIM(D2130),TRIM(DFC!A:A),DFC!A:A,"NÃO ESTÁ NA DFC")</f>
        <v xml:space="preserve">          DIÁRIAS</v>
      </c>
    </row>
    <row r="2131" spans="1:14" ht="15" customHeight="1" x14ac:dyDescent="0.3">
      <c r="A2131" s="19"/>
      <c r="B2131" s="21">
        <v>46111</v>
      </c>
      <c r="C2131" s="21" t="s">
        <v>15</v>
      </c>
      <c r="D2131" s="21" t="s">
        <v>110</v>
      </c>
      <c r="E2131" s="20"/>
      <c r="F2131" s="372" t="s">
        <v>326</v>
      </c>
      <c r="G2131" s="252">
        <v>246.19</v>
      </c>
      <c r="I2131" s="1">
        <f>COUNTIF(Tabela1[NF],Tabela1[[#This Row],[NF]])</f>
        <v>0</v>
      </c>
      <c r="K2131" s="21">
        <v>46111</v>
      </c>
      <c r="N2131" s="14" t="str" cm="1">
        <f t="array" ref="N2131">_xlfn.XLOOKUP(TRIM(D2131),TRIM(DFC!A:A),DFC!A:A,"NÃO ESTÁ NA DFC")</f>
        <v xml:space="preserve">          REEMBOLSO</v>
      </c>
    </row>
    <row r="2132" spans="1:14" ht="15" customHeight="1" x14ac:dyDescent="0.3">
      <c r="A2132" s="19"/>
      <c r="B2132" s="21">
        <v>46111</v>
      </c>
      <c r="C2132" s="21" t="s">
        <v>15</v>
      </c>
      <c r="D2132" s="21" t="s">
        <v>82</v>
      </c>
      <c r="E2132" s="20"/>
      <c r="F2132" s="372" t="s">
        <v>710</v>
      </c>
      <c r="G2132" s="252">
        <v>400</v>
      </c>
      <c r="I2132" s="1">
        <f>COUNTIF(Tabela1[NF],Tabela1[[#This Row],[NF]])</f>
        <v>0</v>
      </c>
      <c r="K2132" s="21">
        <v>46111</v>
      </c>
      <c r="N2132" s="14" t="str" cm="1">
        <f t="array" ref="N2132">_xlfn.XLOOKUP(TRIM(D2132),TRIM(DFC!A:A),DFC!A:A,"NÃO ESTÁ NA DFC")</f>
        <v xml:space="preserve">          DIÁRIAS</v>
      </c>
    </row>
    <row r="2133" spans="1:14" ht="15" customHeight="1" x14ac:dyDescent="0.3">
      <c r="A2133" s="19"/>
      <c r="B2133" s="21">
        <v>46111</v>
      </c>
      <c r="C2133" s="21" t="s">
        <v>15</v>
      </c>
      <c r="D2133" s="21" t="s">
        <v>40</v>
      </c>
      <c r="E2133" s="20" t="s">
        <v>633</v>
      </c>
      <c r="F2133" s="372" t="s">
        <v>831</v>
      </c>
      <c r="G2133" s="252">
        <v>1400</v>
      </c>
      <c r="I2133" s="1">
        <f>COUNTIF(Tabela1[NF],Tabela1[[#This Row],[NF]])</f>
        <v>0</v>
      </c>
      <c r="K2133" s="21">
        <v>46111</v>
      </c>
      <c r="N2133" s="14" t="str" cm="1">
        <f t="array" ref="N2133">_xlfn.XLOOKUP(TRIM(D2133),TRIM(DFC!A:A),DFC!A:A,"NÃO ESTÁ NA DFC")</f>
        <v xml:space="preserve">         SERVIÇO TERCEIRIZADO</v>
      </c>
    </row>
    <row r="2134" spans="1:14" ht="15" customHeight="1" x14ac:dyDescent="0.3">
      <c r="A2134" s="19"/>
      <c r="B2134" s="21">
        <v>46111</v>
      </c>
      <c r="C2134" s="21" t="s">
        <v>15</v>
      </c>
      <c r="D2134" s="21" t="s">
        <v>111</v>
      </c>
      <c r="E2134" s="20"/>
      <c r="F2134" s="372" t="s">
        <v>114</v>
      </c>
      <c r="G2134" s="252">
        <v>10</v>
      </c>
      <c r="I2134" s="1">
        <f>COUNTIF(Tabela1[NF],Tabela1[[#This Row],[NF]])</f>
        <v>0</v>
      </c>
      <c r="K2134" s="21">
        <v>46111</v>
      </c>
      <c r="N2134" s="14" t="str" cm="1">
        <f t="array" ref="N2134">_xlfn.XLOOKUP(TRIM(D2134),TRIM(DFC!A:A),DFC!A:A,"NÃO ESTÁ NA DFC")</f>
        <v xml:space="preserve">          TX. BANCÁRIA</v>
      </c>
    </row>
    <row r="2135" spans="1:14" ht="15" customHeight="1" x14ac:dyDescent="0.3">
      <c r="A2135" s="19"/>
      <c r="B2135" s="21">
        <v>46111</v>
      </c>
      <c r="C2135" s="21" t="s">
        <v>15</v>
      </c>
      <c r="D2135" s="21" t="s">
        <v>29</v>
      </c>
      <c r="E2135" s="20" t="s">
        <v>716</v>
      </c>
      <c r="F2135" s="372" t="s">
        <v>467</v>
      </c>
      <c r="G2135" s="252">
        <v>36.78</v>
      </c>
      <c r="I2135" s="1">
        <f>COUNTIF(Tabela1[NF],Tabela1[[#This Row],[NF]])</f>
        <v>0</v>
      </c>
      <c r="K2135" s="21">
        <v>46111</v>
      </c>
      <c r="N2135" s="14" t="str" cm="1">
        <f t="array" ref="N2135">_xlfn.XLOOKUP(TRIM(D2135),TRIM(DFC!A:A),DFC!A:A,"NÃO ESTÁ NA DFC")</f>
        <v xml:space="preserve">      FRETE DE SAÍDA</v>
      </c>
    </row>
    <row r="2136" spans="1:14" ht="15" customHeight="1" x14ac:dyDescent="0.3">
      <c r="A2136" s="19"/>
      <c r="B2136" s="21">
        <v>46111</v>
      </c>
      <c r="C2136" s="21" t="s">
        <v>15</v>
      </c>
      <c r="D2136" s="21" t="s">
        <v>29</v>
      </c>
      <c r="E2136" s="20"/>
      <c r="F2136" s="372" t="s">
        <v>195</v>
      </c>
      <c r="G2136" s="252">
        <v>771.64</v>
      </c>
      <c r="I2136" s="1">
        <f>COUNTIF(Tabela1[NF],Tabela1[[#This Row],[NF]])</f>
        <v>0</v>
      </c>
      <c r="K2136" s="21">
        <v>46111</v>
      </c>
      <c r="N2136" s="14" t="str" cm="1">
        <f t="array" ref="N2136">_xlfn.XLOOKUP(TRIM(D2136),TRIM(DFC!A:A),DFC!A:A,"NÃO ESTÁ NA DFC")</f>
        <v xml:space="preserve">      FRETE DE SAÍDA</v>
      </c>
    </row>
    <row r="2137" spans="1:14" ht="15" customHeight="1" x14ac:dyDescent="0.3">
      <c r="A2137" s="19"/>
      <c r="B2137" s="21">
        <v>46111</v>
      </c>
      <c r="C2137" s="21" t="s">
        <v>15</v>
      </c>
      <c r="D2137" s="21" t="s">
        <v>29</v>
      </c>
      <c r="E2137" s="20" t="s">
        <v>716</v>
      </c>
      <c r="F2137" s="372" t="s">
        <v>467</v>
      </c>
      <c r="G2137" s="252">
        <v>263.3</v>
      </c>
      <c r="I2137" s="1">
        <f>COUNTIF(Tabela1[NF],Tabela1[[#This Row],[NF]])</f>
        <v>0</v>
      </c>
      <c r="K2137" s="21">
        <v>46111</v>
      </c>
      <c r="N2137" s="14" t="str" cm="1">
        <f t="array" ref="N2137">_xlfn.XLOOKUP(TRIM(D2137),TRIM(DFC!A:A),DFC!A:A,"NÃO ESTÁ NA DFC")</f>
        <v xml:space="preserve">      FRETE DE SAÍDA</v>
      </c>
    </row>
    <row r="2138" spans="1:14" ht="15" customHeight="1" x14ac:dyDescent="0.3">
      <c r="A2138" s="19"/>
      <c r="B2138" s="21">
        <v>46111</v>
      </c>
      <c r="C2138" s="21" t="s">
        <v>15</v>
      </c>
      <c r="D2138" s="21" t="s">
        <v>72</v>
      </c>
      <c r="E2138" s="20"/>
      <c r="F2138" s="372" t="s">
        <v>380</v>
      </c>
      <c r="G2138" s="252">
        <v>736.29</v>
      </c>
      <c r="I2138" s="1">
        <f>COUNTIF(Tabela1[NF],Tabela1[[#This Row],[NF]])</f>
        <v>0</v>
      </c>
      <c r="K2138" s="21">
        <v>46111</v>
      </c>
      <c r="N2138" s="14" t="str" cm="1">
        <f t="array" ref="N2138">_xlfn.XLOOKUP(TRIM(D2138),TRIM(DFC!A:A),DFC!A:A,"NÃO ESTÁ NA DFC")</f>
        <v xml:space="preserve">          COMBUSTÍVEL</v>
      </c>
    </row>
    <row r="2139" spans="1:14" ht="15" customHeight="1" x14ac:dyDescent="0.3">
      <c r="A2139" s="19"/>
      <c r="B2139" s="21">
        <v>46111</v>
      </c>
      <c r="C2139" s="21" t="s">
        <v>15</v>
      </c>
      <c r="D2139" s="21" t="s">
        <v>19</v>
      </c>
      <c r="E2139" s="20"/>
      <c r="F2139" s="372" t="s">
        <v>832</v>
      </c>
      <c r="G2139" s="252">
        <v>1070.8</v>
      </c>
      <c r="I2139" s="1">
        <f>COUNTIF(Tabela1[NF],Tabela1[[#This Row],[NF]])</f>
        <v>0</v>
      </c>
      <c r="K2139" s="21">
        <v>46111</v>
      </c>
      <c r="N2139" s="14" t="str" cm="1">
        <f t="array" ref="N2139">_xlfn.XLOOKUP(TRIM(D2139),TRIM(DFC!A:A),DFC!A:A,"NÃO ESTÁ NA DFC")</f>
        <v xml:space="preserve">      PEÇAS</v>
      </c>
    </row>
    <row r="2140" spans="1:14" ht="15" customHeight="1" x14ac:dyDescent="0.3">
      <c r="A2140" s="19"/>
      <c r="B2140" s="21">
        <v>46111</v>
      </c>
      <c r="C2140" s="21" t="s">
        <v>15</v>
      </c>
      <c r="D2140" s="21" t="s">
        <v>833</v>
      </c>
      <c r="E2140" s="20" t="s">
        <v>519</v>
      </c>
      <c r="F2140" s="372" t="s">
        <v>398</v>
      </c>
      <c r="G2140" s="252">
        <v>6361.43</v>
      </c>
      <c r="I2140" s="1">
        <f>COUNTIF(Tabela1[NF],Tabela1[[#This Row],[NF]])</f>
        <v>0</v>
      </c>
      <c r="K2140" s="21">
        <v>46111</v>
      </c>
      <c r="N2140" s="14" t="str" cm="1">
        <f t="array" ref="N2140">_xlfn.XLOOKUP(TRIM(D2140),TRIM(DFC!A:A),DFC!A:A,"NÃO ESTÁ NA DFC")</f>
        <v xml:space="preserve">     COFINS</v>
      </c>
    </row>
    <row r="2141" spans="1:14" ht="15" customHeight="1" x14ac:dyDescent="0.3">
      <c r="A2141" s="19"/>
      <c r="B2141" s="21">
        <v>46111</v>
      </c>
      <c r="C2141" s="21" t="s">
        <v>15</v>
      </c>
      <c r="D2141" s="21" t="s">
        <v>834</v>
      </c>
      <c r="E2141" s="20" t="s">
        <v>519</v>
      </c>
      <c r="F2141" s="372" t="s">
        <v>398</v>
      </c>
      <c r="G2141" s="252">
        <v>1430.61</v>
      </c>
      <c r="I2141" s="1">
        <f>COUNTIF(Tabela1[NF],Tabela1[[#This Row],[NF]])</f>
        <v>0</v>
      </c>
      <c r="K2141" s="21">
        <v>46111</v>
      </c>
      <c r="N2141" s="14" t="str" cm="1">
        <f t="array" ref="N2141">_xlfn.XLOOKUP(TRIM(D2141),TRIM(DFC!A:A),DFC!A:A,"NÃO ESTÁ NA DFC")</f>
        <v xml:space="preserve">     PIS</v>
      </c>
    </row>
    <row r="2142" spans="1:14" ht="15" customHeight="1" x14ac:dyDescent="0.3">
      <c r="A2142" s="19"/>
      <c r="B2142" s="21">
        <v>46112</v>
      </c>
      <c r="C2142" s="21" t="s">
        <v>15</v>
      </c>
      <c r="D2142" s="21" t="s">
        <v>156</v>
      </c>
      <c r="E2142" s="28" t="s">
        <v>835</v>
      </c>
      <c r="F2142" s="372" t="s">
        <v>314</v>
      </c>
      <c r="G2142" s="252">
        <v>3277.5</v>
      </c>
      <c r="I2142" s="1">
        <f>COUNTIF(Tabela1[NF],Tabela1[[#This Row],[NF]])</f>
        <v>0</v>
      </c>
      <c r="K2142" s="26">
        <f>Tabela1[[#This Row],[DT. VENCIMENTO]]</f>
        <v>46112</v>
      </c>
      <c r="N2142" s="14" t="str" cm="1">
        <f t="array" ref="N2142">_xlfn.XLOOKUP(TRIM(D2142),TRIM(DFC!A:A),DFC!A:A,"NÃO ESTÁ NA DFC")</f>
        <v xml:space="preserve">      MONTAGEM DE RODAS</v>
      </c>
    </row>
    <row r="2143" spans="1:14" ht="15" customHeight="1" x14ac:dyDescent="0.3">
      <c r="A2143" s="19"/>
      <c r="B2143" s="21">
        <v>46112</v>
      </c>
      <c r="C2143" s="21" t="s">
        <v>15</v>
      </c>
      <c r="D2143" s="21" t="s">
        <v>19</v>
      </c>
      <c r="E2143" s="20" t="s">
        <v>491</v>
      </c>
      <c r="F2143" s="372" t="s">
        <v>103</v>
      </c>
      <c r="G2143" s="252">
        <v>3333.33</v>
      </c>
      <c r="I2143" s="1">
        <f>COUNTIF(Tabela1[NF],Tabela1[[#This Row],[NF]])</f>
        <v>0</v>
      </c>
      <c r="K2143" s="26">
        <f>Tabela1[[#This Row],[DT. VENCIMENTO]]</f>
        <v>46112</v>
      </c>
      <c r="N2143" s="14" t="str" cm="1">
        <f t="array" ref="N2143">_xlfn.XLOOKUP(TRIM(D2143),TRIM(DFC!A:A),DFC!A:A,"NÃO ESTÁ NA DFC")</f>
        <v xml:space="preserve">      PEÇAS</v>
      </c>
    </row>
    <row r="2144" spans="1:14" ht="15" customHeight="1" x14ac:dyDescent="0.3">
      <c r="A2144" s="19"/>
      <c r="B2144" s="21">
        <v>46112</v>
      </c>
      <c r="C2144" s="21" t="s">
        <v>15</v>
      </c>
      <c r="D2144" s="21" t="s">
        <v>134</v>
      </c>
      <c r="E2144" s="20"/>
      <c r="F2144" s="372" t="s">
        <v>836</v>
      </c>
      <c r="G2144" s="252">
        <v>261.01</v>
      </c>
      <c r="I2144" s="1">
        <f>COUNTIF(Tabela1[NF],Tabela1[[#This Row],[NF]])</f>
        <v>0</v>
      </c>
      <c r="K2144" s="26">
        <f>Tabela1[[#This Row],[DT. VENCIMENTO]]</f>
        <v>46112</v>
      </c>
      <c r="N2144" s="14" t="str" cm="1">
        <f t="array" ref="N2144">_xlfn.XLOOKUP(TRIM(D2144),TRIM(DFC!A:A),DFC!A:A,"NÃO ESTÁ NA DFC")</f>
        <v xml:space="preserve">          TELEFONIA</v>
      </c>
    </row>
    <row r="2145" spans="1:14" ht="15" customHeight="1" x14ac:dyDescent="0.3">
      <c r="A2145" s="19"/>
      <c r="B2145" s="21">
        <v>46112</v>
      </c>
      <c r="C2145" s="21" t="s">
        <v>15</v>
      </c>
      <c r="D2145" s="21" t="s">
        <v>134</v>
      </c>
      <c r="E2145" s="20"/>
      <c r="F2145" s="372" t="s">
        <v>836</v>
      </c>
      <c r="G2145" s="252">
        <v>280.02</v>
      </c>
      <c r="I2145" s="1">
        <f>COUNTIF(Tabela1[NF],Tabela1[[#This Row],[NF]])</f>
        <v>0</v>
      </c>
      <c r="K2145" s="26">
        <f>Tabela1[[#This Row],[DT. VENCIMENTO]]</f>
        <v>46112</v>
      </c>
      <c r="N2145" s="14" t="str" cm="1">
        <f t="array" ref="N2145">_xlfn.XLOOKUP(TRIM(D2145),TRIM(DFC!A:A),DFC!A:A,"NÃO ESTÁ NA DFC")</f>
        <v xml:space="preserve">          TELEFONIA</v>
      </c>
    </row>
    <row r="2146" spans="1:14" ht="15" customHeight="1" x14ac:dyDescent="0.3">
      <c r="A2146" s="19"/>
      <c r="B2146" s="21">
        <v>46112</v>
      </c>
      <c r="C2146" s="21" t="s">
        <v>15</v>
      </c>
      <c r="D2146" s="21" t="s">
        <v>134</v>
      </c>
      <c r="E2146" s="20"/>
      <c r="F2146" s="372" t="s">
        <v>836</v>
      </c>
      <c r="G2146" s="252">
        <v>225.03</v>
      </c>
      <c r="I2146" s="1">
        <f>COUNTIF(Tabela1[NF],Tabela1[[#This Row],[NF]])</f>
        <v>0</v>
      </c>
      <c r="K2146" s="26">
        <f>Tabela1[[#This Row],[DT. VENCIMENTO]]</f>
        <v>46112</v>
      </c>
      <c r="N2146" s="14" t="str" cm="1">
        <f t="array" ref="N2146">_xlfn.XLOOKUP(TRIM(D2146),TRIM(DFC!A:A),DFC!A:A,"NÃO ESTÁ NA DFC")</f>
        <v xml:space="preserve">          TELEFONIA</v>
      </c>
    </row>
    <row r="2147" spans="1:14" ht="15" customHeight="1" x14ac:dyDescent="0.3">
      <c r="A2147" s="19"/>
      <c r="B2147" s="21">
        <v>46112</v>
      </c>
      <c r="C2147" s="21" t="s">
        <v>15</v>
      </c>
      <c r="D2147" s="21" t="s">
        <v>249</v>
      </c>
      <c r="E2147" s="20" t="s">
        <v>519</v>
      </c>
      <c r="F2147" s="372" t="s">
        <v>398</v>
      </c>
      <c r="G2147" s="252">
        <v>1744.91</v>
      </c>
      <c r="I2147" s="1">
        <f>COUNTIF(Tabela1[NF],Tabela1[[#This Row],[NF]])</f>
        <v>0</v>
      </c>
      <c r="K2147" s="26">
        <f>Tabela1[[#This Row],[DT. VENCIMENTO]]</f>
        <v>46112</v>
      </c>
      <c r="N2147" s="14" t="str" cm="1">
        <f t="array" ref="N2147">_xlfn.XLOOKUP(TRIM(D2147),TRIM(DFC!A:A),DFC!A:A,"NÃO ESTÁ NA DFC")</f>
        <v xml:space="preserve">          SIMPLES NACIONAL PARCELAMENTO</v>
      </c>
    </row>
    <row r="2148" spans="1:14" ht="15" customHeight="1" x14ac:dyDescent="0.3">
      <c r="A2148" s="19"/>
      <c r="B2148" s="21">
        <v>46112</v>
      </c>
      <c r="C2148" s="21" t="s">
        <v>15</v>
      </c>
      <c r="D2148" s="21" t="s">
        <v>249</v>
      </c>
      <c r="E2148" s="20" t="s">
        <v>519</v>
      </c>
      <c r="F2148" s="372" t="s">
        <v>398</v>
      </c>
      <c r="G2148" s="252">
        <v>1744.91</v>
      </c>
      <c r="I2148" s="1">
        <f>COUNTIF(Tabela1[NF],Tabela1[[#This Row],[NF]])</f>
        <v>0</v>
      </c>
      <c r="K2148" s="26">
        <f>Tabela1[[#This Row],[DT. VENCIMENTO]]</f>
        <v>46112</v>
      </c>
      <c r="N2148" s="14" t="str" cm="1">
        <f t="array" ref="N2148">_xlfn.XLOOKUP(TRIM(D2148),TRIM(DFC!A:A),DFC!A:A,"NÃO ESTÁ NA DFC")</f>
        <v xml:space="preserve">          SIMPLES NACIONAL PARCELAMENTO</v>
      </c>
    </row>
    <row r="2149" spans="1:14" ht="15" customHeight="1" x14ac:dyDescent="0.3">
      <c r="A2149" s="19"/>
      <c r="B2149" s="21">
        <v>46098</v>
      </c>
      <c r="C2149" s="21" t="s">
        <v>15</v>
      </c>
      <c r="D2149" s="21" t="s">
        <v>19</v>
      </c>
      <c r="E2149" s="20"/>
      <c r="F2149" s="372" t="s">
        <v>228</v>
      </c>
      <c r="G2149" s="252">
        <v>2911.3</v>
      </c>
      <c r="I2149" s="1">
        <f>COUNTIF(Tabela1[NF],Tabela1[[#This Row],[NF]])</f>
        <v>0</v>
      </c>
      <c r="K2149" s="26">
        <v>46098</v>
      </c>
      <c r="N2149" s="14" t="str" cm="1">
        <f t="array" ref="N2149">_xlfn.XLOOKUP(TRIM(D2149),TRIM(DFC!A:A),DFC!A:A,"NÃO ESTÁ NA DFC")</f>
        <v xml:space="preserve">      PEÇAS</v>
      </c>
    </row>
    <row r="2150" spans="1:14" ht="15" customHeight="1" x14ac:dyDescent="0.3">
      <c r="A2150" s="19"/>
      <c r="B2150" s="21">
        <v>46098</v>
      </c>
      <c r="C2150" s="21" t="s">
        <v>15</v>
      </c>
      <c r="D2150" s="21" t="s">
        <v>19</v>
      </c>
      <c r="E2150" s="20"/>
      <c r="F2150" s="372" t="s">
        <v>689</v>
      </c>
      <c r="G2150" s="252">
        <v>770</v>
      </c>
      <c r="I2150" s="1">
        <f>COUNTIF(Tabela1[NF],Tabela1[[#This Row],[NF]])</f>
        <v>0</v>
      </c>
      <c r="K2150" s="26">
        <v>46098</v>
      </c>
      <c r="N2150" s="14" t="str" cm="1">
        <f t="array" ref="N2150">_xlfn.XLOOKUP(TRIM(D2150),TRIM(DFC!A:A),DFC!A:A,"NÃO ESTÁ NA DFC")</f>
        <v xml:space="preserve">      PEÇAS</v>
      </c>
    </row>
    <row r="2151" spans="1:14" ht="15" customHeight="1" x14ac:dyDescent="0.3">
      <c r="A2151" s="19"/>
      <c r="B2151" s="21">
        <v>46098</v>
      </c>
      <c r="C2151" s="21" t="s">
        <v>15</v>
      </c>
      <c r="D2151" s="21" t="s">
        <v>19</v>
      </c>
      <c r="E2151" s="20"/>
      <c r="F2151" s="372" t="s">
        <v>228</v>
      </c>
      <c r="G2151" s="252">
        <v>3005.1</v>
      </c>
      <c r="I2151" s="1">
        <f>COUNTIF(Tabela1[NF],Tabela1[[#This Row],[NF]])</f>
        <v>0</v>
      </c>
      <c r="K2151" s="26">
        <v>46098</v>
      </c>
      <c r="N2151" s="14" t="str" cm="1">
        <f t="array" ref="N2151">_xlfn.XLOOKUP(TRIM(D2151),TRIM(DFC!A:A),DFC!A:A,"NÃO ESTÁ NA DFC")</f>
        <v xml:space="preserve">      PEÇAS</v>
      </c>
    </row>
    <row r="2152" spans="1:14" ht="15" customHeight="1" x14ac:dyDescent="0.3">
      <c r="A2152" s="19"/>
      <c r="B2152" s="21">
        <v>46098</v>
      </c>
      <c r="C2152" s="21" t="s">
        <v>15</v>
      </c>
      <c r="D2152" s="21" t="s">
        <v>19</v>
      </c>
      <c r="E2152" s="20"/>
      <c r="F2152" s="372" t="s">
        <v>515</v>
      </c>
      <c r="G2152" s="252">
        <v>120.9</v>
      </c>
      <c r="I2152" s="1">
        <f>COUNTIF(Tabela1[NF],Tabela1[[#This Row],[NF]])</f>
        <v>0</v>
      </c>
      <c r="K2152" s="26">
        <v>46098</v>
      </c>
      <c r="N2152" s="14" t="str" cm="1">
        <f t="array" ref="N2152">_xlfn.XLOOKUP(TRIM(D2152),TRIM(DFC!A:A),DFC!A:A,"NÃO ESTÁ NA DFC")</f>
        <v xml:space="preserve">      PEÇAS</v>
      </c>
    </row>
    <row r="2153" spans="1:14" ht="15" customHeight="1" x14ac:dyDescent="0.3">
      <c r="A2153" s="19"/>
      <c r="B2153" s="21">
        <v>46098</v>
      </c>
      <c r="C2153" s="21" t="s">
        <v>15</v>
      </c>
      <c r="D2153" s="21" t="s">
        <v>19</v>
      </c>
      <c r="E2153" s="20"/>
      <c r="F2153" s="372" t="s">
        <v>654</v>
      </c>
      <c r="G2153" s="252">
        <v>826.63</v>
      </c>
      <c r="I2153" s="1">
        <f>COUNTIF(Tabela1[NF],Tabela1[[#This Row],[NF]])</f>
        <v>0</v>
      </c>
      <c r="K2153" s="26">
        <v>46098</v>
      </c>
      <c r="N2153" s="14" t="str" cm="1">
        <f t="array" ref="N2153">_xlfn.XLOOKUP(TRIM(D2153),TRIM(DFC!A:A),DFC!A:A,"NÃO ESTÁ NA DFC")</f>
        <v xml:space="preserve">      PEÇAS</v>
      </c>
    </row>
    <row r="2154" spans="1:14" ht="15" customHeight="1" x14ac:dyDescent="0.3">
      <c r="A2154" s="19"/>
      <c r="B2154" s="21">
        <v>46098</v>
      </c>
      <c r="C2154" s="21" t="s">
        <v>15</v>
      </c>
      <c r="D2154" s="21" t="s">
        <v>29</v>
      </c>
      <c r="E2154" s="20"/>
      <c r="F2154" s="372" t="s">
        <v>837</v>
      </c>
      <c r="G2154" s="252">
        <v>111.53</v>
      </c>
      <c r="I2154" s="1">
        <f>COUNTIF(Tabela1[NF],Tabela1[[#This Row],[NF]])</f>
        <v>0</v>
      </c>
      <c r="K2154" s="26">
        <v>46098</v>
      </c>
      <c r="N2154" s="14" t="str" cm="1">
        <f t="array" ref="N2154">_xlfn.XLOOKUP(TRIM(D2154),TRIM(DFC!A:A),DFC!A:A,"NÃO ESTÁ NA DFC")</f>
        <v xml:space="preserve">      FRETE DE SAÍDA</v>
      </c>
    </row>
    <row r="2155" spans="1:14" ht="15" customHeight="1" x14ac:dyDescent="0.3">
      <c r="A2155" s="19"/>
      <c r="B2155" s="21">
        <v>46101</v>
      </c>
      <c r="C2155" s="21" t="s">
        <v>15</v>
      </c>
      <c r="D2155" s="21" t="s">
        <v>19</v>
      </c>
      <c r="E2155" s="20"/>
      <c r="F2155" s="372" t="s">
        <v>691</v>
      </c>
      <c r="G2155" s="252">
        <v>1998.45</v>
      </c>
      <c r="I2155" s="1">
        <f>COUNTIF(Tabela1[NF],Tabela1[[#This Row],[NF]])</f>
        <v>0</v>
      </c>
      <c r="K2155" s="26">
        <v>46101</v>
      </c>
      <c r="N2155" s="14" t="str" cm="1">
        <f t="array" ref="N2155">_xlfn.XLOOKUP(TRIM(D2155),TRIM(DFC!A:A),DFC!A:A,"NÃO ESTÁ NA DFC")</f>
        <v xml:space="preserve">      PEÇAS</v>
      </c>
    </row>
    <row r="2156" spans="1:14" ht="15" customHeight="1" x14ac:dyDescent="0.3">
      <c r="A2156" s="19"/>
      <c r="B2156" s="21">
        <v>46104</v>
      </c>
      <c r="C2156" s="21" t="s">
        <v>15</v>
      </c>
      <c r="D2156" s="21" t="s">
        <v>838</v>
      </c>
      <c r="E2156" s="20"/>
      <c r="F2156" s="372" t="s">
        <v>839</v>
      </c>
      <c r="G2156" s="252">
        <v>6000</v>
      </c>
      <c r="I2156" s="1">
        <f>COUNTIF(Tabela1[NF],Tabela1[[#This Row],[NF]])</f>
        <v>0</v>
      </c>
      <c r="K2156" s="26">
        <v>46104</v>
      </c>
      <c r="N2156" s="14" t="str" cm="1">
        <f t="array" ref="N2156">_xlfn.XLOOKUP(TRIM(D2156),TRIM(DFC!A:A),DFC!A:A,"NÃO ESTÁ NA DFC")</f>
        <v xml:space="preserve">     AGENTES DE AFILIADOS</v>
      </c>
    </row>
    <row r="2157" spans="1:14" ht="15" customHeight="1" x14ac:dyDescent="0.3">
      <c r="A2157" s="19"/>
      <c r="B2157" s="21">
        <v>46104</v>
      </c>
      <c r="C2157" s="21" t="s">
        <v>15</v>
      </c>
      <c r="D2157" s="21" t="s">
        <v>154</v>
      </c>
      <c r="E2157" s="20" t="s">
        <v>700</v>
      </c>
      <c r="F2157" s="372" t="s">
        <v>103</v>
      </c>
      <c r="G2157" s="252">
        <v>1146</v>
      </c>
      <c r="I2157" s="1">
        <f>COUNTIF(Tabela1[NF],Tabela1[[#This Row],[NF]])</f>
        <v>0</v>
      </c>
      <c r="K2157" s="26">
        <v>46104</v>
      </c>
      <c r="N2157" s="14" t="str" cm="1">
        <f t="array" ref="N2157">_xlfn.XLOOKUP(TRIM(D2157),TRIM(DFC!A:A),DFC!A:A,"NÃO ESTÁ NA DFC")</f>
        <v xml:space="preserve">      EMBALAGENS</v>
      </c>
    </row>
    <row r="2158" spans="1:14" ht="15" customHeight="1" x14ac:dyDescent="0.3">
      <c r="A2158" s="19"/>
      <c r="B2158" s="21">
        <v>46113</v>
      </c>
      <c r="C2158" s="21" t="s">
        <v>15</v>
      </c>
      <c r="D2158" s="91" t="s">
        <v>96</v>
      </c>
      <c r="E2158" s="21"/>
      <c r="F2158" s="372" t="s">
        <v>627</v>
      </c>
      <c r="G2158" s="252">
        <v>102.92</v>
      </c>
      <c r="I2158" s="1">
        <f>COUNTIF(Tabela1[NF],Tabela1[[#This Row],[NF]])</f>
        <v>0</v>
      </c>
      <c r="K2158" s="26">
        <v>46113</v>
      </c>
      <c r="N2158" s="1" t="str" cm="1">
        <f t="array" ref="N2158">_xlfn.XLOOKUP(TRIM(D2158),TRIM(DFC!A:A),DFC!A:A,"NÃO ESTÁ NA DFC")</f>
        <v xml:space="preserve">           JUROS CHEQUE ESPECIAL</v>
      </c>
    </row>
    <row r="2159" spans="1:14" ht="15" customHeight="1" x14ac:dyDescent="0.3">
      <c r="A2159" s="19"/>
      <c r="B2159" s="21">
        <v>46113</v>
      </c>
      <c r="C2159" s="21" t="s">
        <v>15</v>
      </c>
      <c r="D2159" s="21" t="s">
        <v>840</v>
      </c>
      <c r="E2159" s="21"/>
      <c r="F2159" s="372" t="s">
        <v>460</v>
      </c>
      <c r="G2159" s="252">
        <v>2100</v>
      </c>
      <c r="I2159" s="1">
        <f>COUNTIF(Tabela1[NF],Tabela1[[#This Row],[NF]])</f>
        <v>0</v>
      </c>
      <c r="K2159" s="26">
        <v>46113</v>
      </c>
      <c r="N2159" s="1" t="str" cm="1">
        <f t="array" ref="N2159">_xlfn.XLOOKUP(TRIM(D2159),TRIM(DFC!A:A),DFC!A:A,"NÃO ESTÁ NA DFC")</f>
        <v xml:space="preserve">      TRANSFERÊNCIA SICREDI PARA BRADESCO</v>
      </c>
    </row>
    <row r="2160" spans="1:14" ht="15" customHeight="1" x14ac:dyDescent="0.3">
      <c r="A2160" s="19"/>
      <c r="B2160" s="21">
        <v>46113</v>
      </c>
      <c r="C2160" s="21" t="s">
        <v>15</v>
      </c>
      <c r="D2160" s="91" t="s">
        <v>841</v>
      </c>
      <c r="E2160" s="21"/>
      <c r="F2160" s="372" t="s">
        <v>842</v>
      </c>
      <c r="G2160" s="252">
        <v>1440</v>
      </c>
      <c r="I2160" s="1">
        <f>COUNTIF(Tabela1[NF],Tabela1[[#This Row],[NF]])</f>
        <v>0</v>
      </c>
      <c r="K2160" s="26">
        <v>46113</v>
      </c>
      <c r="N2160" s="1" t="str" cm="1">
        <f t="array" ref="N2160">_xlfn.XLOOKUP(TRIM(D2160),TRIM(DFC!A:A),DFC!A:A,"NÃO ESTÁ NA DFC")</f>
        <v>NÃO ESTÁ NA DFC</v>
      </c>
    </row>
    <row r="2161" spans="1:137" ht="15" customHeight="1" x14ac:dyDescent="0.3">
      <c r="A2161" s="19">
        <v>262293130</v>
      </c>
      <c r="B2161" s="21">
        <v>46113</v>
      </c>
      <c r="C2161" s="21" t="s">
        <v>15</v>
      </c>
      <c r="D2161" s="91" t="s">
        <v>29</v>
      </c>
      <c r="E2161" s="21"/>
      <c r="F2161" s="372" t="s">
        <v>318</v>
      </c>
      <c r="G2161" s="252">
        <v>153.66</v>
      </c>
      <c r="I2161" s="1">
        <f>COUNTIF(Tabela1[NF],Tabela1[[#This Row],[NF]])</f>
        <v>1</v>
      </c>
      <c r="K2161" s="26">
        <v>46113</v>
      </c>
      <c r="N2161" s="1" t="str" cm="1">
        <f t="array" ref="N2161">_xlfn.XLOOKUP(TRIM(D2161),TRIM(DFC!A:A),DFC!A:A,"NÃO ESTÁ NA DFC")</f>
        <v xml:space="preserve">      FRETE DE SAÍDA</v>
      </c>
    </row>
    <row r="2162" spans="1:137" ht="15" customHeight="1" x14ac:dyDescent="0.3">
      <c r="A2162" s="19">
        <v>164721</v>
      </c>
      <c r="B2162" s="21">
        <v>46113</v>
      </c>
      <c r="C2162" s="21" t="s">
        <v>15</v>
      </c>
      <c r="D2162" s="21" t="s">
        <v>19</v>
      </c>
      <c r="E2162" s="21"/>
      <c r="F2162" s="372" t="s">
        <v>228</v>
      </c>
      <c r="G2162" s="252">
        <v>2911.3</v>
      </c>
      <c r="I2162" s="1">
        <f>COUNTIF(Tabela1[NF],Tabela1[[#This Row],[NF]])</f>
        <v>2</v>
      </c>
      <c r="K2162" s="26">
        <v>46113</v>
      </c>
      <c r="N2162" s="1" t="str" cm="1">
        <f t="array" ref="N2162">_xlfn.XLOOKUP(TRIM(D2162),TRIM(DFC!A:A),DFC!A:A,"NÃO ESTÁ NA DFC")</f>
        <v xml:space="preserve">      PEÇAS</v>
      </c>
    </row>
    <row r="2163" spans="1:137" ht="15" customHeight="1" x14ac:dyDescent="0.3">
      <c r="A2163" s="19"/>
      <c r="B2163" s="21">
        <v>46113</v>
      </c>
      <c r="C2163" s="21" t="s">
        <v>15</v>
      </c>
      <c r="D2163" s="91" t="s">
        <v>29</v>
      </c>
      <c r="E2163" s="21"/>
      <c r="F2163" s="372" t="s">
        <v>548</v>
      </c>
      <c r="G2163" s="252">
        <v>64.39</v>
      </c>
      <c r="I2163" s="1">
        <f>COUNTIF(Tabela1[NF],Tabela1[[#This Row],[NF]])</f>
        <v>0</v>
      </c>
      <c r="K2163" s="26">
        <v>46113</v>
      </c>
      <c r="N2163" s="1" t="str" cm="1">
        <f t="array" ref="N2163">_xlfn.XLOOKUP(TRIM(D2163),TRIM(DFC!A:A),DFC!A:A,"NÃO ESTÁ NA DFC")</f>
        <v xml:space="preserve">      FRETE DE SAÍDA</v>
      </c>
    </row>
    <row r="2164" spans="1:137" ht="15" customHeight="1" x14ac:dyDescent="0.3">
      <c r="A2164" s="19">
        <v>2224</v>
      </c>
      <c r="B2164" s="21">
        <v>46113</v>
      </c>
      <c r="C2164" s="21" t="s">
        <v>15</v>
      </c>
      <c r="D2164" s="21" t="s">
        <v>19</v>
      </c>
      <c r="E2164" s="21"/>
      <c r="F2164" s="372" t="s">
        <v>395</v>
      </c>
      <c r="G2164" s="252">
        <v>930.1</v>
      </c>
      <c r="I2164" s="1">
        <f>COUNTIF(Tabela1[NF],Tabela1[[#This Row],[NF]])</f>
        <v>1</v>
      </c>
      <c r="K2164" s="26">
        <v>46113</v>
      </c>
      <c r="N2164" s="1" t="str" cm="1">
        <f t="array" ref="N2164">_xlfn.XLOOKUP(TRIM(D2164),TRIM(DFC!A:A),DFC!A:A,"NÃO ESTÁ NA DFC")</f>
        <v xml:space="preserve">      PEÇAS</v>
      </c>
    </row>
    <row r="2165" spans="1:137" ht="15" customHeight="1" x14ac:dyDescent="0.3">
      <c r="A2165" s="19"/>
      <c r="B2165" s="21">
        <v>46113</v>
      </c>
      <c r="C2165" s="21" t="s">
        <v>15</v>
      </c>
      <c r="D2165" s="91" t="s">
        <v>111</v>
      </c>
      <c r="E2165" s="21"/>
      <c r="F2165" s="372" t="s">
        <v>628</v>
      </c>
      <c r="G2165" s="252">
        <v>74.72</v>
      </c>
      <c r="I2165" s="1">
        <f>COUNTIF(Tabela1[NF],Tabela1[[#This Row],[NF]])</f>
        <v>0</v>
      </c>
      <c r="K2165" s="26">
        <v>46113</v>
      </c>
      <c r="N2165" s="1" t="str" cm="1">
        <f t="array" ref="N2165">_xlfn.XLOOKUP(TRIM(D2165),TRIM(DFC!A:A),DFC!A:A,"NÃO ESTÁ NA DFC")</f>
        <v xml:space="preserve">          TX. BANCÁRIA</v>
      </c>
    </row>
    <row r="2166" spans="1:137" ht="15" customHeight="1" x14ac:dyDescent="0.3">
      <c r="A2166" s="19"/>
      <c r="B2166" s="21">
        <v>46113</v>
      </c>
      <c r="C2166" s="21" t="s">
        <v>15</v>
      </c>
      <c r="D2166" s="91" t="s">
        <v>111</v>
      </c>
      <c r="E2166" s="21"/>
      <c r="F2166" s="372" t="s">
        <v>559</v>
      </c>
      <c r="G2166" s="252">
        <v>63.94</v>
      </c>
      <c r="I2166" s="1">
        <f>COUNTIF(Tabela1[NF],Tabela1[[#This Row],[NF]])</f>
        <v>0</v>
      </c>
      <c r="K2166" s="26">
        <v>46113</v>
      </c>
      <c r="N2166" s="1" t="str" cm="1">
        <f t="array" ref="N2166">_xlfn.XLOOKUP(TRIM(D2166),TRIM(DFC!A:A),DFC!A:A,"NÃO ESTÁ NA DFC")</f>
        <v xml:space="preserve">          TX. BANCÁRIA</v>
      </c>
    </row>
    <row r="2167" spans="1:137" ht="15" customHeight="1" x14ac:dyDescent="0.3">
      <c r="A2167" s="19"/>
      <c r="B2167" s="21">
        <v>46113</v>
      </c>
      <c r="C2167" s="21" t="s">
        <v>15</v>
      </c>
      <c r="D2167" s="91" t="s">
        <v>111</v>
      </c>
      <c r="E2167" s="21"/>
      <c r="F2167" s="372" t="s">
        <v>626</v>
      </c>
      <c r="G2167" s="252">
        <v>0.55000000000000004</v>
      </c>
      <c r="I2167" s="1">
        <f>COUNTIF(Tabela1[NF],Tabela1[[#This Row],[NF]])</f>
        <v>0</v>
      </c>
      <c r="K2167" s="26">
        <v>46113</v>
      </c>
      <c r="N2167" s="1" t="str" cm="1">
        <f t="array" ref="N2167">_xlfn.XLOOKUP(TRIM(D2167),TRIM(DFC!A:A),DFC!A:A,"NÃO ESTÁ NA DFC")</f>
        <v xml:space="preserve">          TX. BANCÁRIA</v>
      </c>
    </row>
    <row r="2168" spans="1:137" ht="15" customHeight="1" x14ac:dyDescent="0.3">
      <c r="A2168" s="19"/>
      <c r="B2168" s="21">
        <v>46113</v>
      </c>
      <c r="C2168" s="21" t="s">
        <v>15</v>
      </c>
      <c r="D2168" s="91" t="s">
        <v>111</v>
      </c>
      <c r="E2168" s="21"/>
      <c r="F2168" s="372" t="s">
        <v>453</v>
      </c>
      <c r="G2168" s="252">
        <v>1.32</v>
      </c>
      <c r="I2168" s="1">
        <f>COUNTIF(Tabela1[NF],Tabela1[[#This Row],[NF]])</f>
        <v>0</v>
      </c>
      <c r="K2168" s="26">
        <v>46113</v>
      </c>
      <c r="N2168" s="1" t="str" cm="1">
        <f t="array" ref="N2168">_xlfn.XLOOKUP(TRIM(D2168),TRIM(DFC!A:A),DFC!A:A,"NÃO ESTÁ NA DFC")</f>
        <v xml:space="preserve">          TX. BANCÁRIA</v>
      </c>
    </row>
    <row r="2169" spans="1:137" ht="15" customHeight="1" x14ac:dyDescent="0.3">
      <c r="A2169" s="19"/>
      <c r="B2169" s="21">
        <v>46114</v>
      </c>
      <c r="C2169" s="21" t="s">
        <v>15</v>
      </c>
      <c r="D2169" s="91" t="s">
        <v>29</v>
      </c>
      <c r="E2169" s="21"/>
      <c r="F2169" s="22" t="s">
        <v>168</v>
      </c>
      <c r="G2169" s="252">
        <v>130</v>
      </c>
      <c r="H2169" s="19"/>
      <c r="I2169" s="19">
        <f>COUNTIF(Tabela1[NF],Tabela1[[#This Row],[NF]])</f>
        <v>0</v>
      </c>
      <c r="J2169" s="22"/>
      <c r="K2169" s="21">
        <v>46114</v>
      </c>
      <c r="N2169" s="1" t="str" cm="1">
        <f t="array" ref="N2169">_xlfn.XLOOKUP(TRIM(D2169),TRIM(DFC!A:A),DFC!A:A,"NÃO ESTÁ NA DFC")</f>
        <v xml:space="preserve">      FRETE DE SAÍDA</v>
      </c>
    </row>
    <row r="2170" spans="1:137" ht="15" customHeight="1" x14ac:dyDescent="0.3">
      <c r="A2170" s="19"/>
      <c r="B2170" s="21">
        <v>46114</v>
      </c>
      <c r="C2170" s="21" t="s">
        <v>15</v>
      </c>
      <c r="D2170" s="91" t="s">
        <v>29</v>
      </c>
      <c r="E2170" s="21"/>
      <c r="F2170" s="22" t="s">
        <v>168</v>
      </c>
      <c r="G2170" s="252">
        <v>291.5</v>
      </c>
      <c r="H2170" s="19"/>
      <c r="I2170" s="19">
        <f>COUNTIF(Tabela1[NF],Tabela1[[#This Row],[NF]])</f>
        <v>0</v>
      </c>
      <c r="J2170" s="22"/>
      <c r="K2170" s="21">
        <v>46114</v>
      </c>
      <c r="N2170" s="1" t="str" cm="1">
        <f t="array" ref="N2170">_xlfn.XLOOKUP(TRIM(D2170),TRIM(DFC!A:A),DFC!A:A,"NÃO ESTÁ NA DFC")</f>
        <v xml:space="preserve">      FRETE DE SAÍDA</v>
      </c>
    </row>
    <row r="2171" spans="1:137" ht="15" customHeight="1" x14ac:dyDescent="0.3">
      <c r="A2171" s="19"/>
      <c r="B2171" s="21">
        <v>46114</v>
      </c>
      <c r="C2171" s="21" t="s">
        <v>15</v>
      </c>
      <c r="D2171" s="21" t="s">
        <v>29</v>
      </c>
      <c r="E2171" s="21"/>
      <c r="F2171" s="22" t="s">
        <v>484</v>
      </c>
      <c r="G2171" s="252">
        <v>60</v>
      </c>
      <c r="H2171" s="19"/>
      <c r="I2171" s="19">
        <f>COUNTIF(Tabela1[NF],Tabela1[[#This Row],[NF]])</f>
        <v>0</v>
      </c>
      <c r="J2171" s="22"/>
      <c r="K2171" s="21">
        <v>46114</v>
      </c>
      <c r="N2171" s="1" t="str" cm="1">
        <f t="array" ref="N2171">_xlfn.XLOOKUP(TRIM(D2171),TRIM(DFC!A:A),DFC!A:A,"NÃO ESTÁ NA DFC")</f>
        <v xml:space="preserve">      FRETE DE SAÍDA</v>
      </c>
    </row>
    <row r="2172" spans="1:137" ht="15" customHeight="1" x14ac:dyDescent="0.3">
      <c r="A2172" s="19"/>
      <c r="B2172" s="21">
        <v>46114</v>
      </c>
      <c r="C2172" s="21" t="s">
        <v>15</v>
      </c>
      <c r="D2172" s="91" t="s">
        <v>29</v>
      </c>
      <c r="E2172" s="21"/>
      <c r="F2172" s="22" t="s">
        <v>168</v>
      </c>
      <c r="G2172" s="252">
        <v>100</v>
      </c>
      <c r="H2172" s="19"/>
      <c r="I2172" s="19">
        <f>COUNTIF(Tabela1[NF],Tabela1[[#This Row],[NF]])</f>
        <v>0</v>
      </c>
      <c r="J2172" s="22"/>
      <c r="K2172" s="21">
        <v>46114</v>
      </c>
      <c r="N2172" s="1" t="str" cm="1">
        <f t="array" ref="N2172">_xlfn.XLOOKUP(TRIM(D2172),TRIM(DFC!A:A),DFC!A:A,"NÃO ESTÁ NA DFC")</f>
        <v xml:space="preserve">      FRETE DE SAÍDA</v>
      </c>
    </row>
    <row r="2173" spans="1:137" ht="15" customHeight="1" x14ac:dyDescent="0.3">
      <c r="A2173" s="19"/>
      <c r="B2173" s="21">
        <v>46114</v>
      </c>
      <c r="C2173" s="21" t="s">
        <v>15</v>
      </c>
      <c r="D2173" s="91" t="s">
        <v>29</v>
      </c>
      <c r="E2173" s="21"/>
      <c r="F2173" s="22" t="s">
        <v>168</v>
      </c>
      <c r="G2173" s="252">
        <v>1322.76</v>
      </c>
      <c r="H2173" s="19"/>
      <c r="I2173" s="19">
        <f>COUNTIF(Tabela1[NF],Tabela1[[#This Row],[NF]])</f>
        <v>0</v>
      </c>
      <c r="J2173" s="22"/>
      <c r="K2173" s="21">
        <v>46114</v>
      </c>
      <c r="N2173" s="1" t="str" cm="1">
        <f t="array" ref="N2173">_xlfn.XLOOKUP(TRIM(D2173),TRIM(DFC!A:A),DFC!A:A,"NÃO ESTÁ NA DFC")</f>
        <v xml:space="preserve">      FRETE DE SAÍDA</v>
      </c>
    </row>
    <row r="2174" spans="1:137" s="22" customFormat="1" ht="15" customHeight="1" x14ac:dyDescent="0.3">
      <c r="A2174" s="19"/>
      <c r="B2174" s="21">
        <v>46114</v>
      </c>
      <c r="C2174" s="21" t="s">
        <v>15</v>
      </c>
      <c r="D2174" s="21" t="s">
        <v>29</v>
      </c>
      <c r="E2174" s="21"/>
      <c r="F2174" s="22" t="s">
        <v>484</v>
      </c>
      <c r="G2174" s="252">
        <v>75</v>
      </c>
      <c r="H2174" s="1"/>
      <c r="I2174" s="1">
        <f>COUNTIF(Tabela1[NF],Tabela1[[#This Row],[NF]])</f>
        <v>0</v>
      </c>
      <c r="J2174"/>
      <c r="K2174" s="21">
        <v>46114</v>
      </c>
      <c r="L2174"/>
      <c r="M2174"/>
      <c r="N2174" s="1" t="str" cm="1">
        <f t="array" ref="N2174">_xlfn.XLOOKUP(TRIM(D2174),TRIM(DFC!A:A),DFC!A:A,"NÃO ESTÁ NA DFC")</f>
        <v xml:space="preserve">      FRETE DE SAÍDA</v>
      </c>
      <c r="O2174"/>
      <c r="P2174" s="303"/>
      <c r="Q2174" s="262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  <c r="BK2174"/>
      <c r="BL2174"/>
      <c r="BM2174"/>
      <c r="BN2174"/>
      <c r="BO2174"/>
      <c r="BP2174"/>
      <c r="BQ2174"/>
      <c r="BR2174"/>
      <c r="BS2174"/>
      <c r="BT2174"/>
      <c r="BU2174"/>
      <c r="BV2174"/>
      <c r="BW2174"/>
      <c r="BX2174"/>
      <c r="BY2174"/>
      <c r="BZ2174"/>
      <c r="CA2174"/>
      <c r="CB2174"/>
      <c r="CC2174"/>
      <c r="CD2174"/>
      <c r="CE2174"/>
      <c r="CF2174"/>
      <c r="CG2174"/>
      <c r="CH2174"/>
      <c r="CI2174"/>
      <c r="CJ2174"/>
      <c r="CK2174"/>
      <c r="CL2174"/>
      <c r="CM2174"/>
      <c r="CN2174"/>
      <c r="CO2174"/>
      <c r="CP2174"/>
      <c r="CQ2174"/>
      <c r="CR2174"/>
      <c r="CS2174"/>
      <c r="CT2174"/>
      <c r="CU2174"/>
      <c r="CV2174"/>
      <c r="CW2174"/>
      <c r="CX2174"/>
      <c r="CY2174"/>
      <c r="CZ2174"/>
      <c r="DA2174"/>
      <c r="DB2174"/>
      <c r="DC2174"/>
      <c r="DD2174"/>
      <c r="DE2174"/>
      <c r="DF2174"/>
      <c r="DG2174"/>
      <c r="DH2174"/>
      <c r="DI2174"/>
      <c r="DJ2174"/>
      <c r="DK2174"/>
      <c r="DL2174"/>
      <c r="DM2174"/>
      <c r="DN2174"/>
      <c r="DO2174"/>
      <c r="DP2174"/>
      <c r="DQ2174"/>
      <c r="DR2174"/>
      <c r="DS2174"/>
      <c r="DT2174"/>
      <c r="DU2174"/>
      <c r="DV2174"/>
      <c r="DW2174"/>
      <c r="DX2174"/>
      <c r="DY2174"/>
      <c r="DZ2174"/>
      <c r="EA2174"/>
      <c r="EB2174"/>
      <c r="EC2174"/>
      <c r="ED2174"/>
      <c r="EE2174"/>
      <c r="EF2174"/>
      <c r="EG2174"/>
    </row>
    <row r="2175" spans="1:137" s="22" customFormat="1" ht="15" customHeight="1" x14ac:dyDescent="0.3">
      <c r="A2175" s="19"/>
      <c r="B2175" s="21">
        <v>46114</v>
      </c>
      <c r="C2175" s="21" t="s">
        <v>15</v>
      </c>
      <c r="D2175" s="21" t="s">
        <v>29</v>
      </c>
      <c r="E2175" s="21"/>
      <c r="F2175" s="22" t="s">
        <v>450</v>
      </c>
      <c r="G2175" s="252">
        <v>770</v>
      </c>
      <c r="H2175" s="1"/>
      <c r="I2175" s="1">
        <f>COUNTIF(Tabela1[NF],Tabela1[[#This Row],[NF]])</f>
        <v>0</v>
      </c>
      <c r="J2175"/>
      <c r="K2175" s="21">
        <v>46114</v>
      </c>
      <c r="L2175"/>
      <c r="M2175"/>
      <c r="N2175" s="1" t="str" cm="1">
        <f t="array" ref="N2175">_xlfn.XLOOKUP(TRIM(D2175),TRIM(DFC!A:A),DFC!A:A,"NÃO ESTÁ NA DFC")</f>
        <v xml:space="preserve">      FRETE DE SAÍDA</v>
      </c>
      <c r="O2175"/>
      <c r="P2175" s="303"/>
      <c r="Q2175" s="262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  <c r="BF2175"/>
      <c r="BG2175"/>
      <c r="BH2175"/>
      <c r="BI2175"/>
      <c r="BJ2175"/>
      <c r="BK2175"/>
      <c r="BL2175"/>
      <c r="BM2175"/>
      <c r="BN2175"/>
      <c r="BO2175"/>
      <c r="BP2175"/>
      <c r="BQ2175"/>
      <c r="BR2175"/>
      <c r="BS2175"/>
      <c r="BT2175"/>
      <c r="BU2175"/>
      <c r="BV2175"/>
      <c r="BW2175"/>
      <c r="BX2175"/>
      <c r="BY2175"/>
      <c r="BZ2175"/>
      <c r="CA2175"/>
      <c r="CB2175"/>
      <c r="CC2175"/>
      <c r="CD2175"/>
      <c r="CE2175"/>
      <c r="CF2175"/>
      <c r="CG2175"/>
      <c r="CH2175"/>
      <c r="CI2175"/>
      <c r="CJ2175"/>
      <c r="CK2175"/>
      <c r="CL2175"/>
      <c r="CM2175"/>
      <c r="CN2175"/>
      <c r="CO2175"/>
      <c r="CP2175"/>
      <c r="CQ2175"/>
      <c r="CR2175"/>
      <c r="CS2175"/>
      <c r="CT2175"/>
      <c r="CU2175"/>
      <c r="CV2175"/>
      <c r="CW2175"/>
      <c r="CX2175"/>
      <c r="CY2175"/>
      <c r="CZ2175"/>
      <c r="DA2175"/>
      <c r="DB2175"/>
      <c r="DC2175"/>
      <c r="DD2175"/>
      <c r="DE2175"/>
      <c r="DF2175"/>
      <c r="DG2175"/>
      <c r="DH2175"/>
      <c r="DI2175"/>
      <c r="DJ2175"/>
      <c r="DK2175"/>
      <c r="DL2175"/>
      <c r="DM2175"/>
      <c r="DN2175"/>
      <c r="DO2175"/>
      <c r="DP2175"/>
      <c r="DQ2175"/>
      <c r="DR2175"/>
      <c r="DS2175"/>
      <c r="DT2175"/>
      <c r="DU2175"/>
      <c r="DV2175"/>
      <c r="DW2175"/>
      <c r="DX2175"/>
      <c r="DY2175"/>
      <c r="DZ2175"/>
      <c r="EA2175"/>
      <c r="EB2175"/>
      <c r="EC2175"/>
      <c r="ED2175"/>
      <c r="EE2175"/>
      <c r="EF2175"/>
      <c r="EG2175"/>
    </row>
    <row r="2176" spans="1:137" s="22" customFormat="1" ht="15" customHeight="1" x14ac:dyDescent="0.3">
      <c r="A2176" s="19"/>
      <c r="B2176" s="21">
        <v>46114</v>
      </c>
      <c r="C2176" s="21" t="s">
        <v>15</v>
      </c>
      <c r="D2176" s="350" t="s">
        <v>29</v>
      </c>
      <c r="E2176" s="21"/>
      <c r="F2176" s="22" t="s">
        <v>168</v>
      </c>
      <c r="G2176" s="252">
        <v>195</v>
      </c>
      <c r="H2176" s="1"/>
      <c r="I2176" s="1">
        <f>COUNTIF(Tabela1[NF],Tabela1[[#This Row],[NF]])</f>
        <v>0</v>
      </c>
      <c r="J2176"/>
      <c r="K2176" s="21">
        <v>46114</v>
      </c>
      <c r="L2176"/>
      <c r="M2176"/>
      <c r="N2176" s="1" t="str" cm="1">
        <f t="array" ref="N2176">_xlfn.XLOOKUP(TRIM(D2176),TRIM(DFC!A:A),DFC!A:A,"NÃO ESTÁ NA DFC")</f>
        <v xml:space="preserve">      FRETE DE SAÍDA</v>
      </c>
      <c r="O2176"/>
      <c r="P2176" s="303"/>
      <c r="Q2176" s="262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  <c r="BH2176"/>
      <c r="BI2176"/>
      <c r="BJ2176"/>
      <c r="BK2176"/>
      <c r="BL2176"/>
      <c r="BM2176"/>
      <c r="BN2176"/>
      <c r="BO2176"/>
      <c r="BP2176"/>
      <c r="BQ2176"/>
      <c r="BR2176"/>
      <c r="BS2176"/>
      <c r="BT2176"/>
      <c r="BU2176"/>
      <c r="BV2176"/>
      <c r="BW2176"/>
      <c r="BX2176"/>
      <c r="BY2176"/>
      <c r="BZ2176"/>
      <c r="CA2176"/>
      <c r="CB2176"/>
      <c r="CC2176"/>
      <c r="CD2176"/>
      <c r="CE2176"/>
      <c r="CF2176"/>
      <c r="CG2176"/>
      <c r="CH2176"/>
      <c r="CI2176"/>
      <c r="CJ2176"/>
      <c r="CK2176"/>
      <c r="CL2176"/>
      <c r="CM2176"/>
      <c r="CN2176"/>
      <c r="CO2176"/>
      <c r="CP2176"/>
      <c r="CQ2176"/>
      <c r="CR2176"/>
      <c r="CS2176"/>
      <c r="CT2176"/>
      <c r="CU2176"/>
      <c r="CV2176"/>
      <c r="CW2176"/>
      <c r="CX2176"/>
      <c r="CY2176"/>
      <c r="CZ2176"/>
      <c r="DA2176"/>
      <c r="DB2176"/>
      <c r="DC2176"/>
      <c r="DD2176"/>
      <c r="DE2176"/>
      <c r="DF2176"/>
      <c r="DG2176"/>
      <c r="DH2176"/>
      <c r="DI2176"/>
      <c r="DJ2176"/>
      <c r="DK2176"/>
      <c r="DL2176"/>
      <c r="DM2176"/>
      <c r="DN2176"/>
      <c r="DO2176"/>
      <c r="DP2176"/>
      <c r="DQ2176"/>
      <c r="DR2176"/>
      <c r="DS2176"/>
      <c r="DT2176"/>
      <c r="DU2176"/>
      <c r="DV2176"/>
      <c r="DW2176"/>
      <c r="DX2176"/>
      <c r="DY2176"/>
      <c r="DZ2176"/>
      <c r="EA2176"/>
      <c r="EB2176"/>
      <c r="EC2176"/>
      <c r="ED2176"/>
      <c r="EE2176"/>
      <c r="EF2176"/>
      <c r="EG2176"/>
    </row>
    <row r="2177" spans="1:137" s="22" customFormat="1" ht="15" customHeight="1" x14ac:dyDescent="0.3">
      <c r="A2177" s="19"/>
      <c r="B2177" s="21">
        <v>46114</v>
      </c>
      <c r="C2177" s="21" t="s">
        <v>15</v>
      </c>
      <c r="D2177" s="21" t="s">
        <v>29</v>
      </c>
      <c r="E2177" s="21"/>
      <c r="F2177" s="22" t="s">
        <v>450</v>
      </c>
      <c r="G2177" s="252">
        <v>720</v>
      </c>
      <c r="H2177" s="1"/>
      <c r="I2177" s="1">
        <f>COUNTIF(Tabela1[NF],Tabela1[[#This Row],[NF]])</f>
        <v>0</v>
      </c>
      <c r="J2177"/>
      <c r="K2177" s="21">
        <v>46114</v>
      </c>
      <c r="L2177"/>
      <c r="M2177"/>
      <c r="N2177" s="1" t="str" cm="1">
        <f t="array" ref="N2177">_xlfn.XLOOKUP(TRIM(D2177),TRIM(DFC!A:A),DFC!A:A,"NÃO ESTÁ NA DFC")</f>
        <v xml:space="preserve">      FRETE DE SAÍDA</v>
      </c>
      <c r="O2177"/>
      <c r="P2177" s="303"/>
      <c r="Q2177" s="262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  <c r="BF2177"/>
      <c r="BG2177"/>
      <c r="BH2177"/>
      <c r="BI2177"/>
      <c r="BJ2177"/>
      <c r="BK2177"/>
      <c r="BL2177"/>
      <c r="BM2177"/>
      <c r="BN2177"/>
      <c r="BO2177"/>
      <c r="BP2177"/>
      <c r="BQ2177"/>
      <c r="BR2177"/>
      <c r="BS2177"/>
      <c r="BT2177"/>
      <c r="BU2177"/>
      <c r="BV2177"/>
      <c r="BW2177"/>
      <c r="BX2177"/>
      <c r="BY2177"/>
      <c r="BZ2177"/>
      <c r="CA2177"/>
      <c r="CB2177"/>
      <c r="CC2177"/>
      <c r="CD2177"/>
      <c r="CE2177"/>
      <c r="CF2177"/>
      <c r="CG2177"/>
      <c r="CH2177"/>
      <c r="CI2177"/>
      <c r="CJ2177"/>
      <c r="CK2177"/>
      <c r="CL2177"/>
      <c r="CM2177"/>
      <c r="CN2177"/>
      <c r="CO2177"/>
      <c r="CP2177"/>
      <c r="CQ2177"/>
      <c r="CR2177"/>
      <c r="CS2177"/>
      <c r="CT2177"/>
      <c r="CU2177"/>
      <c r="CV2177"/>
      <c r="CW2177"/>
      <c r="CX2177"/>
      <c r="CY2177"/>
      <c r="CZ2177"/>
      <c r="DA2177"/>
      <c r="DB2177"/>
      <c r="DC2177"/>
      <c r="DD2177"/>
      <c r="DE2177"/>
      <c r="DF2177"/>
      <c r="DG2177"/>
      <c r="DH2177"/>
      <c r="DI2177"/>
      <c r="DJ2177"/>
      <c r="DK2177"/>
      <c r="DL2177"/>
      <c r="DM2177"/>
      <c r="DN2177"/>
      <c r="DO2177"/>
      <c r="DP2177"/>
      <c r="DQ2177"/>
      <c r="DR2177"/>
      <c r="DS2177"/>
      <c r="DT2177"/>
      <c r="DU2177"/>
      <c r="DV2177"/>
      <c r="DW2177"/>
      <c r="DX2177"/>
      <c r="DY2177"/>
      <c r="DZ2177"/>
      <c r="EA2177"/>
      <c r="EB2177"/>
      <c r="EC2177"/>
      <c r="ED2177"/>
      <c r="EE2177"/>
      <c r="EF2177"/>
      <c r="EG2177"/>
    </row>
    <row r="2178" spans="1:137" s="22" customFormat="1" ht="15" customHeight="1" x14ac:dyDescent="0.3">
      <c r="A2178" s="19"/>
      <c r="B2178" s="21">
        <v>46114</v>
      </c>
      <c r="C2178" s="21" t="s">
        <v>15</v>
      </c>
      <c r="D2178" s="350" t="s">
        <v>82</v>
      </c>
      <c r="E2178" s="21"/>
      <c r="F2178" s="22" t="s">
        <v>710</v>
      </c>
      <c r="G2178" s="252">
        <v>400</v>
      </c>
      <c r="H2178" s="1"/>
      <c r="I2178" s="1">
        <f>COUNTIF(Tabela1[NF],Tabela1[[#This Row],[NF]])</f>
        <v>0</v>
      </c>
      <c r="J2178"/>
      <c r="K2178" s="21">
        <v>46114</v>
      </c>
      <c r="L2178"/>
      <c r="M2178"/>
      <c r="N2178" s="1" t="str" cm="1">
        <f t="array" ref="N2178">_xlfn.XLOOKUP(TRIM(D2178),TRIM(DFC!A:A),DFC!A:A,"NÃO ESTÁ NA DFC")</f>
        <v xml:space="preserve">          DIÁRIAS</v>
      </c>
      <c r="O2178"/>
      <c r="P2178" s="303"/>
      <c r="Q2178" s="262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  <c r="BF2178"/>
      <c r="BG2178"/>
      <c r="BH2178"/>
      <c r="BI2178"/>
      <c r="BJ2178"/>
      <c r="BK2178"/>
      <c r="BL2178"/>
      <c r="BM2178"/>
      <c r="BN2178"/>
      <c r="BO2178"/>
      <c r="BP2178"/>
      <c r="BQ2178"/>
      <c r="BR2178"/>
      <c r="BS2178"/>
      <c r="BT2178"/>
      <c r="BU2178"/>
      <c r="BV2178"/>
      <c r="BW2178"/>
      <c r="BX2178"/>
      <c r="BY2178"/>
      <c r="BZ2178"/>
      <c r="CA2178"/>
      <c r="CB2178"/>
      <c r="CC2178"/>
      <c r="CD2178"/>
      <c r="CE2178"/>
      <c r="CF2178"/>
      <c r="CG2178"/>
      <c r="CH2178"/>
      <c r="CI2178"/>
      <c r="CJ2178"/>
      <c r="CK2178"/>
      <c r="CL2178"/>
      <c r="CM2178"/>
      <c r="CN2178"/>
      <c r="CO2178"/>
      <c r="CP2178"/>
      <c r="CQ2178"/>
      <c r="CR2178"/>
      <c r="CS2178"/>
      <c r="CT2178"/>
      <c r="CU2178"/>
      <c r="CV2178"/>
      <c r="CW2178"/>
      <c r="CX2178"/>
      <c r="CY2178"/>
      <c r="CZ2178"/>
      <c r="DA2178"/>
      <c r="DB2178"/>
      <c r="DC2178"/>
      <c r="DD2178"/>
      <c r="DE2178"/>
      <c r="DF2178"/>
      <c r="DG2178"/>
      <c r="DH2178"/>
      <c r="DI2178"/>
      <c r="DJ2178"/>
      <c r="DK2178"/>
      <c r="DL2178"/>
      <c r="DM2178"/>
      <c r="DN2178"/>
      <c r="DO2178"/>
      <c r="DP2178"/>
      <c r="DQ2178"/>
      <c r="DR2178"/>
      <c r="DS2178"/>
      <c r="DT2178"/>
      <c r="DU2178"/>
      <c r="DV2178"/>
      <c r="DW2178"/>
      <c r="DX2178"/>
      <c r="DY2178"/>
      <c r="DZ2178"/>
      <c r="EA2178"/>
      <c r="EB2178"/>
      <c r="EC2178"/>
      <c r="ED2178"/>
      <c r="EE2178"/>
      <c r="EF2178"/>
      <c r="EG2178"/>
    </row>
    <row r="2179" spans="1:137" s="22" customFormat="1" ht="15" customHeight="1" x14ac:dyDescent="0.3">
      <c r="A2179" s="19">
        <v>158827</v>
      </c>
      <c r="B2179" s="21">
        <v>46114</v>
      </c>
      <c r="C2179" s="21" t="s">
        <v>15</v>
      </c>
      <c r="D2179" s="21" t="s">
        <v>19</v>
      </c>
      <c r="E2179" s="21"/>
      <c r="F2179" s="22" t="s">
        <v>228</v>
      </c>
      <c r="G2179" s="252">
        <v>19184.13</v>
      </c>
      <c r="H2179" s="1"/>
      <c r="I2179" s="1">
        <f>COUNTIF(Tabela1[NF],Tabela1[[#This Row],[NF]])</f>
        <v>1</v>
      </c>
      <c r="J2179"/>
      <c r="K2179" s="21">
        <v>46114</v>
      </c>
      <c r="L2179"/>
      <c r="M2179"/>
      <c r="N2179" s="1" t="str" cm="1">
        <f t="array" ref="N2179">_xlfn.XLOOKUP(TRIM(D2179),TRIM(DFC!A:A),DFC!A:A,"NÃO ESTÁ NA DFC")</f>
        <v xml:space="preserve">      PEÇAS</v>
      </c>
      <c r="O2179"/>
      <c r="P2179" s="303"/>
      <c r="Q2179" s="262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  <c r="BH2179"/>
      <c r="BI2179"/>
      <c r="BJ2179"/>
      <c r="BK2179"/>
      <c r="BL2179"/>
      <c r="BM2179"/>
      <c r="BN2179"/>
      <c r="BO2179"/>
      <c r="BP2179"/>
      <c r="BQ2179"/>
      <c r="BR2179"/>
      <c r="BS2179"/>
      <c r="BT2179"/>
      <c r="BU2179"/>
      <c r="BV2179"/>
      <c r="BW2179"/>
      <c r="BX2179"/>
      <c r="BY2179"/>
      <c r="BZ2179"/>
      <c r="CA2179"/>
      <c r="CB2179"/>
      <c r="CC2179"/>
      <c r="CD2179"/>
      <c r="CE2179"/>
      <c r="CF2179"/>
      <c r="CG2179"/>
      <c r="CH2179"/>
      <c r="CI2179"/>
      <c r="CJ2179"/>
      <c r="CK2179"/>
      <c r="CL2179"/>
      <c r="CM2179"/>
      <c r="CN2179"/>
      <c r="CO2179"/>
      <c r="CP2179"/>
      <c r="CQ2179"/>
      <c r="CR2179"/>
      <c r="CS2179"/>
      <c r="CT2179"/>
      <c r="CU2179"/>
      <c r="CV2179"/>
      <c r="CW2179"/>
      <c r="CX2179"/>
      <c r="CY2179"/>
      <c r="CZ2179"/>
      <c r="DA2179"/>
      <c r="DB2179"/>
      <c r="DC2179"/>
      <c r="DD2179"/>
      <c r="DE2179"/>
      <c r="DF2179"/>
      <c r="DG2179"/>
      <c r="DH2179"/>
      <c r="DI2179"/>
      <c r="DJ2179"/>
      <c r="DK2179"/>
      <c r="DL2179"/>
      <c r="DM2179"/>
      <c r="DN2179"/>
      <c r="DO2179"/>
      <c r="DP2179"/>
      <c r="DQ2179"/>
      <c r="DR2179"/>
      <c r="DS2179"/>
      <c r="DT2179"/>
      <c r="DU2179"/>
      <c r="DV2179"/>
      <c r="DW2179"/>
      <c r="DX2179"/>
      <c r="DY2179"/>
      <c r="DZ2179"/>
      <c r="EA2179"/>
      <c r="EB2179"/>
      <c r="EC2179"/>
      <c r="ED2179"/>
      <c r="EE2179"/>
      <c r="EF2179"/>
      <c r="EG2179"/>
    </row>
    <row r="2180" spans="1:137" s="22" customFormat="1" ht="15" customHeight="1" x14ac:dyDescent="0.3">
      <c r="A2180" s="19">
        <v>167</v>
      </c>
      <c r="B2180" s="21">
        <v>46114</v>
      </c>
      <c r="C2180" s="21" t="s">
        <v>15</v>
      </c>
      <c r="D2180" s="21" t="s">
        <v>19</v>
      </c>
      <c r="E2180" s="21" t="s">
        <v>573</v>
      </c>
      <c r="F2180" s="22" t="s">
        <v>483</v>
      </c>
      <c r="G2180" s="252">
        <v>2728.65</v>
      </c>
      <c r="H2180" s="1"/>
      <c r="I2180" s="1">
        <f>COUNTIF(Tabela1[NF],Tabela1[[#This Row],[NF]])</f>
        <v>1</v>
      </c>
      <c r="J2180"/>
      <c r="K2180" s="21">
        <v>46114</v>
      </c>
      <c r="L2180"/>
      <c r="M2180"/>
      <c r="N2180" s="1" t="str" cm="1">
        <f t="array" ref="N2180">_xlfn.XLOOKUP(TRIM(D2180),TRIM(DFC!A:A),DFC!A:A,"NÃO ESTÁ NA DFC")</f>
        <v xml:space="preserve">      PEÇAS</v>
      </c>
      <c r="O2180"/>
      <c r="P2180" s="303"/>
      <c r="Q2180" s="262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  <c r="BK2180"/>
      <c r="BL2180"/>
      <c r="BM2180"/>
      <c r="BN2180"/>
      <c r="BO2180"/>
      <c r="BP2180"/>
      <c r="BQ2180"/>
      <c r="BR2180"/>
      <c r="BS2180"/>
      <c r="BT2180"/>
      <c r="BU2180"/>
      <c r="BV2180"/>
      <c r="BW2180"/>
      <c r="BX2180"/>
      <c r="BY2180"/>
      <c r="BZ2180"/>
      <c r="CA2180"/>
      <c r="CB2180"/>
      <c r="CC2180"/>
      <c r="CD2180"/>
      <c r="CE2180"/>
      <c r="CF2180"/>
      <c r="CG2180"/>
      <c r="CH2180"/>
      <c r="CI2180"/>
      <c r="CJ2180"/>
      <c r="CK2180"/>
      <c r="CL2180"/>
      <c r="CM2180"/>
      <c r="CN2180"/>
      <c r="CO2180"/>
      <c r="CP2180"/>
      <c r="CQ2180"/>
      <c r="CR2180"/>
      <c r="CS2180"/>
      <c r="CT2180"/>
      <c r="CU2180"/>
      <c r="CV2180"/>
      <c r="CW2180"/>
      <c r="CX2180"/>
      <c r="CY2180"/>
      <c r="CZ2180"/>
      <c r="DA2180"/>
      <c r="DB2180"/>
      <c r="DC2180"/>
      <c r="DD2180"/>
      <c r="DE2180"/>
      <c r="DF2180"/>
      <c r="DG2180"/>
      <c r="DH2180"/>
      <c r="DI2180"/>
      <c r="DJ2180"/>
      <c r="DK2180"/>
      <c r="DL2180"/>
      <c r="DM2180"/>
      <c r="DN2180"/>
      <c r="DO2180"/>
      <c r="DP2180"/>
      <c r="DQ2180"/>
      <c r="DR2180"/>
      <c r="DS2180"/>
      <c r="DT2180"/>
      <c r="DU2180"/>
      <c r="DV2180"/>
      <c r="DW2180"/>
      <c r="DX2180"/>
      <c r="DY2180"/>
      <c r="DZ2180"/>
      <c r="EA2180"/>
      <c r="EB2180"/>
      <c r="EC2180"/>
      <c r="ED2180"/>
      <c r="EE2180"/>
      <c r="EF2180"/>
      <c r="EG2180"/>
    </row>
    <row r="2181" spans="1:137" s="22" customFormat="1" ht="15" customHeight="1" x14ac:dyDescent="0.3">
      <c r="A2181" s="19">
        <v>237</v>
      </c>
      <c r="B2181" s="21">
        <v>46114</v>
      </c>
      <c r="C2181" s="21" t="s">
        <v>15</v>
      </c>
      <c r="D2181" s="21" t="s">
        <v>29</v>
      </c>
      <c r="E2181" s="21"/>
      <c r="F2181" s="22" t="s">
        <v>699</v>
      </c>
      <c r="G2181" s="252">
        <v>88.4</v>
      </c>
      <c r="H2181" s="1"/>
      <c r="I2181" s="1">
        <f>COUNTIF(Tabela1[NF],Tabela1[[#This Row],[NF]])</f>
        <v>2</v>
      </c>
      <c r="J2181"/>
      <c r="K2181" s="21">
        <v>46114</v>
      </c>
      <c r="L2181"/>
      <c r="M2181"/>
      <c r="N2181" s="1" t="str" cm="1">
        <f t="array" ref="N2181">_xlfn.XLOOKUP(TRIM(D2181),TRIM(DFC!A:A),DFC!A:A,"NÃO ESTÁ NA DFC")</f>
        <v xml:space="preserve">      FRETE DE SAÍDA</v>
      </c>
      <c r="O2181"/>
      <c r="P2181" s="303"/>
      <c r="Q2181" s="262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  <c r="BF2181"/>
      <c r="BG2181"/>
      <c r="BH2181"/>
      <c r="BI2181"/>
      <c r="BJ2181"/>
      <c r="BK2181"/>
      <c r="BL2181"/>
      <c r="BM2181"/>
      <c r="BN2181"/>
      <c r="BO2181"/>
      <c r="BP2181"/>
      <c r="BQ2181"/>
      <c r="BR2181"/>
      <c r="BS2181"/>
      <c r="BT2181"/>
      <c r="BU2181"/>
      <c r="BV2181"/>
      <c r="BW2181"/>
      <c r="BX2181"/>
      <c r="BY2181"/>
      <c r="BZ2181"/>
      <c r="CA2181"/>
      <c r="CB2181"/>
      <c r="CC2181"/>
      <c r="CD2181"/>
      <c r="CE2181"/>
      <c r="CF2181"/>
      <c r="CG2181"/>
      <c r="CH2181"/>
      <c r="CI2181"/>
      <c r="CJ2181"/>
      <c r="CK2181"/>
      <c r="CL2181"/>
      <c r="CM2181"/>
      <c r="CN2181"/>
      <c r="CO2181"/>
      <c r="CP2181"/>
      <c r="CQ2181"/>
      <c r="CR2181"/>
      <c r="CS2181"/>
      <c r="CT2181"/>
      <c r="CU2181"/>
      <c r="CV2181"/>
      <c r="CW2181"/>
      <c r="CX2181"/>
      <c r="CY2181"/>
      <c r="CZ2181"/>
      <c r="DA2181"/>
      <c r="DB2181"/>
      <c r="DC2181"/>
      <c r="DD2181"/>
      <c r="DE2181"/>
      <c r="DF2181"/>
      <c r="DG2181"/>
      <c r="DH2181"/>
      <c r="DI2181"/>
      <c r="DJ2181"/>
      <c r="DK2181"/>
      <c r="DL2181"/>
      <c r="DM2181"/>
      <c r="DN2181"/>
      <c r="DO2181"/>
      <c r="DP2181"/>
      <c r="DQ2181"/>
      <c r="DR2181"/>
      <c r="DS2181"/>
      <c r="DT2181"/>
      <c r="DU2181"/>
      <c r="DV2181"/>
      <c r="DW2181"/>
      <c r="DX2181"/>
      <c r="DY2181"/>
      <c r="DZ2181"/>
      <c r="EA2181"/>
      <c r="EB2181"/>
      <c r="EC2181"/>
      <c r="ED2181"/>
      <c r="EE2181"/>
      <c r="EF2181"/>
      <c r="EG2181"/>
    </row>
    <row r="2182" spans="1:137" s="22" customFormat="1" ht="15" customHeight="1" x14ac:dyDescent="0.3">
      <c r="A2182" s="19">
        <v>237</v>
      </c>
      <c r="B2182" s="21">
        <v>46114</v>
      </c>
      <c r="C2182" s="21" t="s">
        <v>15</v>
      </c>
      <c r="D2182" s="21" t="s">
        <v>29</v>
      </c>
      <c r="E2182" s="21"/>
      <c r="F2182" s="22" t="s">
        <v>699</v>
      </c>
      <c r="G2182" s="252">
        <v>88.2</v>
      </c>
      <c r="H2182" s="1"/>
      <c r="I2182" s="1">
        <f>COUNTIF(Tabela1[NF],Tabela1[[#This Row],[NF]])</f>
        <v>2</v>
      </c>
      <c r="J2182"/>
      <c r="K2182" s="21">
        <v>46114</v>
      </c>
      <c r="L2182"/>
      <c r="M2182"/>
      <c r="N2182" s="1" t="str" cm="1">
        <f t="array" ref="N2182">_xlfn.XLOOKUP(TRIM(D2182),TRIM(DFC!A:A),DFC!A:A,"NÃO ESTÁ NA DFC")</f>
        <v xml:space="preserve">      FRETE DE SAÍDA</v>
      </c>
      <c r="O2182"/>
      <c r="P2182" s="303"/>
      <c r="Q2182" s="26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/>
      <c r="BK2182"/>
      <c r="BL2182"/>
      <c r="BM2182"/>
      <c r="BN2182"/>
      <c r="BO2182"/>
      <c r="BP2182"/>
      <c r="BQ2182"/>
      <c r="BR2182"/>
      <c r="BS2182"/>
      <c r="BT2182"/>
      <c r="BU2182"/>
      <c r="BV2182"/>
      <c r="BW2182"/>
      <c r="BX2182"/>
      <c r="BY2182"/>
      <c r="BZ2182"/>
      <c r="CA2182"/>
      <c r="CB2182"/>
      <c r="CC2182"/>
      <c r="CD2182"/>
      <c r="CE2182"/>
      <c r="CF2182"/>
      <c r="CG2182"/>
      <c r="CH2182"/>
      <c r="CI2182"/>
      <c r="CJ2182"/>
      <c r="CK2182"/>
      <c r="CL2182"/>
      <c r="CM2182"/>
      <c r="CN2182"/>
      <c r="CO2182"/>
      <c r="CP2182"/>
      <c r="CQ2182"/>
      <c r="CR2182"/>
      <c r="CS2182"/>
      <c r="CT2182"/>
      <c r="CU2182"/>
      <c r="CV2182"/>
      <c r="CW2182"/>
      <c r="CX2182"/>
      <c r="CY2182"/>
      <c r="CZ2182"/>
      <c r="DA2182"/>
      <c r="DB2182"/>
      <c r="DC2182"/>
      <c r="DD2182"/>
      <c r="DE2182"/>
      <c r="DF2182"/>
      <c r="DG2182"/>
      <c r="DH2182"/>
      <c r="DI2182"/>
      <c r="DJ2182"/>
      <c r="DK2182"/>
      <c r="DL2182"/>
      <c r="DM2182"/>
      <c r="DN2182"/>
      <c r="DO2182"/>
      <c r="DP2182"/>
      <c r="DQ2182"/>
      <c r="DR2182"/>
      <c r="DS2182"/>
      <c r="DT2182"/>
      <c r="DU2182"/>
      <c r="DV2182"/>
      <c r="DW2182"/>
      <c r="DX2182"/>
      <c r="DY2182"/>
      <c r="DZ2182"/>
      <c r="EA2182"/>
      <c r="EB2182"/>
      <c r="EC2182"/>
      <c r="ED2182"/>
      <c r="EE2182"/>
      <c r="EF2182"/>
      <c r="EG2182"/>
    </row>
    <row r="2183" spans="1:137" s="85" customFormat="1" ht="15" customHeight="1" x14ac:dyDescent="0.3">
      <c r="A2183" s="19"/>
      <c r="B2183" s="84">
        <v>46118</v>
      </c>
      <c r="C2183" s="84" t="s">
        <v>15</v>
      </c>
      <c r="D2183" s="21" t="s">
        <v>137</v>
      </c>
      <c r="E2183" s="84"/>
      <c r="F2183" s="85" t="s">
        <v>323</v>
      </c>
      <c r="G2183" s="252">
        <v>1960</v>
      </c>
      <c r="H2183" s="1"/>
      <c r="I2183" s="1">
        <f>COUNTIF(Tabela1[NF],Tabela1[[#This Row],[NF]])</f>
        <v>0</v>
      </c>
      <c r="J2183"/>
      <c r="K2183" s="84">
        <v>46118</v>
      </c>
      <c r="L2183"/>
      <c r="M2183"/>
      <c r="N2183" s="1" t="str" cm="1">
        <f t="array" ref="N2183">_xlfn.XLOOKUP(TRIM(D2183),TRIM(DFC!A:A),DFC!A:A,"NÃO ESTÁ NA DFC")</f>
        <v xml:space="preserve">          TICKET ALIMENTAÇÃO</v>
      </c>
      <c r="O2183"/>
      <c r="P2183" s="303"/>
      <c r="Q2183" s="262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  <c r="BK2183"/>
      <c r="BL2183"/>
      <c r="BM2183"/>
      <c r="BN2183"/>
      <c r="BO2183"/>
      <c r="BP2183"/>
      <c r="BQ2183"/>
      <c r="BR2183"/>
      <c r="BS2183"/>
      <c r="BT2183"/>
      <c r="BU2183"/>
      <c r="BV2183"/>
      <c r="BW2183"/>
      <c r="BX2183"/>
      <c r="BY2183"/>
      <c r="BZ2183"/>
      <c r="CA2183"/>
      <c r="CB2183"/>
      <c r="CC2183"/>
      <c r="CD2183"/>
      <c r="CE2183"/>
      <c r="CF2183"/>
      <c r="CG2183"/>
      <c r="CH2183"/>
      <c r="CI2183"/>
      <c r="CJ2183"/>
      <c r="CK2183"/>
      <c r="CL2183"/>
      <c r="CM2183"/>
      <c r="CN2183"/>
      <c r="CO2183"/>
      <c r="CP2183"/>
      <c r="CQ2183"/>
      <c r="CR2183"/>
      <c r="CS2183"/>
      <c r="CT2183"/>
      <c r="CU2183"/>
      <c r="CV2183"/>
      <c r="CW2183"/>
      <c r="CX2183"/>
      <c r="CY2183"/>
      <c r="CZ2183"/>
      <c r="DA2183"/>
      <c r="DB2183"/>
      <c r="DC2183"/>
      <c r="DD2183"/>
      <c r="DE2183"/>
      <c r="DF2183"/>
      <c r="DG2183"/>
      <c r="DH2183"/>
      <c r="DI2183"/>
      <c r="DJ2183"/>
      <c r="DK2183"/>
      <c r="DL2183"/>
      <c r="DM2183"/>
      <c r="DN2183"/>
      <c r="DO2183"/>
      <c r="DP2183"/>
      <c r="DQ2183"/>
      <c r="DR2183"/>
      <c r="DS2183"/>
      <c r="DT2183"/>
      <c r="DU2183"/>
      <c r="DV2183"/>
      <c r="DW2183"/>
      <c r="DX2183"/>
      <c r="DY2183"/>
      <c r="DZ2183"/>
      <c r="EA2183"/>
      <c r="EB2183"/>
      <c r="EC2183"/>
      <c r="ED2183"/>
      <c r="EE2183"/>
      <c r="EF2183"/>
      <c r="EG2183"/>
    </row>
    <row r="2184" spans="1:137" s="85" customFormat="1" ht="15" customHeight="1" x14ac:dyDescent="0.3">
      <c r="A2184" s="19"/>
      <c r="B2184" s="21">
        <v>46118</v>
      </c>
      <c r="C2184" s="21" t="s">
        <v>15</v>
      </c>
      <c r="D2184" s="21" t="s">
        <v>137</v>
      </c>
      <c r="E2184" s="21"/>
      <c r="F2184" s="22" t="s">
        <v>696</v>
      </c>
      <c r="G2184" s="252">
        <v>280</v>
      </c>
      <c r="H2184" s="1"/>
      <c r="I2184" s="1">
        <f>COUNTIF(Tabela1[NF],Tabela1[[#This Row],[NF]])</f>
        <v>0</v>
      </c>
      <c r="J2184"/>
      <c r="K2184" s="21">
        <v>46118</v>
      </c>
      <c r="L2184"/>
      <c r="M2184"/>
      <c r="N2184" s="1" t="str" cm="1">
        <f t="array" ref="N2184">_xlfn.XLOOKUP(TRIM(D2184),TRIM(DFC!A:A),DFC!A:A,"NÃO ESTÁ NA DFC")</f>
        <v xml:space="preserve">          TICKET ALIMENTAÇÃO</v>
      </c>
      <c r="O2184"/>
      <c r="P2184" s="303"/>
      <c r="Q2184" s="262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  <c r="BK2184"/>
      <c r="BL2184"/>
      <c r="BM2184"/>
      <c r="BN2184"/>
      <c r="BO2184"/>
      <c r="BP2184"/>
      <c r="BQ2184"/>
      <c r="BR2184"/>
      <c r="BS2184"/>
      <c r="BT2184"/>
      <c r="BU2184"/>
      <c r="BV2184"/>
      <c r="BW2184"/>
      <c r="BX2184"/>
      <c r="BY2184"/>
      <c r="BZ2184"/>
      <c r="CA2184"/>
      <c r="CB2184"/>
      <c r="CC2184"/>
      <c r="CD2184"/>
      <c r="CE2184"/>
      <c r="CF2184"/>
      <c r="CG2184"/>
      <c r="CH2184"/>
      <c r="CI2184"/>
      <c r="CJ2184"/>
      <c r="CK2184"/>
      <c r="CL2184"/>
      <c r="CM2184"/>
      <c r="CN2184"/>
      <c r="CO2184"/>
      <c r="CP2184"/>
      <c r="CQ2184"/>
      <c r="CR2184"/>
      <c r="CS2184"/>
      <c r="CT2184"/>
      <c r="CU2184"/>
      <c r="CV2184"/>
      <c r="CW2184"/>
      <c r="CX2184"/>
      <c r="CY2184"/>
      <c r="CZ2184"/>
      <c r="DA2184"/>
      <c r="DB2184"/>
      <c r="DC2184"/>
      <c r="DD2184"/>
      <c r="DE2184"/>
      <c r="DF2184"/>
      <c r="DG2184"/>
      <c r="DH2184"/>
      <c r="DI2184"/>
      <c r="DJ2184"/>
      <c r="DK2184"/>
      <c r="DL2184"/>
      <c r="DM2184"/>
      <c r="DN2184"/>
      <c r="DO2184"/>
      <c r="DP2184"/>
      <c r="DQ2184"/>
      <c r="DR2184"/>
      <c r="DS2184"/>
      <c r="DT2184"/>
      <c r="DU2184"/>
      <c r="DV2184"/>
      <c r="DW2184"/>
      <c r="DX2184"/>
      <c r="DY2184"/>
      <c r="DZ2184"/>
      <c r="EA2184"/>
      <c r="EB2184"/>
      <c r="EC2184"/>
      <c r="ED2184"/>
      <c r="EE2184"/>
      <c r="EF2184"/>
      <c r="EG2184"/>
    </row>
    <row r="2185" spans="1:137" s="85" customFormat="1" ht="15" customHeight="1" x14ac:dyDescent="0.3">
      <c r="A2185" s="19"/>
      <c r="B2185" s="84">
        <v>46118</v>
      </c>
      <c r="C2185" s="84" t="s">
        <v>15</v>
      </c>
      <c r="D2185" s="91" t="s">
        <v>111</v>
      </c>
      <c r="E2185" s="84"/>
      <c r="F2185" s="85" t="s">
        <v>843</v>
      </c>
      <c r="G2185" s="252">
        <v>6422.8</v>
      </c>
      <c r="H2185" s="1"/>
      <c r="I2185" s="1">
        <f>COUNTIF(Tabela1[NF],Tabela1[[#This Row],[NF]])</f>
        <v>0</v>
      </c>
      <c r="J2185"/>
      <c r="K2185" s="84">
        <v>46118</v>
      </c>
      <c r="L2185"/>
      <c r="M2185"/>
      <c r="N2185" s="1" t="str" cm="1">
        <f t="array" ref="N2185">_xlfn.XLOOKUP(TRIM(D2185),TRIM(DFC!A:A),DFC!A:A,"NÃO ESTÁ NA DFC")</f>
        <v xml:space="preserve">          TX. BANCÁRIA</v>
      </c>
      <c r="O2185"/>
      <c r="P2185" s="303"/>
      <c r="Q2185" s="262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  <c r="BK2185"/>
      <c r="BL2185"/>
      <c r="BM2185"/>
      <c r="BN2185"/>
      <c r="BO2185"/>
      <c r="BP2185"/>
      <c r="BQ2185"/>
      <c r="BR2185"/>
      <c r="BS2185"/>
      <c r="BT2185"/>
      <c r="BU2185"/>
      <c r="BV2185"/>
      <c r="BW2185"/>
      <c r="BX2185"/>
      <c r="BY2185"/>
      <c r="BZ2185"/>
      <c r="CA2185"/>
      <c r="CB2185"/>
      <c r="CC2185"/>
      <c r="CD2185"/>
      <c r="CE2185"/>
      <c r="CF2185"/>
      <c r="CG2185"/>
      <c r="CH2185"/>
      <c r="CI2185"/>
      <c r="CJ2185"/>
      <c r="CK2185"/>
      <c r="CL2185"/>
      <c r="CM2185"/>
      <c r="CN2185"/>
      <c r="CO2185"/>
      <c r="CP2185"/>
      <c r="CQ2185"/>
      <c r="CR2185"/>
      <c r="CS2185"/>
      <c r="CT2185"/>
      <c r="CU2185"/>
      <c r="CV2185"/>
      <c r="CW2185"/>
      <c r="CX2185"/>
      <c r="CY2185"/>
      <c r="CZ2185"/>
      <c r="DA2185"/>
      <c r="DB2185"/>
      <c r="DC2185"/>
      <c r="DD2185"/>
      <c r="DE2185"/>
      <c r="DF2185"/>
      <c r="DG2185"/>
      <c r="DH2185"/>
      <c r="DI2185"/>
      <c r="DJ2185"/>
      <c r="DK2185"/>
      <c r="DL2185"/>
      <c r="DM2185"/>
      <c r="DN2185"/>
      <c r="DO2185"/>
      <c r="DP2185"/>
      <c r="DQ2185"/>
      <c r="DR2185"/>
      <c r="DS2185"/>
      <c r="DT2185"/>
      <c r="DU2185"/>
      <c r="DV2185"/>
      <c r="DW2185"/>
      <c r="DX2185"/>
      <c r="DY2185"/>
      <c r="DZ2185"/>
      <c r="EA2185"/>
      <c r="EB2185"/>
      <c r="EC2185"/>
      <c r="ED2185"/>
      <c r="EE2185"/>
      <c r="EF2185"/>
      <c r="EG2185"/>
    </row>
    <row r="2186" spans="1:137" s="85" customFormat="1" ht="15" customHeight="1" x14ac:dyDescent="0.3">
      <c r="A2186" s="19"/>
      <c r="B2186" s="84">
        <v>46118</v>
      </c>
      <c r="C2186" s="84" t="s">
        <v>15</v>
      </c>
      <c r="D2186" s="91" t="s">
        <v>111</v>
      </c>
      <c r="E2186" s="84"/>
      <c r="F2186" s="85" t="s">
        <v>844</v>
      </c>
      <c r="G2186" s="252">
        <v>862.84</v>
      </c>
      <c r="H2186" s="1"/>
      <c r="I2186" s="1">
        <f>COUNTIF(Tabela1[NF],Tabela1[[#This Row],[NF]])</f>
        <v>0</v>
      </c>
      <c r="J2186"/>
      <c r="K2186" s="84">
        <v>46118</v>
      </c>
      <c r="L2186"/>
      <c r="M2186"/>
      <c r="N2186" s="1" t="str" cm="1">
        <f t="array" ref="N2186">_xlfn.XLOOKUP(TRIM(D2186),TRIM(DFC!A:A),DFC!A:A,"NÃO ESTÁ NA DFC")</f>
        <v xml:space="preserve">          TX. BANCÁRIA</v>
      </c>
      <c r="O2186"/>
      <c r="P2186" s="303"/>
      <c r="Q2186" s="262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  <c r="BF2186"/>
      <c r="BG2186"/>
      <c r="BH2186"/>
      <c r="BI2186"/>
      <c r="BJ2186"/>
      <c r="BK2186"/>
      <c r="BL2186"/>
      <c r="BM2186"/>
      <c r="BN2186"/>
      <c r="BO2186"/>
      <c r="BP2186"/>
      <c r="BQ2186"/>
      <c r="BR2186"/>
      <c r="BS2186"/>
      <c r="BT2186"/>
      <c r="BU2186"/>
      <c r="BV2186"/>
      <c r="BW2186"/>
      <c r="BX2186"/>
      <c r="BY2186"/>
      <c r="BZ2186"/>
      <c r="CA2186"/>
      <c r="CB2186"/>
      <c r="CC2186"/>
      <c r="CD2186"/>
      <c r="CE2186"/>
      <c r="CF2186"/>
      <c r="CG2186"/>
      <c r="CH2186"/>
      <c r="CI2186"/>
      <c r="CJ2186"/>
      <c r="CK2186"/>
      <c r="CL2186"/>
      <c r="CM2186"/>
      <c r="CN2186"/>
      <c r="CO2186"/>
      <c r="CP2186"/>
      <c r="CQ2186"/>
      <c r="CR2186"/>
      <c r="CS2186"/>
      <c r="CT2186"/>
      <c r="CU2186"/>
      <c r="CV2186"/>
      <c r="CW2186"/>
      <c r="CX2186"/>
      <c r="CY2186"/>
      <c r="CZ2186"/>
      <c r="DA2186"/>
      <c r="DB2186"/>
      <c r="DC2186"/>
      <c r="DD2186"/>
      <c r="DE2186"/>
      <c r="DF2186"/>
      <c r="DG2186"/>
      <c r="DH2186"/>
      <c r="DI2186"/>
      <c r="DJ2186"/>
      <c r="DK2186"/>
      <c r="DL2186"/>
      <c r="DM2186"/>
      <c r="DN2186"/>
      <c r="DO2186"/>
      <c r="DP2186"/>
      <c r="DQ2186"/>
      <c r="DR2186"/>
      <c r="DS2186"/>
      <c r="DT2186"/>
      <c r="DU2186"/>
      <c r="DV2186"/>
      <c r="DW2186"/>
      <c r="DX2186"/>
      <c r="DY2186"/>
      <c r="DZ2186"/>
      <c r="EA2186"/>
      <c r="EB2186"/>
      <c r="EC2186"/>
      <c r="ED2186"/>
      <c r="EE2186"/>
      <c r="EF2186"/>
      <c r="EG2186"/>
    </row>
    <row r="2187" spans="1:137" s="85" customFormat="1" ht="15" customHeight="1" x14ac:dyDescent="0.3">
      <c r="A2187" s="19"/>
      <c r="B2187" s="84">
        <v>46118</v>
      </c>
      <c r="C2187" s="84" t="s">
        <v>15</v>
      </c>
      <c r="D2187" s="84" t="s">
        <v>111</v>
      </c>
      <c r="E2187" s="84"/>
      <c r="F2187" s="85" t="s">
        <v>845</v>
      </c>
      <c r="G2187" s="252">
        <v>750</v>
      </c>
      <c r="H2187" s="1"/>
      <c r="I2187" s="1">
        <f>COUNTIF(Tabela1[NF],Tabela1[[#This Row],[NF]])</f>
        <v>0</v>
      </c>
      <c r="J2187"/>
      <c r="K2187" s="84">
        <v>46118</v>
      </c>
      <c r="L2187"/>
      <c r="M2187"/>
      <c r="N2187" s="1" t="str" cm="1">
        <f t="array" ref="N2187">_xlfn.XLOOKUP(TRIM(D2187),TRIM(DFC!A:A),DFC!A:A,"NÃO ESTÁ NA DFC")</f>
        <v xml:space="preserve">          TX. BANCÁRIA</v>
      </c>
      <c r="O2187"/>
      <c r="P2187" s="303"/>
      <c r="Q2187" s="262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  <c r="BK2187"/>
      <c r="BL2187"/>
      <c r="BM2187"/>
      <c r="BN2187"/>
      <c r="BO2187"/>
      <c r="BP2187"/>
      <c r="BQ2187"/>
      <c r="BR2187"/>
      <c r="BS2187"/>
      <c r="BT2187"/>
      <c r="BU2187"/>
      <c r="BV2187"/>
      <c r="BW2187"/>
      <c r="BX2187"/>
      <c r="BY2187"/>
      <c r="BZ2187"/>
      <c r="CA2187"/>
      <c r="CB2187"/>
      <c r="CC2187"/>
      <c r="CD2187"/>
      <c r="CE2187"/>
      <c r="CF2187"/>
      <c r="CG2187"/>
      <c r="CH2187"/>
      <c r="CI2187"/>
      <c r="CJ2187"/>
      <c r="CK2187"/>
      <c r="CL2187"/>
      <c r="CM2187"/>
      <c r="CN2187"/>
      <c r="CO2187"/>
      <c r="CP2187"/>
      <c r="CQ2187"/>
      <c r="CR2187"/>
      <c r="CS2187"/>
      <c r="CT2187"/>
      <c r="CU2187"/>
      <c r="CV2187"/>
      <c r="CW2187"/>
      <c r="CX2187"/>
      <c r="CY2187"/>
      <c r="CZ2187"/>
      <c r="DA2187"/>
      <c r="DB2187"/>
      <c r="DC2187"/>
      <c r="DD2187"/>
      <c r="DE2187"/>
      <c r="DF2187"/>
      <c r="DG2187"/>
      <c r="DH2187"/>
      <c r="DI2187"/>
      <c r="DJ2187"/>
      <c r="DK2187"/>
      <c r="DL2187"/>
      <c r="DM2187"/>
      <c r="DN2187"/>
      <c r="DO2187"/>
      <c r="DP2187"/>
      <c r="DQ2187"/>
      <c r="DR2187"/>
      <c r="DS2187"/>
      <c r="DT2187"/>
      <c r="DU2187"/>
      <c r="DV2187"/>
      <c r="DW2187"/>
      <c r="DX2187"/>
      <c r="DY2187"/>
      <c r="DZ2187"/>
      <c r="EA2187"/>
      <c r="EB2187"/>
      <c r="EC2187"/>
      <c r="ED2187"/>
      <c r="EE2187"/>
      <c r="EF2187"/>
      <c r="EG2187"/>
    </row>
    <row r="2188" spans="1:137" s="85" customFormat="1" ht="15" customHeight="1" x14ac:dyDescent="0.3">
      <c r="A2188" s="19"/>
      <c r="B2188" s="84">
        <v>46118</v>
      </c>
      <c r="C2188" s="84" t="s">
        <v>15</v>
      </c>
      <c r="D2188" s="84" t="s">
        <v>846</v>
      </c>
      <c r="E2188" s="84"/>
      <c r="F2188" s="85" t="s">
        <v>847</v>
      </c>
      <c r="G2188" s="252">
        <v>136695.29999999999</v>
      </c>
      <c r="H2188" s="1"/>
      <c r="I2188" s="1">
        <f>COUNTIF(Tabela1[NF],Tabela1[[#This Row],[NF]])</f>
        <v>0</v>
      </c>
      <c r="J2188"/>
      <c r="K2188" s="84">
        <v>46118</v>
      </c>
      <c r="L2188"/>
      <c r="M2188"/>
      <c r="N2188" s="1" t="str" cm="1">
        <f t="array" ref="N2188">_xlfn.XLOOKUP(TRIM(D2188),TRIM(DFC!A:A),DFC!A:A,"NÃO ESTÁ NA DFC")</f>
        <v>NÃO ESTÁ NA DFC</v>
      </c>
      <c r="O2188"/>
      <c r="P2188" s="303"/>
      <c r="Q2188" s="262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  <c r="BK2188"/>
      <c r="BL2188"/>
      <c r="BM2188"/>
      <c r="BN2188"/>
      <c r="BO2188"/>
      <c r="BP2188"/>
      <c r="BQ2188"/>
      <c r="BR2188"/>
      <c r="BS2188"/>
      <c r="BT2188"/>
      <c r="BU2188"/>
      <c r="BV2188"/>
      <c r="BW2188"/>
      <c r="BX2188"/>
      <c r="BY2188"/>
      <c r="BZ2188"/>
      <c r="CA2188"/>
      <c r="CB2188"/>
      <c r="CC2188"/>
      <c r="CD2188"/>
      <c r="CE2188"/>
      <c r="CF2188"/>
      <c r="CG2188"/>
      <c r="CH2188"/>
      <c r="CI2188"/>
      <c r="CJ2188"/>
      <c r="CK2188"/>
      <c r="CL2188"/>
      <c r="CM2188"/>
      <c r="CN2188"/>
      <c r="CO2188"/>
      <c r="CP2188"/>
      <c r="CQ2188"/>
      <c r="CR2188"/>
      <c r="CS2188"/>
      <c r="CT2188"/>
      <c r="CU2188"/>
      <c r="CV2188"/>
      <c r="CW2188"/>
      <c r="CX2188"/>
      <c r="CY2188"/>
      <c r="CZ2188"/>
      <c r="DA2188"/>
      <c r="DB2188"/>
      <c r="DC2188"/>
      <c r="DD2188"/>
      <c r="DE2188"/>
      <c r="DF2188"/>
      <c r="DG2188"/>
      <c r="DH2188"/>
      <c r="DI2188"/>
      <c r="DJ2188"/>
      <c r="DK2188"/>
      <c r="DL2188"/>
      <c r="DM2188"/>
      <c r="DN2188"/>
      <c r="DO2188"/>
      <c r="DP2188"/>
      <c r="DQ2188"/>
      <c r="DR2188"/>
      <c r="DS2188"/>
      <c r="DT2188"/>
      <c r="DU2188"/>
      <c r="DV2188"/>
      <c r="DW2188"/>
      <c r="DX2188"/>
      <c r="DY2188"/>
      <c r="DZ2188"/>
      <c r="EA2188"/>
      <c r="EB2188"/>
      <c r="EC2188"/>
      <c r="ED2188"/>
      <c r="EE2188"/>
      <c r="EF2188"/>
      <c r="EG2188"/>
    </row>
    <row r="2189" spans="1:137" s="85" customFormat="1" ht="15" customHeight="1" x14ac:dyDescent="0.3">
      <c r="A2189" s="19"/>
      <c r="B2189" s="84">
        <v>46118</v>
      </c>
      <c r="C2189" s="84" t="s">
        <v>15</v>
      </c>
      <c r="D2189" s="84" t="s">
        <v>846</v>
      </c>
      <c r="E2189" s="84"/>
      <c r="F2189" s="85" t="s">
        <v>848</v>
      </c>
      <c r="G2189" s="252">
        <v>84000</v>
      </c>
      <c r="H2189" s="1"/>
      <c r="I2189" s="1">
        <f>COUNTIF(Tabela1[NF],Tabela1[[#This Row],[NF]])</f>
        <v>0</v>
      </c>
      <c r="J2189"/>
      <c r="K2189" s="84">
        <v>46118</v>
      </c>
      <c r="L2189"/>
      <c r="M2189"/>
      <c r="N2189" s="1" t="str" cm="1">
        <f t="array" ref="N2189">_xlfn.XLOOKUP(TRIM(D2189),TRIM(DFC!A:A),DFC!A:A,"NÃO ESTÁ NA DFC")</f>
        <v>NÃO ESTÁ NA DFC</v>
      </c>
      <c r="O2189"/>
      <c r="P2189" s="303"/>
      <c r="Q2189" s="262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  <c r="BF2189"/>
      <c r="BG2189"/>
      <c r="BH2189"/>
      <c r="BI2189"/>
      <c r="BJ2189"/>
      <c r="BK2189"/>
      <c r="BL2189"/>
      <c r="BM2189"/>
      <c r="BN2189"/>
      <c r="BO2189"/>
      <c r="BP2189"/>
      <c r="BQ2189"/>
      <c r="BR2189"/>
      <c r="BS2189"/>
      <c r="BT2189"/>
      <c r="BU2189"/>
      <c r="BV2189"/>
      <c r="BW2189"/>
      <c r="BX2189"/>
      <c r="BY2189"/>
      <c r="BZ2189"/>
      <c r="CA2189"/>
      <c r="CB2189"/>
      <c r="CC2189"/>
      <c r="CD2189"/>
      <c r="CE2189"/>
      <c r="CF2189"/>
      <c r="CG2189"/>
      <c r="CH2189"/>
      <c r="CI2189"/>
      <c r="CJ2189"/>
      <c r="CK2189"/>
      <c r="CL2189"/>
      <c r="CM2189"/>
      <c r="CN2189"/>
      <c r="CO2189"/>
      <c r="CP2189"/>
      <c r="CQ2189"/>
      <c r="CR2189"/>
      <c r="CS2189"/>
      <c r="CT2189"/>
      <c r="CU2189"/>
      <c r="CV2189"/>
      <c r="CW2189"/>
      <c r="CX2189"/>
      <c r="CY2189"/>
      <c r="CZ2189"/>
      <c r="DA2189"/>
      <c r="DB2189"/>
      <c r="DC2189"/>
      <c r="DD2189"/>
      <c r="DE2189"/>
      <c r="DF2189"/>
      <c r="DG2189"/>
      <c r="DH2189"/>
      <c r="DI2189"/>
      <c r="DJ2189"/>
      <c r="DK2189"/>
      <c r="DL2189"/>
      <c r="DM2189"/>
      <c r="DN2189"/>
      <c r="DO2189"/>
      <c r="DP2189"/>
      <c r="DQ2189"/>
      <c r="DR2189"/>
      <c r="DS2189"/>
      <c r="DT2189"/>
      <c r="DU2189"/>
      <c r="DV2189"/>
      <c r="DW2189"/>
      <c r="DX2189"/>
      <c r="DY2189"/>
      <c r="DZ2189"/>
      <c r="EA2189"/>
      <c r="EB2189"/>
      <c r="EC2189"/>
      <c r="ED2189"/>
      <c r="EE2189"/>
      <c r="EF2189"/>
      <c r="EG2189"/>
    </row>
    <row r="2190" spans="1:137" s="85" customFormat="1" ht="15" customHeight="1" x14ac:dyDescent="0.3">
      <c r="A2190" s="19"/>
      <c r="B2190" s="84">
        <v>46118</v>
      </c>
      <c r="C2190" s="84" t="s">
        <v>15</v>
      </c>
      <c r="D2190" s="21" t="s">
        <v>156</v>
      </c>
      <c r="E2190" s="84"/>
      <c r="F2190" s="85" t="s">
        <v>314</v>
      </c>
      <c r="G2190" s="252">
        <v>2947.5</v>
      </c>
      <c r="H2190" s="1"/>
      <c r="I2190" s="1">
        <f>COUNTIF(Tabela1[NF],Tabela1[[#This Row],[NF]])</f>
        <v>0</v>
      </c>
      <c r="J2190"/>
      <c r="K2190" s="84">
        <v>46118</v>
      </c>
      <c r="L2190"/>
      <c r="M2190"/>
      <c r="N2190" s="1" t="str" cm="1">
        <f t="array" ref="N2190">_xlfn.XLOOKUP(TRIM(D2190),TRIM(DFC!A:A),DFC!A:A,"NÃO ESTÁ NA DFC")</f>
        <v xml:space="preserve">      MONTAGEM DE RODAS</v>
      </c>
      <c r="O2190"/>
      <c r="P2190" s="303"/>
      <c r="Q2190" s="262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  <c r="BK2190"/>
      <c r="BL2190"/>
      <c r="BM2190"/>
      <c r="BN2190"/>
      <c r="BO2190"/>
      <c r="BP2190"/>
      <c r="BQ2190"/>
      <c r="BR2190"/>
      <c r="BS2190"/>
      <c r="BT2190"/>
      <c r="BU2190"/>
      <c r="BV2190"/>
      <c r="BW2190"/>
      <c r="BX2190"/>
      <c r="BY2190"/>
      <c r="BZ2190"/>
      <c r="CA2190"/>
      <c r="CB2190"/>
      <c r="CC2190"/>
      <c r="CD2190"/>
      <c r="CE2190"/>
      <c r="CF2190"/>
      <c r="CG2190"/>
      <c r="CH2190"/>
      <c r="CI2190"/>
      <c r="CJ2190"/>
      <c r="CK2190"/>
      <c r="CL2190"/>
      <c r="CM2190"/>
      <c r="CN2190"/>
      <c r="CO2190"/>
      <c r="CP2190"/>
      <c r="CQ2190"/>
      <c r="CR2190"/>
      <c r="CS2190"/>
      <c r="CT2190"/>
      <c r="CU2190"/>
      <c r="CV2190"/>
      <c r="CW2190"/>
      <c r="CX2190"/>
      <c r="CY2190"/>
      <c r="CZ2190"/>
      <c r="DA2190"/>
      <c r="DB2190"/>
      <c r="DC2190"/>
      <c r="DD2190"/>
      <c r="DE2190"/>
      <c r="DF2190"/>
      <c r="DG2190"/>
      <c r="DH2190"/>
      <c r="DI2190"/>
      <c r="DJ2190"/>
      <c r="DK2190"/>
      <c r="DL2190"/>
      <c r="DM2190"/>
      <c r="DN2190"/>
      <c r="DO2190"/>
      <c r="DP2190"/>
      <c r="DQ2190"/>
      <c r="DR2190"/>
      <c r="DS2190"/>
      <c r="DT2190"/>
      <c r="DU2190"/>
      <c r="DV2190"/>
      <c r="DW2190"/>
      <c r="DX2190"/>
      <c r="DY2190"/>
      <c r="DZ2190"/>
      <c r="EA2190"/>
      <c r="EB2190"/>
      <c r="EC2190"/>
      <c r="ED2190"/>
      <c r="EE2190"/>
      <c r="EF2190"/>
      <c r="EG2190"/>
    </row>
    <row r="2191" spans="1:137" s="85" customFormat="1" ht="15" customHeight="1" x14ac:dyDescent="0.3">
      <c r="A2191" s="19"/>
      <c r="B2191" s="84">
        <v>46118</v>
      </c>
      <c r="C2191" s="84" t="s">
        <v>15</v>
      </c>
      <c r="D2191" s="21" t="s">
        <v>82</v>
      </c>
      <c r="E2191" s="84"/>
      <c r="F2191" s="85" t="s">
        <v>411</v>
      </c>
      <c r="G2191" s="252">
        <v>360</v>
      </c>
      <c r="H2191" s="1"/>
      <c r="I2191" s="1">
        <f>COUNTIF(Tabela1[NF],Tabela1[[#This Row],[NF]])</f>
        <v>0</v>
      </c>
      <c r="J2191"/>
      <c r="K2191" s="84">
        <v>46118</v>
      </c>
      <c r="L2191"/>
      <c r="M2191"/>
      <c r="N2191" s="1" t="str" cm="1">
        <f t="array" ref="N2191">_xlfn.XLOOKUP(TRIM(D2191),TRIM(DFC!A:A),DFC!A:A,"NÃO ESTÁ NA DFC")</f>
        <v xml:space="preserve">          DIÁRIAS</v>
      </c>
      <c r="O2191"/>
      <c r="P2191" s="303"/>
      <c r="Q2191" s="262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  <c r="BK2191"/>
      <c r="BL2191"/>
      <c r="BM2191"/>
      <c r="BN2191"/>
      <c r="BO2191"/>
      <c r="BP2191"/>
      <c r="BQ2191"/>
      <c r="BR2191"/>
      <c r="BS2191"/>
      <c r="BT2191"/>
      <c r="BU2191"/>
      <c r="BV2191"/>
      <c r="BW2191"/>
      <c r="BX2191"/>
      <c r="BY2191"/>
      <c r="BZ2191"/>
      <c r="CA2191"/>
      <c r="CB2191"/>
      <c r="CC2191"/>
      <c r="CD2191"/>
      <c r="CE2191"/>
      <c r="CF2191"/>
      <c r="CG2191"/>
      <c r="CH2191"/>
      <c r="CI2191"/>
      <c r="CJ2191"/>
      <c r="CK2191"/>
      <c r="CL2191"/>
      <c r="CM2191"/>
      <c r="CN2191"/>
      <c r="CO2191"/>
      <c r="CP2191"/>
      <c r="CQ2191"/>
      <c r="CR2191"/>
      <c r="CS2191"/>
      <c r="CT2191"/>
      <c r="CU2191"/>
      <c r="CV2191"/>
      <c r="CW2191"/>
      <c r="CX2191"/>
      <c r="CY2191"/>
      <c r="CZ2191"/>
      <c r="DA2191"/>
      <c r="DB2191"/>
      <c r="DC2191"/>
      <c r="DD2191"/>
      <c r="DE2191"/>
      <c r="DF2191"/>
      <c r="DG2191"/>
      <c r="DH2191"/>
      <c r="DI2191"/>
      <c r="DJ2191"/>
      <c r="DK2191"/>
      <c r="DL2191"/>
      <c r="DM2191"/>
      <c r="DN2191"/>
      <c r="DO2191"/>
      <c r="DP2191"/>
      <c r="DQ2191"/>
      <c r="DR2191"/>
      <c r="DS2191"/>
      <c r="DT2191"/>
      <c r="DU2191"/>
      <c r="DV2191"/>
      <c r="DW2191"/>
      <c r="DX2191"/>
      <c r="DY2191"/>
      <c r="DZ2191"/>
      <c r="EA2191"/>
      <c r="EB2191"/>
      <c r="EC2191"/>
      <c r="ED2191"/>
      <c r="EE2191"/>
      <c r="EF2191"/>
      <c r="EG2191"/>
    </row>
    <row r="2192" spans="1:137" s="85" customFormat="1" ht="15" customHeight="1" x14ac:dyDescent="0.3">
      <c r="A2192" s="19">
        <v>163170</v>
      </c>
      <c r="B2192" s="84">
        <v>46118</v>
      </c>
      <c r="C2192" s="84" t="s">
        <v>15</v>
      </c>
      <c r="D2192" s="21" t="s">
        <v>19</v>
      </c>
      <c r="E2192" s="84"/>
      <c r="F2192" s="85" t="s">
        <v>228</v>
      </c>
      <c r="G2192" s="252">
        <v>1933.39</v>
      </c>
      <c r="H2192" s="1"/>
      <c r="I2192" s="1">
        <f>COUNTIF(Tabela1[NF],Tabela1[[#This Row],[NF]])</f>
        <v>1</v>
      </c>
      <c r="J2192"/>
      <c r="K2192" s="84">
        <v>46118</v>
      </c>
      <c r="L2192"/>
      <c r="M2192"/>
      <c r="N2192" s="1" t="str" cm="1">
        <f t="array" ref="N2192">_xlfn.XLOOKUP(TRIM(D2192),TRIM(DFC!A:A),DFC!A:A,"NÃO ESTÁ NA DFC")</f>
        <v xml:space="preserve">      PEÇAS</v>
      </c>
      <c r="O2192"/>
      <c r="P2192" s="303"/>
      <c r="Q2192" s="26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  <c r="BK2192"/>
      <c r="BL2192"/>
      <c r="BM2192"/>
      <c r="BN2192"/>
      <c r="BO2192"/>
      <c r="BP2192"/>
      <c r="BQ2192"/>
      <c r="BR2192"/>
      <c r="BS2192"/>
      <c r="BT2192"/>
      <c r="BU2192"/>
      <c r="BV2192"/>
      <c r="BW2192"/>
      <c r="BX2192"/>
      <c r="BY2192"/>
      <c r="BZ2192"/>
      <c r="CA2192"/>
      <c r="CB2192"/>
      <c r="CC2192"/>
      <c r="CD2192"/>
      <c r="CE2192"/>
      <c r="CF2192"/>
      <c r="CG2192"/>
      <c r="CH2192"/>
      <c r="CI2192"/>
      <c r="CJ2192"/>
      <c r="CK2192"/>
      <c r="CL2192"/>
      <c r="CM2192"/>
      <c r="CN2192"/>
      <c r="CO2192"/>
      <c r="CP2192"/>
      <c r="CQ2192"/>
      <c r="CR2192"/>
      <c r="CS2192"/>
      <c r="CT2192"/>
      <c r="CU2192"/>
      <c r="CV2192"/>
      <c r="CW2192"/>
      <c r="CX2192"/>
      <c r="CY2192"/>
      <c r="CZ2192"/>
      <c r="DA2192"/>
      <c r="DB2192"/>
      <c r="DC2192"/>
      <c r="DD2192"/>
      <c r="DE2192"/>
      <c r="DF2192"/>
      <c r="DG2192"/>
      <c r="DH2192"/>
      <c r="DI2192"/>
      <c r="DJ2192"/>
      <c r="DK2192"/>
      <c r="DL2192"/>
      <c r="DM2192"/>
      <c r="DN2192"/>
      <c r="DO2192"/>
      <c r="DP2192"/>
      <c r="DQ2192"/>
      <c r="DR2192"/>
      <c r="DS2192"/>
      <c r="DT2192"/>
      <c r="DU2192"/>
      <c r="DV2192"/>
      <c r="DW2192"/>
      <c r="DX2192"/>
      <c r="DY2192"/>
      <c r="DZ2192"/>
      <c r="EA2192"/>
      <c r="EB2192"/>
      <c r="EC2192"/>
      <c r="ED2192"/>
      <c r="EE2192"/>
      <c r="EF2192"/>
      <c r="EG2192"/>
    </row>
    <row r="2193" spans="1:137" s="85" customFormat="1" ht="15" customHeight="1" x14ac:dyDescent="0.3">
      <c r="A2193" s="477">
        <v>1077489</v>
      </c>
      <c r="B2193" s="84">
        <v>46118</v>
      </c>
      <c r="C2193" s="84" t="s">
        <v>15</v>
      </c>
      <c r="D2193" s="21" t="s">
        <v>19</v>
      </c>
      <c r="E2193" s="84"/>
      <c r="F2193" s="85" t="s">
        <v>132</v>
      </c>
      <c r="G2193" s="252">
        <v>5789.1</v>
      </c>
      <c r="H2193" s="1"/>
      <c r="I2193" s="1">
        <f>COUNTIF(Tabela1[NF],Tabela1[[#This Row],[NF]])</f>
        <v>1</v>
      </c>
      <c r="J2193"/>
      <c r="K2193" s="84">
        <v>46118</v>
      </c>
      <c r="L2193"/>
      <c r="M2193"/>
      <c r="N2193" s="1" t="str" cm="1">
        <f t="array" ref="N2193">_xlfn.XLOOKUP(TRIM(D2193),TRIM(DFC!A:A),DFC!A:A,"NÃO ESTÁ NA DFC")</f>
        <v xml:space="preserve">      PEÇAS</v>
      </c>
      <c r="O2193"/>
      <c r="P2193" s="303"/>
      <c r="Q2193" s="262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  <c r="BK2193"/>
      <c r="BL2193"/>
      <c r="BM2193"/>
      <c r="BN2193"/>
      <c r="BO2193"/>
      <c r="BP2193"/>
      <c r="BQ2193"/>
      <c r="BR2193"/>
      <c r="BS2193"/>
      <c r="BT2193"/>
      <c r="BU2193"/>
      <c r="BV2193"/>
      <c r="BW2193"/>
      <c r="BX2193"/>
      <c r="BY2193"/>
      <c r="BZ2193"/>
      <c r="CA2193"/>
      <c r="CB2193"/>
      <c r="CC2193"/>
      <c r="CD2193"/>
      <c r="CE2193"/>
      <c r="CF2193"/>
      <c r="CG2193"/>
      <c r="CH2193"/>
      <c r="CI2193"/>
      <c r="CJ2193"/>
      <c r="CK2193"/>
      <c r="CL2193"/>
      <c r="CM2193"/>
      <c r="CN2193"/>
      <c r="CO2193"/>
      <c r="CP2193"/>
      <c r="CQ2193"/>
      <c r="CR2193"/>
      <c r="CS2193"/>
      <c r="CT2193"/>
      <c r="CU2193"/>
      <c r="CV2193"/>
      <c r="CW2193"/>
      <c r="CX2193"/>
      <c r="CY2193"/>
      <c r="CZ2193"/>
      <c r="DA2193"/>
      <c r="DB2193"/>
      <c r="DC2193"/>
      <c r="DD2193"/>
      <c r="DE2193"/>
      <c r="DF2193"/>
      <c r="DG2193"/>
      <c r="DH2193"/>
      <c r="DI2193"/>
      <c r="DJ2193"/>
      <c r="DK2193"/>
      <c r="DL2193"/>
      <c r="DM2193"/>
      <c r="DN2193"/>
      <c r="DO2193"/>
      <c r="DP2193"/>
      <c r="DQ2193"/>
      <c r="DR2193"/>
      <c r="DS2193"/>
      <c r="DT2193"/>
      <c r="DU2193"/>
      <c r="DV2193"/>
      <c r="DW2193"/>
      <c r="DX2193"/>
      <c r="DY2193"/>
      <c r="DZ2193"/>
      <c r="EA2193"/>
      <c r="EB2193"/>
      <c r="EC2193"/>
      <c r="ED2193"/>
      <c r="EE2193"/>
      <c r="EF2193"/>
      <c r="EG2193"/>
    </row>
    <row r="2194" spans="1:137" s="85" customFormat="1" ht="15" customHeight="1" x14ac:dyDescent="0.3">
      <c r="A2194" s="19">
        <v>160028</v>
      </c>
      <c r="B2194" s="84">
        <v>46118</v>
      </c>
      <c r="C2194" s="84" t="s">
        <v>15</v>
      </c>
      <c r="D2194" s="21" t="s">
        <v>19</v>
      </c>
      <c r="E2194" s="84"/>
      <c r="F2194" s="85" t="s">
        <v>301</v>
      </c>
      <c r="G2194" s="252">
        <v>2002.27</v>
      </c>
      <c r="H2194" s="1"/>
      <c r="I2194" s="1">
        <f>COUNTIF(Tabela1[NF],Tabela1[[#This Row],[NF]])</f>
        <v>1</v>
      </c>
      <c r="J2194"/>
      <c r="K2194" s="84">
        <v>46118</v>
      </c>
      <c r="L2194"/>
      <c r="M2194"/>
      <c r="N2194" s="1" t="str" cm="1">
        <f t="array" ref="N2194">_xlfn.XLOOKUP(TRIM(D2194),TRIM(DFC!A:A),DFC!A:A,"NÃO ESTÁ NA DFC")</f>
        <v xml:space="preserve">      PEÇAS</v>
      </c>
      <c r="O2194"/>
      <c r="P2194" s="303"/>
      <c r="Q2194" s="262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/>
      <c r="BM2194"/>
      <c r="BN2194"/>
      <c r="BO2194"/>
      <c r="BP2194"/>
      <c r="BQ2194"/>
      <c r="BR2194"/>
      <c r="BS2194"/>
      <c r="BT2194"/>
      <c r="BU2194"/>
      <c r="BV2194"/>
      <c r="BW2194"/>
      <c r="BX2194"/>
      <c r="BY2194"/>
      <c r="BZ2194"/>
      <c r="CA2194"/>
      <c r="CB2194"/>
      <c r="CC2194"/>
      <c r="CD2194"/>
      <c r="CE2194"/>
      <c r="CF2194"/>
      <c r="CG2194"/>
      <c r="CH2194"/>
      <c r="CI2194"/>
      <c r="CJ2194"/>
      <c r="CK2194"/>
      <c r="CL2194"/>
      <c r="CM2194"/>
      <c r="CN2194"/>
      <c r="CO2194"/>
      <c r="CP2194"/>
      <c r="CQ2194"/>
      <c r="CR2194"/>
      <c r="CS2194"/>
      <c r="CT2194"/>
      <c r="CU2194"/>
      <c r="CV2194"/>
      <c r="CW2194"/>
      <c r="CX2194"/>
      <c r="CY2194"/>
      <c r="CZ2194"/>
      <c r="DA2194"/>
      <c r="DB2194"/>
      <c r="DC2194"/>
      <c r="DD2194"/>
      <c r="DE2194"/>
      <c r="DF2194"/>
      <c r="DG2194"/>
      <c r="DH2194"/>
      <c r="DI2194"/>
      <c r="DJ2194"/>
      <c r="DK2194"/>
      <c r="DL2194"/>
      <c r="DM2194"/>
      <c r="DN2194"/>
      <c r="DO2194"/>
      <c r="DP2194"/>
      <c r="DQ2194"/>
      <c r="DR2194"/>
      <c r="DS2194"/>
      <c r="DT2194"/>
      <c r="DU2194"/>
      <c r="DV2194"/>
      <c r="DW2194"/>
      <c r="DX2194"/>
      <c r="DY2194"/>
      <c r="DZ2194"/>
      <c r="EA2194"/>
      <c r="EB2194"/>
      <c r="EC2194"/>
      <c r="ED2194"/>
      <c r="EE2194"/>
      <c r="EF2194"/>
      <c r="EG2194"/>
    </row>
    <row r="2195" spans="1:137" s="85" customFormat="1" ht="15" customHeight="1" x14ac:dyDescent="0.3">
      <c r="A2195" s="19">
        <v>160</v>
      </c>
      <c r="B2195" s="84">
        <v>46118</v>
      </c>
      <c r="C2195" s="84" t="s">
        <v>15</v>
      </c>
      <c r="D2195" s="21" t="s">
        <v>19</v>
      </c>
      <c r="E2195" s="84"/>
      <c r="F2195" s="85" t="s">
        <v>483</v>
      </c>
      <c r="G2195" s="252">
        <v>4377.1899999999996</v>
      </c>
      <c r="H2195" s="1"/>
      <c r="I2195" s="1">
        <f>COUNTIF(Tabela1[NF],Tabela1[[#This Row],[NF]])</f>
        <v>1</v>
      </c>
      <c r="J2195"/>
      <c r="K2195" s="84">
        <v>46118</v>
      </c>
      <c r="L2195"/>
      <c r="M2195"/>
      <c r="N2195" s="1" t="str" cm="1">
        <f t="array" ref="N2195">_xlfn.XLOOKUP(TRIM(D2195),TRIM(DFC!A:A),DFC!A:A,"NÃO ESTÁ NA DFC")</f>
        <v xml:space="preserve">      PEÇAS</v>
      </c>
      <c r="O2195"/>
      <c r="P2195" s="303"/>
      <c r="Q2195" s="262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  <c r="BK2195"/>
      <c r="BL2195"/>
      <c r="BM2195"/>
      <c r="BN2195"/>
      <c r="BO2195"/>
      <c r="BP2195"/>
      <c r="BQ2195"/>
      <c r="BR2195"/>
      <c r="BS2195"/>
      <c r="BT2195"/>
      <c r="BU2195"/>
      <c r="BV2195"/>
      <c r="BW2195"/>
      <c r="BX2195"/>
      <c r="BY2195"/>
      <c r="BZ2195"/>
      <c r="CA2195"/>
      <c r="CB2195"/>
      <c r="CC2195"/>
      <c r="CD2195"/>
      <c r="CE2195"/>
      <c r="CF2195"/>
      <c r="CG2195"/>
      <c r="CH2195"/>
      <c r="CI2195"/>
      <c r="CJ2195"/>
      <c r="CK2195"/>
      <c r="CL2195"/>
      <c r="CM2195"/>
      <c r="CN2195"/>
      <c r="CO2195"/>
      <c r="CP2195"/>
      <c r="CQ2195"/>
      <c r="CR2195"/>
      <c r="CS2195"/>
      <c r="CT2195"/>
      <c r="CU2195"/>
      <c r="CV2195"/>
      <c r="CW2195"/>
      <c r="CX2195"/>
      <c r="CY2195"/>
      <c r="CZ2195"/>
      <c r="DA2195"/>
      <c r="DB2195"/>
      <c r="DC2195"/>
      <c r="DD2195"/>
      <c r="DE2195"/>
      <c r="DF2195"/>
      <c r="DG2195"/>
      <c r="DH2195"/>
      <c r="DI2195"/>
      <c r="DJ2195"/>
      <c r="DK2195"/>
      <c r="DL2195"/>
      <c r="DM2195"/>
      <c r="DN2195"/>
      <c r="DO2195"/>
      <c r="DP2195"/>
      <c r="DQ2195"/>
      <c r="DR2195"/>
      <c r="DS2195"/>
      <c r="DT2195"/>
      <c r="DU2195"/>
      <c r="DV2195"/>
      <c r="DW2195"/>
      <c r="DX2195"/>
      <c r="DY2195"/>
      <c r="DZ2195"/>
      <c r="EA2195"/>
      <c r="EB2195"/>
      <c r="EC2195"/>
      <c r="ED2195"/>
      <c r="EE2195"/>
      <c r="EF2195"/>
      <c r="EG2195"/>
    </row>
    <row r="2196" spans="1:137" s="85" customFormat="1" ht="15" customHeight="1" x14ac:dyDescent="0.3">
      <c r="A2196" s="19">
        <v>341</v>
      </c>
      <c r="B2196" s="84">
        <v>46118</v>
      </c>
      <c r="C2196" s="84" t="s">
        <v>15</v>
      </c>
      <c r="D2196" s="21" t="s">
        <v>29</v>
      </c>
      <c r="E2196" s="84" t="s">
        <v>849</v>
      </c>
      <c r="F2196" s="85" t="s">
        <v>467</v>
      </c>
      <c r="G2196" s="252">
        <v>302.33999999999997</v>
      </c>
      <c r="H2196" s="1"/>
      <c r="I2196" s="1">
        <f>COUNTIF(Tabela1[NF],Tabela1[[#This Row],[NF]])</f>
        <v>2</v>
      </c>
      <c r="J2196"/>
      <c r="K2196" s="84">
        <v>46118</v>
      </c>
      <c r="L2196"/>
      <c r="M2196"/>
      <c r="N2196" s="1" t="str" cm="1">
        <f t="array" ref="N2196">_xlfn.XLOOKUP(TRIM(D2196),TRIM(DFC!A:A),DFC!A:A,"NÃO ESTÁ NA DFC")</f>
        <v xml:space="preserve">      FRETE DE SAÍDA</v>
      </c>
      <c r="O2196"/>
      <c r="P2196" s="303"/>
      <c r="Q2196" s="262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  <c r="BH2196"/>
      <c r="BI2196"/>
      <c r="BJ2196"/>
      <c r="BK2196"/>
      <c r="BL2196"/>
      <c r="BM2196"/>
      <c r="BN2196"/>
      <c r="BO2196"/>
      <c r="BP2196"/>
      <c r="BQ2196"/>
      <c r="BR2196"/>
      <c r="BS2196"/>
      <c r="BT2196"/>
      <c r="BU2196"/>
      <c r="BV2196"/>
      <c r="BW2196"/>
      <c r="BX2196"/>
      <c r="BY2196"/>
      <c r="BZ2196"/>
      <c r="CA2196"/>
      <c r="CB2196"/>
      <c r="CC2196"/>
      <c r="CD2196"/>
      <c r="CE2196"/>
      <c r="CF2196"/>
      <c r="CG2196"/>
      <c r="CH2196"/>
      <c r="CI2196"/>
      <c r="CJ2196"/>
      <c r="CK2196"/>
      <c r="CL2196"/>
      <c r="CM2196"/>
      <c r="CN2196"/>
      <c r="CO2196"/>
      <c r="CP2196"/>
      <c r="CQ2196"/>
      <c r="CR2196"/>
      <c r="CS2196"/>
      <c r="CT2196"/>
      <c r="CU2196"/>
      <c r="CV2196"/>
      <c r="CW2196"/>
      <c r="CX2196"/>
      <c r="CY2196"/>
      <c r="CZ2196"/>
      <c r="DA2196"/>
      <c r="DB2196"/>
      <c r="DC2196"/>
      <c r="DD2196"/>
      <c r="DE2196"/>
      <c r="DF2196"/>
      <c r="DG2196"/>
      <c r="DH2196"/>
      <c r="DI2196"/>
      <c r="DJ2196"/>
      <c r="DK2196"/>
      <c r="DL2196"/>
      <c r="DM2196"/>
      <c r="DN2196"/>
      <c r="DO2196"/>
      <c r="DP2196"/>
      <c r="DQ2196"/>
      <c r="DR2196"/>
      <c r="DS2196"/>
      <c r="DT2196"/>
      <c r="DU2196"/>
      <c r="DV2196"/>
      <c r="DW2196"/>
      <c r="DX2196"/>
      <c r="DY2196"/>
      <c r="DZ2196"/>
      <c r="EA2196"/>
      <c r="EB2196"/>
      <c r="EC2196"/>
      <c r="ED2196"/>
      <c r="EE2196"/>
      <c r="EF2196"/>
      <c r="EG2196"/>
    </row>
    <row r="2197" spans="1:137" s="85" customFormat="1" ht="15" customHeight="1" x14ac:dyDescent="0.3">
      <c r="A2197" s="19">
        <v>75696</v>
      </c>
      <c r="B2197" s="84">
        <v>46118</v>
      </c>
      <c r="C2197" s="84" t="s">
        <v>15</v>
      </c>
      <c r="D2197" s="21" t="s">
        <v>154</v>
      </c>
      <c r="E2197" s="84"/>
      <c r="F2197" s="85" t="s">
        <v>303</v>
      </c>
      <c r="G2197" s="252">
        <v>299.95999999999998</v>
      </c>
      <c r="H2197" s="1"/>
      <c r="I2197" s="1">
        <f>COUNTIF(Tabela1[NF],Tabela1[[#This Row],[NF]])</f>
        <v>1</v>
      </c>
      <c r="J2197"/>
      <c r="K2197" s="84">
        <v>46118</v>
      </c>
      <c r="L2197"/>
      <c r="M2197"/>
      <c r="N2197" s="1" t="str" cm="1">
        <f t="array" ref="N2197">_xlfn.XLOOKUP(TRIM(D2197),TRIM(DFC!A:A),DFC!A:A,"NÃO ESTÁ NA DFC")</f>
        <v xml:space="preserve">      EMBALAGENS</v>
      </c>
      <c r="O2197"/>
      <c r="P2197" s="303"/>
      <c r="Q2197" s="262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  <c r="BK2197"/>
      <c r="BL2197"/>
      <c r="BM2197"/>
      <c r="BN2197"/>
      <c r="BO2197"/>
      <c r="BP2197"/>
      <c r="BQ2197"/>
      <c r="BR2197"/>
      <c r="BS2197"/>
      <c r="BT2197"/>
      <c r="BU2197"/>
      <c r="BV2197"/>
      <c r="BW2197"/>
      <c r="BX2197"/>
      <c r="BY2197"/>
      <c r="BZ2197"/>
      <c r="CA2197"/>
      <c r="CB2197"/>
      <c r="CC2197"/>
      <c r="CD2197"/>
      <c r="CE2197"/>
      <c r="CF2197"/>
      <c r="CG2197"/>
      <c r="CH2197"/>
      <c r="CI2197"/>
      <c r="CJ2197"/>
      <c r="CK2197"/>
      <c r="CL2197"/>
      <c r="CM2197"/>
      <c r="CN2197"/>
      <c r="CO2197"/>
      <c r="CP2197"/>
      <c r="CQ2197"/>
      <c r="CR2197"/>
      <c r="CS2197"/>
      <c r="CT2197"/>
      <c r="CU2197"/>
      <c r="CV2197"/>
      <c r="CW2197"/>
      <c r="CX2197"/>
      <c r="CY2197"/>
      <c r="CZ2197"/>
      <c r="DA2197"/>
      <c r="DB2197"/>
      <c r="DC2197"/>
      <c r="DD2197"/>
      <c r="DE2197"/>
      <c r="DF2197"/>
      <c r="DG2197"/>
      <c r="DH2197"/>
      <c r="DI2197"/>
      <c r="DJ2197"/>
      <c r="DK2197"/>
      <c r="DL2197"/>
      <c r="DM2197"/>
      <c r="DN2197"/>
      <c r="DO2197"/>
      <c r="DP2197"/>
      <c r="DQ2197"/>
      <c r="DR2197"/>
      <c r="DS2197"/>
      <c r="DT2197"/>
      <c r="DU2197"/>
      <c r="DV2197"/>
      <c r="DW2197"/>
      <c r="DX2197"/>
      <c r="DY2197"/>
      <c r="DZ2197"/>
      <c r="EA2197"/>
      <c r="EB2197"/>
      <c r="EC2197"/>
      <c r="ED2197"/>
      <c r="EE2197"/>
      <c r="EF2197"/>
      <c r="EG2197"/>
    </row>
    <row r="2198" spans="1:137" s="85" customFormat="1" ht="15" customHeight="1" x14ac:dyDescent="0.3">
      <c r="A2198" s="19">
        <v>30675</v>
      </c>
      <c r="B2198" s="84">
        <v>46118</v>
      </c>
      <c r="C2198" s="84" t="s">
        <v>15</v>
      </c>
      <c r="D2198" s="21" t="s">
        <v>154</v>
      </c>
      <c r="E2198" s="84"/>
      <c r="F2198" s="85" t="s">
        <v>302</v>
      </c>
      <c r="G2198" s="252">
        <v>3906.98</v>
      </c>
      <c r="H2198" s="1"/>
      <c r="I2198" s="1">
        <f>COUNTIF(Tabela1[NF],Tabela1[[#This Row],[NF]])</f>
        <v>1</v>
      </c>
      <c r="J2198"/>
      <c r="K2198" s="84">
        <v>46118</v>
      </c>
      <c r="L2198"/>
      <c r="M2198"/>
      <c r="N2198" s="1" t="str" cm="1">
        <f t="array" ref="N2198">_xlfn.XLOOKUP(TRIM(D2198),TRIM(DFC!A:A),DFC!A:A,"NÃO ESTÁ NA DFC")</f>
        <v xml:space="preserve">      EMBALAGENS</v>
      </c>
      <c r="O2198"/>
      <c r="P2198" s="303"/>
      <c r="Q2198" s="262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/>
      <c r="BM2198"/>
      <c r="BN2198"/>
      <c r="BO2198"/>
      <c r="BP2198"/>
      <c r="BQ2198"/>
      <c r="BR2198"/>
      <c r="BS2198"/>
      <c r="BT2198"/>
      <c r="BU2198"/>
      <c r="BV2198"/>
      <c r="BW2198"/>
      <c r="BX2198"/>
      <c r="BY2198"/>
      <c r="BZ2198"/>
      <c r="CA2198"/>
      <c r="CB2198"/>
      <c r="CC2198"/>
      <c r="CD2198"/>
      <c r="CE2198"/>
      <c r="CF2198"/>
      <c r="CG2198"/>
      <c r="CH2198"/>
      <c r="CI2198"/>
      <c r="CJ2198"/>
      <c r="CK2198"/>
      <c r="CL2198"/>
      <c r="CM2198"/>
      <c r="CN2198"/>
      <c r="CO2198"/>
      <c r="CP2198"/>
      <c r="CQ2198"/>
      <c r="CR2198"/>
      <c r="CS2198"/>
      <c r="CT2198"/>
      <c r="CU2198"/>
      <c r="CV2198"/>
      <c r="CW2198"/>
      <c r="CX2198"/>
      <c r="CY2198"/>
      <c r="CZ2198"/>
      <c r="DA2198"/>
      <c r="DB2198"/>
      <c r="DC2198"/>
      <c r="DD2198"/>
      <c r="DE2198"/>
      <c r="DF2198"/>
      <c r="DG2198"/>
      <c r="DH2198"/>
      <c r="DI2198"/>
      <c r="DJ2198"/>
      <c r="DK2198"/>
      <c r="DL2198"/>
      <c r="DM2198"/>
      <c r="DN2198"/>
      <c r="DO2198"/>
      <c r="DP2198"/>
      <c r="DQ2198"/>
      <c r="DR2198"/>
      <c r="DS2198"/>
      <c r="DT2198"/>
      <c r="DU2198"/>
      <c r="DV2198"/>
      <c r="DW2198"/>
      <c r="DX2198"/>
      <c r="DY2198"/>
      <c r="DZ2198"/>
      <c r="EA2198"/>
      <c r="EB2198"/>
      <c r="EC2198"/>
      <c r="ED2198"/>
      <c r="EE2198"/>
      <c r="EF2198"/>
      <c r="EG2198"/>
    </row>
    <row r="2199" spans="1:137" s="85" customFormat="1" ht="15" customHeight="1" x14ac:dyDescent="0.3">
      <c r="A2199" s="19">
        <v>10330</v>
      </c>
      <c r="B2199" s="84">
        <v>46118</v>
      </c>
      <c r="C2199" s="84" t="s">
        <v>15</v>
      </c>
      <c r="D2199" s="21" t="s">
        <v>127</v>
      </c>
      <c r="E2199" s="84"/>
      <c r="F2199" s="85" t="s">
        <v>153</v>
      </c>
      <c r="G2199" s="252">
        <v>152</v>
      </c>
      <c r="H2199" s="1"/>
      <c r="I2199" s="1">
        <f>COUNTIF(Tabela1[NF],Tabela1[[#This Row],[NF]])</f>
        <v>1</v>
      </c>
      <c r="J2199"/>
      <c r="K2199" s="84">
        <v>46118</v>
      </c>
      <c r="L2199"/>
      <c r="M2199"/>
      <c r="N2199" s="1" t="str" cm="1">
        <f t="array" ref="N2199">_xlfn.XLOOKUP(TRIM(D2199),TRIM(DFC!A:A),DFC!A:A,"NÃO ESTÁ NA DFC")</f>
        <v xml:space="preserve">          SERVIÇOS DE SEGURANÇA</v>
      </c>
      <c r="O2199"/>
      <c r="P2199" s="303"/>
      <c r="Q2199" s="262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/>
      <c r="BI2199"/>
      <c r="BJ2199"/>
      <c r="BK2199"/>
      <c r="BL2199"/>
      <c r="BM2199"/>
      <c r="BN2199"/>
      <c r="BO2199"/>
      <c r="BP2199"/>
      <c r="BQ2199"/>
      <c r="BR2199"/>
      <c r="BS2199"/>
      <c r="BT2199"/>
      <c r="BU2199"/>
      <c r="BV2199"/>
      <c r="BW2199"/>
      <c r="BX2199"/>
      <c r="BY2199"/>
      <c r="BZ2199"/>
      <c r="CA2199"/>
      <c r="CB2199"/>
      <c r="CC2199"/>
      <c r="CD2199"/>
      <c r="CE2199"/>
      <c r="CF2199"/>
      <c r="CG2199"/>
      <c r="CH2199"/>
      <c r="CI2199"/>
      <c r="CJ2199"/>
      <c r="CK2199"/>
      <c r="CL2199"/>
      <c r="CM2199"/>
      <c r="CN2199"/>
      <c r="CO2199"/>
      <c r="CP2199"/>
      <c r="CQ2199"/>
      <c r="CR2199"/>
      <c r="CS2199"/>
      <c r="CT2199"/>
      <c r="CU2199"/>
      <c r="CV2199"/>
      <c r="CW2199"/>
      <c r="CX2199"/>
      <c r="CY2199"/>
      <c r="CZ2199"/>
      <c r="DA2199"/>
      <c r="DB2199"/>
      <c r="DC2199"/>
      <c r="DD2199"/>
      <c r="DE2199"/>
      <c r="DF2199"/>
      <c r="DG2199"/>
      <c r="DH2199"/>
      <c r="DI2199"/>
      <c r="DJ2199"/>
      <c r="DK2199"/>
      <c r="DL2199"/>
      <c r="DM2199"/>
      <c r="DN2199"/>
      <c r="DO2199"/>
      <c r="DP2199"/>
      <c r="DQ2199"/>
      <c r="DR2199"/>
      <c r="DS2199"/>
      <c r="DT2199"/>
      <c r="DU2199"/>
      <c r="DV2199"/>
      <c r="DW2199"/>
      <c r="DX2199"/>
      <c r="DY2199"/>
      <c r="DZ2199"/>
      <c r="EA2199"/>
      <c r="EB2199"/>
      <c r="EC2199"/>
      <c r="ED2199"/>
      <c r="EE2199"/>
      <c r="EF2199"/>
      <c r="EG2199"/>
    </row>
    <row r="2200" spans="1:137" s="85" customFormat="1" ht="15" customHeight="1" x14ac:dyDescent="0.3">
      <c r="A2200" s="19"/>
      <c r="B2200" s="84">
        <v>46118</v>
      </c>
      <c r="C2200" s="84" t="s">
        <v>15</v>
      </c>
      <c r="D2200" s="21" t="s">
        <v>60</v>
      </c>
      <c r="E2200" s="84" t="s">
        <v>850</v>
      </c>
      <c r="F2200" s="85" t="s">
        <v>147</v>
      </c>
      <c r="G2200" s="252">
        <v>405.65</v>
      </c>
      <c r="H2200" s="1"/>
      <c r="I2200" s="1">
        <f>COUNTIF(Tabela1[NF],Tabela1[[#This Row],[NF]])</f>
        <v>0</v>
      </c>
      <c r="J2200"/>
      <c r="K2200" s="84">
        <v>46118</v>
      </c>
      <c r="L2200"/>
      <c r="M2200"/>
      <c r="N2200" s="1" t="str" cm="1">
        <f t="array" ref="N2200">_xlfn.XLOOKUP(TRIM(D2200),TRIM(DFC!A:A),DFC!A:A,"NÃO ESTÁ NA DFC")</f>
        <v xml:space="preserve">          ALUGUEL</v>
      </c>
      <c r="O2200"/>
      <c r="P2200" s="303"/>
      <c r="Q2200" s="262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  <c r="BN2200"/>
      <c r="BO2200"/>
      <c r="BP2200"/>
      <c r="BQ2200"/>
      <c r="BR2200"/>
      <c r="BS2200"/>
      <c r="BT2200"/>
      <c r="BU2200"/>
      <c r="BV2200"/>
      <c r="BW2200"/>
      <c r="BX2200"/>
      <c r="BY2200"/>
      <c r="BZ2200"/>
      <c r="CA2200"/>
      <c r="CB2200"/>
      <c r="CC2200"/>
      <c r="CD2200"/>
      <c r="CE2200"/>
      <c r="CF2200"/>
      <c r="CG2200"/>
      <c r="CH2200"/>
      <c r="CI2200"/>
      <c r="CJ2200"/>
      <c r="CK2200"/>
      <c r="CL2200"/>
      <c r="CM2200"/>
      <c r="CN2200"/>
      <c r="CO2200"/>
      <c r="CP2200"/>
      <c r="CQ2200"/>
      <c r="CR2200"/>
      <c r="CS2200"/>
      <c r="CT2200"/>
      <c r="CU2200"/>
      <c r="CV2200"/>
      <c r="CW2200"/>
      <c r="CX2200"/>
      <c r="CY2200"/>
      <c r="CZ2200"/>
      <c r="DA2200"/>
      <c r="DB2200"/>
      <c r="DC2200"/>
      <c r="DD2200"/>
      <c r="DE2200"/>
      <c r="DF2200"/>
      <c r="DG2200"/>
      <c r="DH2200"/>
      <c r="DI2200"/>
      <c r="DJ2200"/>
      <c r="DK2200"/>
      <c r="DL2200"/>
      <c r="DM2200"/>
      <c r="DN2200"/>
      <c r="DO2200"/>
      <c r="DP2200"/>
      <c r="DQ2200"/>
      <c r="DR2200"/>
      <c r="DS2200"/>
      <c r="DT2200"/>
      <c r="DU2200"/>
      <c r="DV2200"/>
      <c r="DW2200"/>
      <c r="DX2200"/>
      <c r="DY2200"/>
      <c r="DZ2200"/>
      <c r="EA2200"/>
      <c r="EB2200"/>
      <c r="EC2200"/>
      <c r="ED2200"/>
      <c r="EE2200"/>
      <c r="EF2200"/>
      <c r="EG2200"/>
    </row>
    <row r="2201" spans="1:137" s="85" customFormat="1" ht="15" customHeight="1" x14ac:dyDescent="0.3">
      <c r="A2201" s="19">
        <v>16097</v>
      </c>
      <c r="B2201" s="84">
        <v>46118</v>
      </c>
      <c r="C2201" s="84" t="s">
        <v>15</v>
      </c>
      <c r="D2201" s="21" t="s">
        <v>19</v>
      </c>
      <c r="E2201" s="84"/>
      <c r="F2201" s="85" t="s">
        <v>455</v>
      </c>
      <c r="G2201" s="252">
        <v>7415.63</v>
      </c>
      <c r="H2201" s="1"/>
      <c r="I2201" s="1">
        <f>COUNTIF(Tabela1[NF],Tabela1[[#This Row],[NF]])</f>
        <v>1</v>
      </c>
      <c r="J2201"/>
      <c r="K2201" s="84">
        <v>46118</v>
      </c>
      <c r="L2201"/>
      <c r="M2201"/>
      <c r="N2201" s="1" t="str" cm="1">
        <f t="array" ref="N2201">_xlfn.XLOOKUP(TRIM(D2201),TRIM(DFC!A:A),DFC!A:A,"NÃO ESTÁ NA DFC")</f>
        <v xml:space="preserve">      PEÇAS</v>
      </c>
      <c r="O2201"/>
      <c r="P2201" s="303"/>
      <c r="Q2201" s="262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  <c r="BK2201"/>
      <c r="BL2201"/>
      <c r="BM2201"/>
      <c r="BN2201"/>
      <c r="BO2201"/>
      <c r="BP2201"/>
      <c r="BQ2201"/>
      <c r="BR2201"/>
      <c r="BS2201"/>
      <c r="BT2201"/>
      <c r="BU2201"/>
      <c r="BV2201"/>
      <c r="BW2201"/>
      <c r="BX2201"/>
      <c r="BY2201"/>
      <c r="BZ2201"/>
      <c r="CA2201"/>
      <c r="CB2201"/>
      <c r="CC2201"/>
      <c r="CD2201"/>
      <c r="CE2201"/>
      <c r="CF2201"/>
      <c r="CG2201"/>
      <c r="CH2201"/>
      <c r="CI2201"/>
      <c r="CJ2201"/>
      <c r="CK2201"/>
      <c r="CL2201"/>
      <c r="CM2201"/>
      <c r="CN2201"/>
      <c r="CO2201"/>
      <c r="CP2201"/>
      <c r="CQ2201"/>
      <c r="CR2201"/>
      <c r="CS2201"/>
      <c r="CT2201"/>
      <c r="CU2201"/>
      <c r="CV2201"/>
      <c r="CW2201"/>
      <c r="CX2201"/>
      <c r="CY2201"/>
      <c r="CZ2201"/>
      <c r="DA2201"/>
      <c r="DB2201"/>
      <c r="DC2201"/>
      <c r="DD2201"/>
      <c r="DE2201"/>
      <c r="DF2201"/>
      <c r="DG2201"/>
      <c r="DH2201"/>
      <c r="DI2201"/>
      <c r="DJ2201"/>
      <c r="DK2201"/>
      <c r="DL2201"/>
      <c r="DM2201"/>
      <c r="DN2201"/>
      <c r="DO2201"/>
      <c r="DP2201"/>
      <c r="DQ2201"/>
      <c r="DR2201"/>
      <c r="DS2201"/>
      <c r="DT2201"/>
      <c r="DU2201"/>
      <c r="DV2201"/>
      <c r="DW2201"/>
      <c r="DX2201"/>
      <c r="DY2201"/>
      <c r="DZ2201"/>
      <c r="EA2201"/>
      <c r="EB2201"/>
      <c r="EC2201"/>
      <c r="ED2201"/>
      <c r="EE2201"/>
      <c r="EF2201"/>
      <c r="EG2201"/>
    </row>
    <row r="2202" spans="1:137" s="85" customFormat="1" ht="15" customHeight="1" x14ac:dyDescent="0.3">
      <c r="A2202" s="19">
        <v>210</v>
      </c>
      <c r="B2202" s="84">
        <v>46118</v>
      </c>
      <c r="C2202" s="84" t="s">
        <v>15</v>
      </c>
      <c r="D2202" s="21" t="s">
        <v>19</v>
      </c>
      <c r="E2202" s="84"/>
      <c r="F2202" s="85" t="s">
        <v>702</v>
      </c>
      <c r="G2202" s="252">
        <v>10284.719999999999</v>
      </c>
      <c r="H2202" s="1"/>
      <c r="I2202" s="1">
        <f>COUNTIF(Tabela1[NF],Tabela1[[#This Row],[NF]])</f>
        <v>1</v>
      </c>
      <c r="J2202"/>
      <c r="K2202" s="84">
        <v>46118</v>
      </c>
      <c r="L2202"/>
      <c r="M2202"/>
      <c r="N2202" s="1" t="str" cm="1">
        <f t="array" ref="N2202">_xlfn.XLOOKUP(TRIM(D2202),TRIM(DFC!A:A),DFC!A:A,"NÃO ESTÁ NA DFC")</f>
        <v xml:space="preserve">      PEÇAS</v>
      </c>
      <c r="O2202"/>
      <c r="P2202" s="303"/>
      <c r="Q2202" s="26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  <c r="BK2202"/>
      <c r="BL2202"/>
      <c r="BM2202"/>
      <c r="BN2202"/>
      <c r="BO2202"/>
      <c r="BP2202"/>
      <c r="BQ2202"/>
      <c r="BR2202"/>
      <c r="BS2202"/>
      <c r="BT2202"/>
      <c r="BU2202"/>
      <c r="BV2202"/>
      <c r="BW2202"/>
      <c r="BX2202"/>
      <c r="BY2202"/>
      <c r="BZ2202"/>
      <c r="CA2202"/>
      <c r="CB2202"/>
      <c r="CC2202"/>
      <c r="CD2202"/>
      <c r="CE2202"/>
      <c r="CF2202"/>
      <c r="CG2202"/>
      <c r="CH2202"/>
      <c r="CI2202"/>
      <c r="CJ2202"/>
      <c r="CK2202"/>
      <c r="CL2202"/>
      <c r="CM2202"/>
      <c r="CN2202"/>
      <c r="CO2202"/>
      <c r="CP2202"/>
      <c r="CQ2202"/>
      <c r="CR2202"/>
      <c r="CS2202"/>
      <c r="CT2202"/>
      <c r="CU2202"/>
      <c r="CV2202"/>
      <c r="CW2202"/>
      <c r="CX2202"/>
      <c r="CY2202"/>
      <c r="CZ2202"/>
      <c r="DA2202"/>
      <c r="DB2202"/>
      <c r="DC2202"/>
      <c r="DD2202"/>
      <c r="DE2202"/>
      <c r="DF2202"/>
      <c r="DG2202"/>
      <c r="DH2202"/>
      <c r="DI2202"/>
      <c r="DJ2202"/>
      <c r="DK2202"/>
      <c r="DL2202"/>
      <c r="DM2202"/>
      <c r="DN2202"/>
      <c r="DO2202"/>
      <c r="DP2202"/>
      <c r="DQ2202"/>
      <c r="DR2202"/>
      <c r="DS2202"/>
      <c r="DT2202"/>
      <c r="DU2202"/>
      <c r="DV2202"/>
      <c r="DW2202"/>
      <c r="DX2202"/>
      <c r="DY2202"/>
      <c r="DZ2202"/>
      <c r="EA2202"/>
      <c r="EB2202"/>
      <c r="EC2202"/>
      <c r="ED2202"/>
      <c r="EE2202"/>
      <c r="EF2202"/>
      <c r="EG2202"/>
    </row>
    <row r="2203" spans="1:137" s="85" customFormat="1" ht="15" customHeight="1" x14ac:dyDescent="0.3">
      <c r="A2203" s="19">
        <v>1656421</v>
      </c>
      <c r="B2203" s="84">
        <v>46118</v>
      </c>
      <c r="C2203" s="84" t="s">
        <v>15</v>
      </c>
      <c r="D2203" s="21" t="s">
        <v>29</v>
      </c>
      <c r="E2203" s="84" t="s">
        <v>851</v>
      </c>
      <c r="F2203" s="85" t="s">
        <v>149</v>
      </c>
      <c r="G2203" s="252">
        <v>1478.53</v>
      </c>
      <c r="H2203" s="1"/>
      <c r="I2203" s="1">
        <f>COUNTIF(Tabela1[NF],Tabela1[[#This Row],[NF]])</f>
        <v>1</v>
      </c>
      <c r="J2203"/>
      <c r="K2203" s="351">
        <v>46118</v>
      </c>
      <c r="L2203"/>
      <c r="M2203"/>
      <c r="N2203" s="1" t="str" cm="1">
        <f t="array" ref="N2203">_xlfn.XLOOKUP(TRIM(D2203),TRIM(DFC!A:A),DFC!A:A,"NÃO ESTÁ NA DFC")</f>
        <v xml:space="preserve">      FRETE DE SAÍDA</v>
      </c>
      <c r="O2203"/>
      <c r="P2203" s="303"/>
      <c r="Q2203" s="262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  <c r="BK2203"/>
      <c r="BL2203"/>
      <c r="BM2203"/>
      <c r="BN2203"/>
      <c r="BO2203"/>
      <c r="BP2203"/>
      <c r="BQ2203"/>
      <c r="BR2203"/>
      <c r="BS2203"/>
      <c r="BT2203"/>
      <c r="BU2203"/>
      <c r="BV2203"/>
      <c r="BW2203"/>
      <c r="BX2203"/>
      <c r="BY2203"/>
      <c r="BZ2203"/>
      <c r="CA2203"/>
      <c r="CB2203"/>
      <c r="CC2203"/>
      <c r="CD2203"/>
      <c r="CE2203"/>
      <c r="CF2203"/>
      <c r="CG2203"/>
      <c r="CH2203"/>
      <c r="CI2203"/>
      <c r="CJ2203"/>
      <c r="CK2203"/>
      <c r="CL2203"/>
      <c r="CM2203"/>
      <c r="CN2203"/>
      <c r="CO2203"/>
      <c r="CP2203"/>
      <c r="CQ2203"/>
      <c r="CR2203"/>
      <c r="CS2203"/>
      <c r="CT2203"/>
      <c r="CU2203"/>
      <c r="CV2203"/>
      <c r="CW2203"/>
      <c r="CX2203"/>
      <c r="CY2203"/>
      <c r="CZ2203"/>
      <c r="DA2203"/>
      <c r="DB2203"/>
      <c r="DC2203"/>
      <c r="DD2203"/>
      <c r="DE2203"/>
      <c r="DF2203"/>
      <c r="DG2203"/>
      <c r="DH2203"/>
      <c r="DI2203"/>
      <c r="DJ2203"/>
      <c r="DK2203"/>
      <c r="DL2203"/>
      <c r="DM2203"/>
      <c r="DN2203"/>
      <c r="DO2203"/>
      <c r="DP2203"/>
      <c r="DQ2203"/>
      <c r="DR2203"/>
      <c r="DS2203"/>
      <c r="DT2203"/>
      <c r="DU2203"/>
      <c r="DV2203"/>
      <c r="DW2203"/>
      <c r="DX2203"/>
      <c r="DY2203"/>
      <c r="DZ2203"/>
      <c r="EA2203"/>
      <c r="EB2203"/>
      <c r="EC2203"/>
      <c r="ED2203"/>
      <c r="EE2203"/>
      <c r="EF2203"/>
      <c r="EG2203"/>
    </row>
    <row r="2204" spans="1:137" s="22" customFormat="1" ht="15" customHeight="1" x14ac:dyDescent="0.3">
      <c r="A2204" s="19"/>
      <c r="B2204" s="21">
        <v>46119</v>
      </c>
      <c r="C2204" s="84" t="s">
        <v>15</v>
      </c>
      <c r="D2204" s="21" t="s">
        <v>840</v>
      </c>
      <c r="E2204" s="84"/>
      <c r="F2204" s="22" t="s">
        <v>460</v>
      </c>
      <c r="G2204" s="252">
        <v>13000</v>
      </c>
      <c r="H2204" s="1"/>
      <c r="I2204" s="1">
        <f>COUNTIF(Tabela1[NF],Tabela1[[#This Row],[NF]])</f>
        <v>0</v>
      </c>
      <c r="J2204"/>
      <c r="K2204" s="21">
        <v>46119</v>
      </c>
      <c r="L2204"/>
      <c r="M2204"/>
      <c r="N2204" s="1" t="str" cm="1">
        <f t="array" ref="N2204">_xlfn.XLOOKUP(TRIM(D2204),TRIM(DFC!A:A),DFC!A:A,"NÃO ESTÁ NA DFC")</f>
        <v xml:space="preserve">      TRANSFERÊNCIA SICREDI PARA BRADESCO</v>
      </c>
      <c r="O2204"/>
      <c r="P2204" s="303"/>
      <c r="Q2204" s="262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  <c r="BK2204"/>
      <c r="BL2204"/>
      <c r="BM2204"/>
      <c r="BN2204"/>
      <c r="BO2204"/>
      <c r="BP2204"/>
      <c r="BQ2204"/>
      <c r="BR2204"/>
      <c r="BS2204"/>
      <c r="BT2204"/>
      <c r="BU2204"/>
      <c r="BV2204"/>
      <c r="BW2204"/>
      <c r="BX2204"/>
      <c r="BY2204"/>
      <c r="BZ2204"/>
      <c r="CA2204"/>
      <c r="CB2204"/>
      <c r="CC2204"/>
      <c r="CD2204"/>
      <c r="CE2204"/>
      <c r="CF2204"/>
      <c r="CG2204"/>
      <c r="CH2204"/>
      <c r="CI2204"/>
      <c r="CJ2204"/>
      <c r="CK2204"/>
      <c r="CL2204"/>
      <c r="CM2204"/>
      <c r="CN2204"/>
      <c r="CO2204"/>
      <c r="CP2204"/>
      <c r="CQ2204"/>
      <c r="CR2204"/>
      <c r="CS2204"/>
      <c r="CT2204"/>
      <c r="CU2204"/>
      <c r="CV2204"/>
      <c r="CW2204"/>
      <c r="CX2204"/>
      <c r="CY2204"/>
      <c r="CZ2204"/>
      <c r="DA2204"/>
      <c r="DB2204"/>
      <c r="DC2204"/>
      <c r="DD2204"/>
      <c r="DE2204"/>
      <c r="DF2204"/>
      <c r="DG2204"/>
      <c r="DH2204"/>
      <c r="DI2204"/>
      <c r="DJ2204"/>
      <c r="DK2204"/>
      <c r="DL2204"/>
      <c r="DM2204"/>
      <c r="DN2204"/>
      <c r="DO2204"/>
      <c r="DP2204"/>
      <c r="DQ2204"/>
      <c r="DR2204"/>
      <c r="DS2204"/>
      <c r="DT2204"/>
      <c r="DU2204"/>
      <c r="DV2204"/>
      <c r="DW2204"/>
      <c r="DX2204"/>
      <c r="DY2204"/>
      <c r="DZ2204"/>
      <c r="EA2204"/>
      <c r="EB2204"/>
      <c r="EC2204"/>
      <c r="ED2204"/>
      <c r="EE2204"/>
      <c r="EF2204"/>
      <c r="EG2204"/>
    </row>
    <row r="2205" spans="1:137" s="22" customFormat="1" ht="15" customHeight="1" x14ac:dyDescent="0.3">
      <c r="A2205" s="19"/>
      <c r="B2205" s="21">
        <v>46119</v>
      </c>
      <c r="C2205" s="84" t="s">
        <v>15</v>
      </c>
      <c r="D2205" s="84" t="s">
        <v>19</v>
      </c>
      <c r="E2205" s="84"/>
      <c r="F2205" s="22" t="s">
        <v>852</v>
      </c>
      <c r="G2205" s="252">
        <v>50</v>
      </c>
      <c r="H2205" s="1"/>
      <c r="I2205" s="1">
        <f>COUNTIF(Tabela1[NF],Tabela1[[#This Row],[NF]])</f>
        <v>0</v>
      </c>
      <c r="J2205"/>
      <c r="K2205" s="21">
        <v>46119</v>
      </c>
      <c r="L2205"/>
      <c r="M2205"/>
      <c r="N2205" s="1" t="str" cm="1">
        <f t="array" ref="N2205">_xlfn.XLOOKUP(TRIM(D2205),TRIM(DFC!A:A),DFC!A:A,"NÃO ESTÁ NA DFC")</f>
        <v xml:space="preserve">      PEÇAS</v>
      </c>
      <c r="O2205"/>
      <c r="P2205" s="303"/>
      <c r="Q2205" s="262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  <c r="BK2205"/>
      <c r="BL2205"/>
      <c r="BM2205"/>
      <c r="BN2205"/>
      <c r="BO2205"/>
      <c r="BP2205"/>
      <c r="BQ2205"/>
      <c r="BR2205"/>
      <c r="BS2205"/>
      <c r="BT2205"/>
      <c r="BU2205"/>
      <c r="BV2205"/>
      <c r="BW2205"/>
      <c r="BX2205"/>
      <c r="BY2205"/>
      <c r="BZ2205"/>
      <c r="CA2205"/>
      <c r="CB2205"/>
      <c r="CC2205"/>
      <c r="CD2205"/>
      <c r="CE2205"/>
      <c r="CF2205"/>
      <c r="CG2205"/>
      <c r="CH2205"/>
      <c r="CI2205"/>
      <c r="CJ2205"/>
      <c r="CK2205"/>
      <c r="CL2205"/>
      <c r="CM2205"/>
      <c r="CN2205"/>
      <c r="CO2205"/>
      <c r="CP2205"/>
      <c r="CQ2205"/>
      <c r="CR2205"/>
      <c r="CS2205"/>
      <c r="CT2205"/>
      <c r="CU2205"/>
      <c r="CV2205"/>
      <c r="CW2205"/>
      <c r="CX2205"/>
      <c r="CY2205"/>
      <c r="CZ2205"/>
      <c r="DA2205"/>
      <c r="DB2205"/>
      <c r="DC2205"/>
      <c r="DD2205"/>
      <c r="DE2205"/>
      <c r="DF2205"/>
      <c r="DG2205"/>
      <c r="DH2205"/>
      <c r="DI2205"/>
      <c r="DJ2205"/>
      <c r="DK2205"/>
      <c r="DL2205"/>
      <c r="DM2205"/>
      <c r="DN2205"/>
      <c r="DO2205"/>
      <c r="DP2205"/>
      <c r="DQ2205"/>
      <c r="DR2205"/>
      <c r="DS2205"/>
      <c r="DT2205"/>
      <c r="DU2205"/>
      <c r="DV2205"/>
      <c r="DW2205"/>
      <c r="DX2205"/>
      <c r="DY2205"/>
      <c r="DZ2205"/>
      <c r="EA2205"/>
      <c r="EB2205"/>
      <c r="EC2205"/>
      <c r="ED2205"/>
      <c r="EE2205"/>
      <c r="EF2205"/>
      <c r="EG2205"/>
    </row>
    <row r="2206" spans="1:137" s="22" customFormat="1" ht="15" customHeight="1" x14ac:dyDescent="0.3">
      <c r="A2206" s="19"/>
      <c r="B2206" s="21">
        <v>46119</v>
      </c>
      <c r="C2206" s="84" t="s">
        <v>15</v>
      </c>
      <c r="D2206" s="21" t="s">
        <v>117</v>
      </c>
      <c r="E2206" s="84"/>
      <c r="F2206" s="22" t="s">
        <v>581</v>
      </c>
      <c r="G2206" s="252">
        <v>1454.21</v>
      </c>
      <c r="H2206" s="1"/>
      <c r="I2206" s="1">
        <f>COUNTIF(Tabela1[NF],Tabela1[[#This Row],[NF]])</f>
        <v>0</v>
      </c>
      <c r="J2206"/>
      <c r="K2206" s="21">
        <v>46119</v>
      </c>
      <c r="L2206"/>
      <c r="M2206"/>
      <c r="N2206" s="1" t="str" cm="1">
        <f t="array" ref="N2206">_xlfn.XLOOKUP(TRIM(D2206),TRIM(DFC!A:A),DFC!A:A,"NÃO ESTÁ NA DFC")</f>
        <v xml:space="preserve">          SALÁRIOS</v>
      </c>
      <c r="O2206"/>
      <c r="P2206" s="303"/>
      <c r="Q2206" s="262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/>
      <c r="BK2206"/>
      <c r="BL2206"/>
      <c r="BM2206"/>
      <c r="BN2206"/>
      <c r="BO2206"/>
      <c r="BP2206"/>
      <c r="BQ2206"/>
      <c r="BR2206"/>
      <c r="BS2206"/>
      <c r="BT2206"/>
      <c r="BU2206"/>
      <c r="BV2206"/>
      <c r="BW2206"/>
      <c r="BX2206"/>
      <c r="BY2206"/>
      <c r="BZ2206"/>
      <c r="CA2206"/>
      <c r="CB2206"/>
      <c r="CC2206"/>
      <c r="CD2206"/>
      <c r="CE2206"/>
      <c r="CF2206"/>
      <c r="CG2206"/>
      <c r="CH2206"/>
      <c r="CI2206"/>
      <c r="CJ2206"/>
      <c r="CK2206"/>
      <c r="CL2206"/>
      <c r="CM2206"/>
      <c r="CN2206"/>
      <c r="CO2206"/>
      <c r="CP2206"/>
      <c r="CQ2206"/>
      <c r="CR2206"/>
      <c r="CS2206"/>
      <c r="CT2206"/>
      <c r="CU2206"/>
      <c r="CV2206"/>
      <c r="CW2206"/>
      <c r="CX2206"/>
      <c r="CY2206"/>
      <c r="CZ2206"/>
      <c r="DA2206"/>
      <c r="DB2206"/>
      <c r="DC2206"/>
      <c r="DD2206"/>
      <c r="DE2206"/>
      <c r="DF2206"/>
      <c r="DG2206"/>
      <c r="DH2206"/>
      <c r="DI2206"/>
      <c r="DJ2206"/>
      <c r="DK2206"/>
      <c r="DL2206"/>
      <c r="DM2206"/>
      <c r="DN2206"/>
      <c r="DO2206"/>
      <c r="DP2206"/>
      <c r="DQ2206"/>
      <c r="DR2206"/>
      <c r="DS2206"/>
      <c r="DT2206"/>
      <c r="DU2206"/>
      <c r="DV2206"/>
      <c r="DW2206"/>
      <c r="DX2206"/>
      <c r="DY2206"/>
      <c r="DZ2206"/>
      <c r="EA2206"/>
      <c r="EB2206"/>
      <c r="EC2206"/>
      <c r="ED2206"/>
      <c r="EE2206"/>
      <c r="EF2206"/>
      <c r="EG2206"/>
    </row>
    <row r="2207" spans="1:137" s="22" customFormat="1" ht="15" customHeight="1" x14ac:dyDescent="0.3">
      <c r="A2207" s="19"/>
      <c r="B2207" s="21">
        <v>46119</v>
      </c>
      <c r="C2207" s="84" t="s">
        <v>15</v>
      </c>
      <c r="D2207" s="21" t="s">
        <v>117</v>
      </c>
      <c r="E2207" s="84"/>
      <c r="F2207" s="22" t="s">
        <v>319</v>
      </c>
      <c r="G2207" s="252">
        <v>1383.4</v>
      </c>
      <c r="H2207" s="1"/>
      <c r="I2207" s="1">
        <f>COUNTIF(Tabela1[NF],Tabela1[[#This Row],[NF]])</f>
        <v>0</v>
      </c>
      <c r="J2207"/>
      <c r="K2207" s="21">
        <v>46119</v>
      </c>
      <c r="L2207"/>
      <c r="M2207"/>
      <c r="N2207" s="1" t="str" cm="1">
        <f t="array" ref="N2207">_xlfn.XLOOKUP(TRIM(D2207),TRIM(DFC!A:A),DFC!A:A,"NÃO ESTÁ NA DFC")</f>
        <v xml:space="preserve">          SALÁRIOS</v>
      </c>
      <c r="O2207"/>
      <c r="P2207" s="303"/>
      <c r="Q2207" s="262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  <c r="BK2207"/>
      <c r="BL2207"/>
      <c r="BM2207"/>
      <c r="BN2207"/>
      <c r="BO2207"/>
      <c r="BP2207"/>
      <c r="BQ2207"/>
      <c r="BR2207"/>
      <c r="BS2207"/>
      <c r="BT2207"/>
      <c r="BU2207"/>
      <c r="BV2207"/>
      <c r="BW2207"/>
      <c r="BX2207"/>
      <c r="BY2207"/>
      <c r="BZ2207"/>
      <c r="CA2207"/>
      <c r="CB2207"/>
      <c r="CC2207"/>
      <c r="CD2207"/>
      <c r="CE2207"/>
      <c r="CF2207"/>
      <c r="CG2207"/>
      <c r="CH2207"/>
      <c r="CI2207"/>
      <c r="CJ2207"/>
      <c r="CK2207"/>
      <c r="CL2207"/>
      <c r="CM2207"/>
      <c r="CN2207"/>
      <c r="CO2207"/>
      <c r="CP2207"/>
      <c r="CQ2207"/>
      <c r="CR2207"/>
      <c r="CS2207"/>
      <c r="CT2207"/>
      <c r="CU2207"/>
      <c r="CV2207"/>
      <c r="CW2207"/>
      <c r="CX2207"/>
      <c r="CY2207"/>
      <c r="CZ2207"/>
      <c r="DA2207"/>
      <c r="DB2207"/>
      <c r="DC2207"/>
      <c r="DD2207"/>
      <c r="DE2207"/>
      <c r="DF2207"/>
      <c r="DG2207"/>
      <c r="DH2207"/>
      <c r="DI2207"/>
      <c r="DJ2207"/>
      <c r="DK2207"/>
      <c r="DL2207"/>
      <c r="DM2207"/>
      <c r="DN2207"/>
      <c r="DO2207"/>
      <c r="DP2207"/>
      <c r="DQ2207"/>
      <c r="DR2207"/>
      <c r="DS2207"/>
      <c r="DT2207"/>
      <c r="DU2207"/>
      <c r="DV2207"/>
      <c r="DW2207"/>
      <c r="DX2207"/>
      <c r="DY2207"/>
      <c r="DZ2207"/>
      <c r="EA2207"/>
      <c r="EB2207"/>
      <c r="EC2207"/>
      <c r="ED2207"/>
      <c r="EE2207"/>
      <c r="EF2207"/>
      <c r="EG2207"/>
    </row>
    <row r="2208" spans="1:137" s="22" customFormat="1" ht="15" customHeight="1" x14ac:dyDescent="0.3">
      <c r="A2208" s="19"/>
      <c r="B2208" s="21">
        <v>46119</v>
      </c>
      <c r="C2208" s="84" t="s">
        <v>15</v>
      </c>
      <c r="D2208" s="21" t="s">
        <v>117</v>
      </c>
      <c r="E2208" s="84"/>
      <c r="F2208" s="22" t="s">
        <v>643</v>
      </c>
      <c r="G2208" s="252">
        <v>1214.27</v>
      </c>
      <c r="H2208" s="1"/>
      <c r="I2208" s="1">
        <f>COUNTIF(Tabela1[NF],Tabela1[[#This Row],[NF]])</f>
        <v>0</v>
      </c>
      <c r="J2208"/>
      <c r="K2208" s="21">
        <v>46119</v>
      </c>
      <c r="L2208"/>
      <c r="M2208"/>
      <c r="N2208" s="1" t="str" cm="1">
        <f t="array" ref="N2208">_xlfn.XLOOKUP(TRIM(D2208),TRIM(DFC!A:A),DFC!A:A,"NÃO ESTÁ NA DFC")</f>
        <v xml:space="preserve">          SALÁRIOS</v>
      </c>
      <c r="O2208"/>
      <c r="P2208" s="303"/>
      <c r="Q2208" s="262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  <c r="BK2208"/>
      <c r="BL2208"/>
      <c r="BM2208"/>
      <c r="BN2208"/>
      <c r="BO2208"/>
      <c r="BP2208"/>
      <c r="BQ2208"/>
      <c r="BR2208"/>
      <c r="BS2208"/>
      <c r="BT2208"/>
      <c r="BU2208"/>
      <c r="BV2208"/>
      <c r="BW2208"/>
      <c r="BX2208"/>
      <c r="BY2208"/>
      <c r="BZ2208"/>
      <c r="CA2208"/>
      <c r="CB2208"/>
      <c r="CC2208"/>
      <c r="CD2208"/>
      <c r="CE2208"/>
      <c r="CF2208"/>
      <c r="CG2208"/>
      <c r="CH2208"/>
      <c r="CI2208"/>
      <c r="CJ2208"/>
      <c r="CK2208"/>
      <c r="CL2208"/>
      <c r="CM2208"/>
      <c r="CN2208"/>
      <c r="CO2208"/>
      <c r="CP2208"/>
      <c r="CQ2208"/>
      <c r="CR2208"/>
      <c r="CS2208"/>
      <c r="CT2208"/>
      <c r="CU2208"/>
      <c r="CV2208"/>
      <c r="CW2208"/>
      <c r="CX2208"/>
      <c r="CY2208"/>
      <c r="CZ2208"/>
      <c r="DA2208"/>
      <c r="DB2208"/>
      <c r="DC2208"/>
      <c r="DD2208"/>
      <c r="DE2208"/>
      <c r="DF2208"/>
      <c r="DG2208"/>
      <c r="DH2208"/>
      <c r="DI2208"/>
      <c r="DJ2208"/>
      <c r="DK2208"/>
      <c r="DL2208"/>
      <c r="DM2208"/>
      <c r="DN2208"/>
      <c r="DO2208"/>
      <c r="DP2208"/>
      <c r="DQ2208"/>
      <c r="DR2208"/>
      <c r="DS2208"/>
      <c r="DT2208"/>
      <c r="DU2208"/>
      <c r="DV2208"/>
      <c r="DW2208"/>
      <c r="DX2208"/>
      <c r="DY2208"/>
      <c r="DZ2208"/>
      <c r="EA2208"/>
      <c r="EB2208"/>
      <c r="EC2208"/>
      <c r="ED2208"/>
      <c r="EE2208"/>
      <c r="EF2208"/>
      <c r="EG2208"/>
    </row>
    <row r="2209" spans="1:137" s="22" customFormat="1" ht="15" customHeight="1" x14ac:dyDescent="0.3">
      <c r="A2209" s="19"/>
      <c r="B2209" s="21">
        <v>46119</v>
      </c>
      <c r="C2209" s="84" t="s">
        <v>15</v>
      </c>
      <c r="D2209" s="21" t="s">
        <v>117</v>
      </c>
      <c r="E2209" s="84"/>
      <c r="F2209" s="22" t="s">
        <v>632</v>
      </c>
      <c r="G2209" s="252">
        <v>1978</v>
      </c>
      <c r="H2209" s="1"/>
      <c r="I2209" s="1">
        <f>COUNTIF(Tabela1[NF],Tabela1[[#This Row],[NF]])</f>
        <v>0</v>
      </c>
      <c r="J2209"/>
      <c r="K2209" s="21">
        <v>46119</v>
      </c>
      <c r="L2209"/>
      <c r="M2209"/>
      <c r="N2209" s="1" t="str" cm="1">
        <f t="array" ref="N2209">_xlfn.XLOOKUP(TRIM(D2209),TRIM(DFC!A:A),DFC!A:A,"NÃO ESTÁ NA DFC")</f>
        <v xml:space="preserve">          SALÁRIOS</v>
      </c>
      <c r="O2209"/>
      <c r="P2209" s="303"/>
      <c r="Q2209" s="262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/>
      <c r="BI2209"/>
      <c r="BJ2209"/>
      <c r="BK2209"/>
      <c r="BL2209"/>
      <c r="BM2209"/>
      <c r="BN2209"/>
      <c r="BO2209"/>
      <c r="BP2209"/>
      <c r="BQ2209"/>
      <c r="BR2209"/>
      <c r="BS2209"/>
      <c r="BT2209"/>
      <c r="BU2209"/>
      <c r="BV2209"/>
      <c r="BW2209"/>
      <c r="BX2209"/>
      <c r="BY2209"/>
      <c r="BZ2209"/>
      <c r="CA2209"/>
      <c r="CB2209"/>
      <c r="CC2209"/>
      <c r="CD2209"/>
      <c r="CE2209"/>
      <c r="CF2209"/>
      <c r="CG2209"/>
      <c r="CH2209"/>
      <c r="CI2209"/>
      <c r="CJ2209"/>
      <c r="CK2209"/>
      <c r="CL2209"/>
      <c r="CM2209"/>
      <c r="CN2209"/>
      <c r="CO2209"/>
      <c r="CP2209"/>
      <c r="CQ2209"/>
      <c r="CR2209"/>
      <c r="CS2209"/>
      <c r="CT2209"/>
      <c r="CU2209"/>
      <c r="CV2209"/>
      <c r="CW2209"/>
      <c r="CX2209"/>
      <c r="CY2209"/>
      <c r="CZ2209"/>
      <c r="DA2209"/>
      <c r="DB2209"/>
      <c r="DC2209"/>
      <c r="DD2209"/>
      <c r="DE2209"/>
      <c r="DF2209"/>
      <c r="DG2209"/>
      <c r="DH2209"/>
      <c r="DI2209"/>
      <c r="DJ2209"/>
      <c r="DK2209"/>
      <c r="DL2209"/>
      <c r="DM2209"/>
      <c r="DN2209"/>
      <c r="DO2209"/>
      <c r="DP2209"/>
      <c r="DQ2209"/>
      <c r="DR2209"/>
      <c r="DS2209"/>
      <c r="DT2209"/>
      <c r="DU2209"/>
      <c r="DV2209"/>
      <c r="DW2209"/>
      <c r="DX2209"/>
      <c r="DY2209"/>
      <c r="DZ2209"/>
      <c r="EA2209"/>
      <c r="EB2209"/>
      <c r="EC2209"/>
      <c r="ED2209"/>
      <c r="EE2209"/>
      <c r="EF2209"/>
      <c r="EG2209"/>
    </row>
    <row r="2210" spans="1:137" s="22" customFormat="1" ht="15" customHeight="1" x14ac:dyDescent="0.3">
      <c r="A2210" s="19"/>
      <c r="B2210" s="21">
        <v>46119</v>
      </c>
      <c r="C2210" s="84" t="s">
        <v>15</v>
      </c>
      <c r="D2210" s="21" t="s">
        <v>117</v>
      </c>
      <c r="E2210" s="84"/>
      <c r="F2210" s="22" t="s">
        <v>696</v>
      </c>
      <c r="G2210" s="252">
        <v>1192.93</v>
      </c>
      <c r="H2210" s="1"/>
      <c r="I2210" s="1">
        <f>COUNTIF(Tabela1[NF],Tabela1[[#This Row],[NF]])</f>
        <v>0</v>
      </c>
      <c r="J2210"/>
      <c r="K2210" s="21">
        <v>46119</v>
      </c>
      <c r="L2210"/>
      <c r="M2210"/>
      <c r="N2210" s="1" t="str" cm="1">
        <f t="array" ref="N2210">_xlfn.XLOOKUP(TRIM(D2210),TRIM(DFC!A:A),DFC!A:A,"NÃO ESTÁ NA DFC")</f>
        <v xml:space="preserve">          SALÁRIOS</v>
      </c>
      <c r="O2210"/>
      <c r="P2210" s="303"/>
      <c r="Q2210" s="262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  <c r="BK2210"/>
      <c r="BL2210"/>
      <c r="BM2210"/>
      <c r="BN2210"/>
      <c r="BO2210"/>
      <c r="BP2210"/>
      <c r="BQ2210"/>
      <c r="BR2210"/>
      <c r="BS2210"/>
      <c r="BT2210"/>
      <c r="BU2210"/>
      <c r="BV2210"/>
      <c r="BW2210"/>
      <c r="BX2210"/>
      <c r="BY2210"/>
      <c r="BZ2210"/>
      <c r="CA2210"/>
      <c r="CB2210"/>
      <c r="CC2210"/>
      <c r="CD2210"/>
      <c r="CE2210"/>
      <c r="CF2210"/>
      <c r="CG2210"/>
      <c r="CH2210"/>
      <c r="CI2210"/>
      <c r="CJ2210"/>
      <c r="CK2210"/>
      <c r="CL2210"/>
      <c r="CM2210"/>
      <c r="CN2210"/>
      <c r="CO2210"/>
      <c r="CP2210"/>
      <c r="CQ2210"/>
      <c r="CR2210"/>
      <c r="CS2210"/>
      <c r="CT2210"/>
      <c r="CU2210"/>
      <c r="CV2210"/>
      <c r="CW2210"/>
      <c r="CX2210"/>
      <c r="CY2210"/>
      <c r="CZ2210"/>
      <c r="DA2210"/>
      <c r="DB2210"/>
      <c r="DC2210"/>
      <c r="DD2210"/>
      <c r="DE2210"/>
      <c r="DF2210"/>
      <c r="DG2210"/>
      <c r="DH2210"/>
      <c r="DI2210"/>
      <c r="DJ2210"/>
      <c r="DK2210"/>
      <c r="DL2210"/>
      <c r="DM2210"/>
      <c r="DN2210"/>
      <c r="DO2210"/>
      <c r="DP2210"/>
      <c r="DQ2210"/>
      <c r="DR2210"/>
      <c r="DS2210"/>
      <c r="DT2210"/>
      <c r="DU2210"/>
      <c r="DV2210"/>
      <c r="DW2210"/>
      <c r="DX2210"/>
      <c r="DY2210"/>
      <c r="DZ2210"/>
      <c r="EA2210"/>
      <c r="EB2210"/>
      <c r="EC2210"/>
      <c r="ED2210"/>
      <c r="EE2210"/>
      <c r="EF2210"/>
      <c r="EG2210"/>
    </row>
    <row r="2211" spans="1:137" s="22" customFormat="1" ht="15" customHeight="1" x14ac:dyDescent="0.3">
      <c r="A2211" s="19"/>
      <c r="B2211" s="21">
        <v>46119</v>
      </c>
      <c r="C2211" s="84" t="s">
        <v>15</v>
      </c>
      <c r="D2211" s="21" t="s">
        <v>117</v>
      </c>
      <c r="E2211" s="84"/>
      <c r="F2211" s="22" t="s">
        <v>595</v>
      </c>
      <c r="G2211" s="252">
        <v>1946.4</v>
      </c>
      <c r="H2211" s="1"/>
      <c r="I2211" s="1">
        <f>COUNTIF(Tabela1[NF],Tabela1[[#This Row],[NF]])</f>
        <v>0</v>
      </c>
      <c r="J2211"/>
      <c r="K2211" s="21">
        <v>46119</v>
      </c>
      <c r="L2211"/>
      <c r="M2211"/>
      <c r="N2211" s="1" t="str" cm="1">
        <f t="array" ref="N2211">_xlfn.XLOOKUP(TRIM(D2211),TRIM(DFC!A:A),DFC!A:A,"NÃO ESTÁ NA DFC")</f>
        <v xml:space="preserve">          SALÁRIOS</v>
      </c>
      <c r="O2211"/>
      <c r="P2211" s="303"/>
      <c r="Q2211" s="262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  <c r="BF2211"/>
      <c r="BG2211"/>
      <c r="BH2211"/>
      <c r="BI2211"/>
      <c r="BJ2211"/>
      <c r="BK2211"/>
      <c r="BL2211"/>
      <c r="BM2211"/>
      <c r="BN2211"/>
      <c r="BO2211"/>
      <c r="BP2211"/>
      <c r="BQ2211"/>
      <c r="BR2211"/>
      <c r="BS2211"/>
      <c r="BT2211"/>
      <c r="BU2211"/>
      <c r="BV2211"/>
      <c r="BW2211"/>
      <c r="BX2211"/>
      <c r="BY2211"/>
      <c r="BZ2211"/>
      <c r="CA2211"/>
      <c r="CB2211"/>
      <c r="CC2211"/>
      <c r="CD2211"/>
      <c r="CE2211"/>
      <c r="CF2211"/>
      <c r="CG2211"/>
      <c r="CH2211"/>
      <c r="CI2211"/>
      <c r="CJ2211"/>
      <c r="CK2211"/>
      <c r="CL2211"/>
      <c r="CM2211"/>
      <c r="CN2211"/>
      <c r="CO2211"/>
      <c r="CP2211"/>
      <c r="CQ2211"/>
      <c r="CR2211"/>
      <c r="CS2211"/>
      <c r="CT2211"/>
      <c r="CU2211"/>
      <c r="CV2211"/>
      <c r="CW2211"/>
      <c r="CX2211"/>
      <c r="CY2211"/>
      <c r="CZ2211"/>
      <c r="DA2211"/>
      <c r="DB2211"/>
      <c r="DC2211"/>
      <c r="DD2211"/>
      <c r="DE2211"/>
      <c r="DF2211"/>
      <c r="DG2211"/>
      <c r="DH2211"/>
      <c r="DI2211"/>
      <c r="DJ2211"/>
      <c r="DK2211"/>
      <c r="DL2211"/>
      <c r="DM2211"/>
      <c r="DN2211"/>
      <c r="DO2211"/>
      <c r="DP2211"/>
      <c r="DQ2211"/>
      <c r="DR2211"/>
      <c r="DS2211"/>
      <c r="DT2211"/>
      <c r="DU2211"/>
      <c r="DV2211"/>
      <c r="DW2211"/>
      <c r="DX2211"/>
      <c r="DY2211"/>
      <c r="DZ2211"/>
      <c r="EA2211"/>
      <c r="EB2211"/>
      <c r="EC2211"/>
      <c r="ED2211"/>
      <c r="EE2211"/>
      <c r="EF2211"/>
      <c r="EG2211"/>
    </row>
    <row r="2212" spans="1:137" s="22" customFormat="1" ht="15" customHeight="1" x14ac:dyDescent="0.3">
      <c r="A2212" s="19"/>
      <c r="B2212" s="21">
        <v>46119</v>
      </c>
      <c r="C2212" s="84" t="s">
        <v>15</v>
      </c>
      <c r="D2212" s="21" t="s">
        <v>117</v>
      </c>
      <c r="E2212" s="84"/>
      <c r="F2212" s="22" t="s">
        <v>326</v>
      </c>
      <c r="G2212" s="252">
        <v>2470.41</v>
      </c>
      <c r="H2212" s="1"/>
      <c r="I2212" s="1">
        <f>COUNTIF(Tabela1[NF],Tabela1[[#This Row],[NF]])</f>
        <v>0</v>
      </c>
      <c r="J2212"/>
      <c r="K2212" s="21">
        <v>46119</v>
      </c>
      <c r="L2212"/>
      <c r="M2212"/>
      <c r="N2212" s="1" t="str" cm="1">
        <f t="array" ref="N2212">_xlfn.XLOOKUP(TRIM(D2212),TRIM(DFC!A:A),DFC!A:A,"NÃO ESTÁ NA DFC")</f>
        <v xml:space="preserve">          SALÁRIOS</v>
      </c>
      <c r="O2212"/>
      <c r="P2212" s="303"/>
      <c r="Q2212" s="26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  <c r="BK2212"/>
      <c r="BL2212"/>
      <c r="BM2212"/>
      <c r="BN2212"/>
      <c r="BO2212"/>
      <c r="BP2212"/>
      <c r="BQ2212"/>
      <c r="BR2212"/>
      <c r="BS2212"/>
      <c r="BT2212"/>
      <c r="BU2212"/>
      <c r="BV2212"/>
      <c r="BW2212"/>
      <c r="BX2212"/>
      <c r="BY2212"/>
      <c r="BZ2212"/>
      <c r="CA2212"/>
      <c r="CB2212"/>
      <c r="CC2212"/>
      <c r="CD2212"/>
      <c r="CE2212"/>
      <c r="CF2212"/>
      <c r="CG2212"/>
      <c r="CH2212"/>
      <c r="CI2212"/>
      <c r="CJ2212"/>
      <c r="CK2212"/>
      <c r="CL2212"/>
      <c r="CM2212"/>
      <c r="CN2212"/>
      <c r="CO2212"/>
      <c r="CP2212"/>
      <c r="CQ2212"/>
      <c r="CR2212"/>
      <c r="CS2212"/>
      <c r="CT2212"/>
      <c r="CU2212"/>
      <c r="CV2212"/>
      <c r="CW2212"/>
      <c r="CX2212"/>
      <c r="CY2212"/>
      <c r="CZ2212"/>
      <c r="DA2212"/>
      <c r="DB2212"/>
      <c r="DC2212"/>
      <c r="DD2212"/>
      <c r="DE2212"/>
      <c r="DF2212"/>
      <c r="DG2212"/>
      <c r="DH2212"/>
      <c r="DI2212"/>
      <c r="DJ2212"/>
      <c r="DK2212"/>
      <c r="DL2212"/>
      <c r="DM2212"/>
      <c r="DN2212"/>
      <c r="DO2212"/>
      <c r="DP2212"/>
      <c r="DQ2212"/>
      <c r="DR2212"/>
      <c r="DS2212"/>
      <c r="DT2212"/>
      <c r="DU2212"/>
      <c r="DV2212"/>
      <c r="DW2212"/>
      <c r="DX2212"/>
      <c r="DY2212"/>
      <c r="DZ2212"/>
      <c r="EA2212"/>
      <c r="EB2212"/>
      <c r="EC2212"/>
      <c r="ED2212"/>
      <c r="EE2212"/>
      <c r="EF2212"/>
      <c r="EG2212"/>
    </row>
    <row r="2213" spans="1:137" s="22" customFormat="1" ht="15" customHeight="1" x14ac:dyDescent="0.3">
      <c r="A2213" s="19"/>
      <c r="B2213" s="21">
        <v>46119</v>
      </c>
      <c r="C2213" s="84" t="s">
        <v>15</v>
      </c>
      <c r="D2213" s="21" t="s">
        <v>117</v>
      </c>
      <c r="E2213" s="84"/>
      <c r="F2213" s="22" t="s">
        <v>853</v>
      </c>
      <c r="G2213" s="252">
        <v>922.36</v>
      </c>
      <c r="H2213" s="1"/>
      <c r="I2213" s="1">
        <f>COUNTIF(Tabela1[NF],Tabela1[[#This Row],[NF]])</f>
        <v>0</v>
      </c>
      <c r="J2213"/>
      <c r="K2213" s="21">
        <v>46119</v>
      </c>
      <c r="L2213"/>
      <c r="M2213"/>
      <c r="N2213" s="1" t="str" cm="1">
        <f t="array" ref="N2213">_xlfn.XLOOKUP(TRIM(D2213),TRIM(DFC!A:A),DFC!A:A,"NÃO ESTÁ NA DFC")</f>
        <v xml:space="preserve">          SALÁRIOS</v>
      </c>
      <c r="O2213"/>
      <c r="P2213" s="303"/>
      <c r="Q2213" s="262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  <c r="BF2213"/>
      <c r="BG2213"/>
      <c r="BH2213"/>
      <c r="BI2213"/>
      <c r="BJ2213"/>
      <c r="BK2213"/>
      <c r="BL2213"/>
      <c r="BM2213"/>
      <c r="BN2213"/>
      <c r="BO2213"/>
      <c r="BP2213"/>
      <c r="BQ2213"/>
      <c r="BR2213"/>
      <c r="BS2213"/>
      <c r="BT2213"/>
      <c r="BU2213"/>
      <c r="BV2213"/>
      <c r="BW2213"/>
      <c r="BX2213"/>
      <c r="BY2213"/>
      <c r="BZ2213"/>
      <c r="CA2213"/>
      <c r="CB2213"/>
      <c r="CC2213"/>
      <c r="CD2213"/>
      <c r="CE2213"/>
      <c r="CF2213"/>
      <c r="CG2213"/>
      <c r="CH2213"/>
      <c r="CI2213"/>
      <c r="CJ2213"/>
      <c r="CK2213"/>
      <c r="CL2213"/>
      <c r="CM2213"/>
      <c r="CN2213"/>
      <c r="CO2213"/>
      <c r="CP2213"/>
      <c r="CQ2213"/>
      <c r="CR2213"/>
      <c r="CS2213"/>
      <c r="CT2213"/>
      <c r="CU2213"/>
      <c r="CV2213"/>
      <c r="CW2213"/>
      <c r="CX2213"/>
      <c r="CY2213"/>
      <c r="CZ2213"/>
      <c r="DA2213"/>
      <c r="DB2213"/>
      <c r="DC2213"/>
      <c r="DD2213"/>
      <c r="DE2213"/>
      <c r="DF2213"/>
      <c r="DG2213"/>
      <c r="DH2213"/>
      <c r="DI2213"/>
      <c r="DJ2213"/>
      <c r="DK2213"/>
      <c r="DL2213"/>
      <c r="DM2213"/>
      <c r="DN2213"/>
      <c r="DO2213"/>
      <c r="DP2213"/>
      <c r="DQ2213"/>
      <c r="DR2213"/>
      <c r="DS2213"/>
      <c r="DT2213"/>
      <c r="DU2213"/>
      <c r="DV2213"/>
      <c r="DW2213"/>
      <c r="DX2213"/>
      <c r="DY2213"/>
      <c r="DZ2213"/>
      <c r="EA2213"/>
      <c r="EB2213"/>
      <c r="EC2213"/>
      <c r="ED2213"/>
      <c r="EE2213"/>
      <c r="EF2213"/>
      <c r="EG2213"/>
    </row>
    <row r="2214" spans="1:137" s="22" customFormat="1" ht="15" customHeight="1" x14ac:dyDescent="0.3">
      <c r="A2214" s="19"/>
      <c r="B2214" s="21">
        <v>46119</v>
      </c>
      <c r="C2214" s="84" t="s">
        <v>15</v>
      </c>
      <c r="D2214" s="21" t="s">
        <v>117</v>
      </c>
      <c r="E2214" s="84"/>
      <c r="F2214" s="22" t="s">
        <v>322</v>
      </c>
      <c r="G2214" s="252">
        <v>1535.05</v>
      </c>
      <c r="H2214" s="1"/>
      <c r="I2214" s="1">
        <f>COUNTIF(Tabela1[NF],Tabela1[[#This Row],[NF]])</f>
        <v>0</v>
      </c>
      <c r="J2214"/>
      <c r="K2214" s="21">
        <v>46119</v>
      </c>
      <c r="L2214"/>
      <c r="M2214"/>
      <c r="N2214" s="1" t="str" cm="1">
        <f t="array" ref="N2214">_xlfn.XLOOKUP(TRIM(D2214),TRIM(DFC!A:A),DFC!A:A,"NÃO ESTÁ NA DFC")</f>
        <v xml:space="preserve">          SALÁRIOS</v>
      </c>
      <c r="O2214"/>
      <c r="P2214" s="303"/>
      <c r="Q2214" s="262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  <c r="BF2214"/>
      <c r="BG2214"/>
      <c r="BH2214"/>
      <c r="BI2214"/>
      <c r="BJ2214"/>
      <c r="BK2214"/>
      <c r="BL2214"/>
      <c r="BM2214"/>
      <c r="BN2214"/>
      <c r="BO2214"/>
      <c r="BP2214"/>
      <c r="BQ2214"/>
      <c r="BR2214"/>
      <c r="BS2214"/>
      <c r="BT2214"/>
      <c r="BU2214"/>
      <c r="BV2214"/>
      <c r="BW2214"/>
      <c r="BX2214"/>
      <c r="BY2214"/>
      <c r="BZ2214"/>
      <c r="CA2214"/>
      <c r="CB2214"/>
      <c r="CC2214"/>
      <c r="CD2214"/>
      <c r="CE2214"/>
      <c r="CF2214"/>
      <c r="CG2214"/>
      <c r="CH2214"/>
      <c r="CI2214"/>
      <c r="CJ2214"/>
      <c r="CK2214"/>
      <c r="CL2214"/>
      <c r="CM2214"/>
      <c r="CN2214"/>
      <c r="CO2214"/>
      <c r="CP2214"/>
      <c r="CQ2214"/>
      <c r="CR2214"/>
      <c r="CS2214"/>
      <c r="CT2214"/>
      <c r="CU2214"/>
      <c r="CV2214"/>
      <c r="CW2214"/>
      <c r="CX2214"/>
      <c r="CY2214"/>
      <c r="CZ2214"/>
      <c r="DA2214"/>
      <c r="DB2214"/>
      <c r="DC2214"/>
      <c r="DD2214"/>
      <c r="DE2214"/>
      <c r="DF2214"/>
      <c r="DG2214"/>
      <c r="DH2214"/>
      <c r="DI2214"/>
      <c r="DJ2214"/>
      <c r="DK2214"/>
      <c r="DL2214"/>
      <c r="DM2214"/>
      <c r="DN2214"/>
      <c r="DO2214"/>
      <c r="DP2214"/>
      <c r="DQ2214"/>
      <c r="DR2214"/>
      <c r="DS2214"/>
      <c r="DT2214"/>
      <c r="DU2214"/>
      <c r="DV2214"/>
      <c r="DW2214"/>
      <c r="DX2214"/>
      <c r="DY2214"/>
      <c r="DZ2214"/>
      <c r="EA2214"/>
      <c r="EB2214"/>
      <c r="EC2214"/>
      <c r="ED2214"/>
      <c r="EE2214"/>
      <c r="EF2214"/>
      <c r="EG2214"/>
    </row>
    <row r="2215" spans="1:137" s="22" customFormat="1" ht="15" customHeight="1" x14ac:dyDescent="0.3">
      <c r="A2215" s="19"/>
      <c r="B2215" s="21">
        <v>46119</v>
      </c>
      <c r="C2215" s="84" t="s">
        <v>15</v>
      </c>
      <c r="D2215" s="21" t="s">
        <v>119</v>
      </c>
      <c r="E2215" s="84"/>
      <c r="F2215" s="22" t="s">
        <v>718</v>
      </c>
      <c r="G2215" s="252">
        <v>209.91</v>
      </c>
      <c r="H2215" s="1"/>
      <c r="I2215" s="1">
        <f>COUNTIF(Tabela1[NF],Tabela1[[#This Row],[NF]])</f>
        <v>0</v>
      </c>
      <c r="J2215"/>
      <c r="K2215" s="21">
        <v>46119</v>
      </c>
      <c r="L2215"/>
      <c r="M2215"/>
      <c r="N2215" s="1" t="str" cm="1">
        <f t="array" ref="N2215">_xlfn.XLOOKUP(TRIM(D2215),TRIM(DFC!A:A),DFC!A:A,"NÃO ESTÁ NA DFC")</f>
        <v xml:space="preserve">          SANEPAR</v>
      </c>
      <c r="O2215"/>
      <c r="P2215" s="303"/>
      <c r="Q2215" s="262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  <c r="BK2215"/>
      <c r="BL2215"/>
      <c r="BM2215"/>
      <c r="BN2215"/>
      <c r="BO2215"/>
      <c r="BP2215"/>
      <c r="BQ2215"/>
      <c r="BR2215"/>
      <c r="BS2215"/>
      <c r="BT2215"/>
      <c r="BU2215"/>
      <c r="BV2215"/>
      <c r="BW2215"/>
      <c r="BX2215"/>
      <c r="BY2215"/>
      <c r="BZ2215"/>
      <c r="CA2215"/>
      <c r="CB2215"/>
      <c r="CC2215"/>
      <c r="CD2215"/>
      <c r="CE2215"/>
      <c r="CF2215"/>
      <c r="CG2215"/>
      <c r="CH2215"/>
      <c r="CI2215"/>
      <c r="CJ2215"/>
      <c r="CK2215"/>
      <c r="CL2215"/>
      <c r="CM2215"/>
      <c r="CN2215"/>
      <c r="CO2215"/>
      <c r="CP2215"/>
      <c r="CQ2215"/>
      <c r="CR2215"/>
      <c r="CS2215"/>
      <c r="CT2215"/>
      <c r="CU2215"/>
      <c r="CV2215"/>
      <c r="CW2215"/>
      <c r="CX2215"/>
      <c r="CY2215"/>
      <c r="CZ2215"/>
      <c r="DA2215"/>
      <c r="DB2215"/>
      <c r="DC2215"/>
      <c r="DD2215"/>
      <c r="DE2215"/>
      <c r="DF2215"/>
      <c r="DG2215"/>
      <c r="DH2215"/>
      <c r="DI2215"/>
      <c r="DJ2215"/>
      <c r="DK2215"/>
      <c r="DL2215"/>
      <c r="DM2215"/>
      <c r="DN2215"/>
      <c r="DO2215"/>
      <c r="DP2215"/>
      <c r="DQ2215"/>
      <c r="DR2215"/>
      <c r="DS2215"/>
      <c r="DT2215"/>
      <c r="DU2215"/>
      <c r="DV2215"/>
      <c r="DW2215"/>
      <c r="DX2215"/>
      <c r="DY2215"/>
      <c r="DZ2215"/>
      <c r="EA2215"/>
      <c r="EB2215"/>
      <c r="EC2215"/>
      <c r="ED2215"/>
      <c r="EE2215"/>
      <c r="EF2215"/>
      <c r="EG2215"/>
    </row>
    <row r="2216" spans="1:137" s="22" customFormat="1" ht="15" customHeight="1" x14ac:dyDescent="0.3">
      <c r="A2216" s="19"/>
      <c r="B2216" s="21">
        <v>46119</v>
      </c>
      <c r="C2216" s="84" t="s">
        <v>15</v>
      </c>
      <c r="D2216" s="21" t="s">
        <v>78</v>
      </c>
      <c r="E2216" s="84"/>
      <c r="F2216" s="22" t="s">
        <v>431</v>
      </c>
      <c r="G2216" s="252">
        <v>88.18</v>
      </c>
      <c r="H2216" s="1"/>
      <c r="I2216" s="1">
        <f>COUNTIF(Tabela1[NF],Tabela1[[#This Row],[NF]])</f>
        <v>0</v>
      </c>
      <c r="J2216"/>
      <c r="K2216" s="21">
        <v>46119</v>
      </c>
      <c r="L2216"/>
      <c r="M2216"/>
      <c r="N2216" s="1" t="str" cm="1">
        <f t="array" ref="N2216">_xlfn.XLOOKUP(TRIM(D2216),TRIM(DFC!A:A),DFC!A:A,"NÃO ESTÁ NA DFC")</f>
        <v xml:space="preserve">          COPEL</v>
      </c>
      <c r="O2216"/>
      <c r="P2216" s="303"/>
      <c r="Q2216" s="262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  <c r="BK2216"/>
      <c r="BL2216"/>
      <c r="BM2216"/>
      <c r="BN2216"/>
      <c r="BO2216"/>
      <c r="BP2216"/>
      <c r="BQ2216"/>
      <c r="BR2216"/>
      <c r="BS2216"/>
      <c r="BT2216"/>
      <c r="BU2216"/>
      <c r="BV2216"/>
      <c r="BW2216"/>
      <c r="BX2216"/>
      <c r="BY2216"/>
      <c r="BZ2216"/>
      <c r="CA2216"/>
      <c r="CB2216"/>
      <c r="CC2216"/>
      <c r="CD2216"/>
      <c r="CE2216"/>
      <c r="CF2216"/>
      <c r="CG2216"/>
      <c r="CH2216"/>
      <c r="CI2216"/>
      <c r="CJ2216"/>
      <c r="CK2216"/>
      <c r="CL2216"/>
      <c r="CM2216"/>
      <c r="CN2216"/>
      <c r="CO2216"/>
      <c r="CP2216"/>
      <c r="CQ2216"/>
      <c r="CR2216"/>
      <c r="CS2216"/>
      <c r="CT2216"/>
      <c r="CU2216"/>
      <c r="CV2216"/>
      <c r="CW2216"/>
      <c r="CX2216"/>
      <c r="CY2216"/>
      <c r="CZ2216"/>
      <c r="DA2216"/>
      <c r="DB2216"/>
      <c r="DC2216"/>
      <c r="DD2216"/>
      <c r="DE2216"/>
      <c r="DF2216"/>
      <c r="DG2216"/>
      <c r="DH2216"/>
      <c r="DI2216"/>
      <c r="DJ2216"/>
      <c r="DK2216"/>
      <c r="DL2216"/>
      <c r="DM2216"/>
      <c r="DN2216"/>
      <c r="DO2216"/>
      <c r="DP2216"/>
      <c r="DQ2216"/>
      <c r="DR2216"/>
      <c r="DS2216"/>
      <c r="DT2216"/>
      <c r="DU2216"/>
      <c r="DV2216"/>
      <c r="DW2216"/>
      <c r="DX2216"/>
      <c r="DY2216"/>
      <c r="DZ2216"/>
      <c r="EA2216"/>
      <c r="EB2216"/>
      <c r="EC2216"/>
      <c r="ED2216"/>
      <c r="EE2216"/>
      <c r="EF2216"/>
      <c r="EG2216"/>
    </row>
    <row r="2217" spans="1:137" s="22" customFormat="1" ht="15" customHeight="1" x14ac:dyDescent="0.3">
      <c r="A2217" s="19"/>
      <c r="B2217" s="21">
        <v>46119</v>
      </c>
      <c r="C2217" s="84" t="s">
        <v>15</v>
      </c>
      <c r="D2217" s="84" t="s">
        <v>854</v>
      </c>
      <c r="E2217" s="84"/>
      <c r="F2217" s="494" t="s">
        <v>855</v>
      </c>
      <c r="G2217" s="252">
        <v>247.89</v>
      </c>
      <c r="H2217" s="1"/>
      <c r="I2217" s="1">
        <f>COUNTIF(Tabela1[NF],Tabela1[[#This Row],[NF]])</f>
        <v>0</v>
      </c>
      <c r="J2217"/>
      <c r="K2217" s="21">
        <v>46119</v>
      </c>
      <c r="L2217"/>
      <c r="M2217"/>
      <c r="N2217" s="1" t="str" cm="1">
        <f t="array" ref="N2217">_xlfn.XLOOKUP(TRIM(D2217),TRIM(DFC!A:A),DFC!A:A,"NÃO ESTÁ NA DFC")</f>
        <v>NÃO ESTÁ NA DFC</v>
      </c>
      <c r="O2217"/>
      <c r="P2217" s="303"/>
      <c r="Q2217" s="262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/>
      <c r="BI2217"/>
      <c r="BJ2217"/>
      <c r="BK2217"/>
      <c r="BL2217"/>
      <c r="BM2217"/>
      <c r="BN2217"/>
      <c r="BO2217"/>
      <c r="BP2217"/>
      <c r="BQ2217"/>
      <c r="BR2217"/>
      <c r="BS2217"/>
      <c r="BT2217"/>
      <c r="BU2217"/>
      <c r="BV2217"/>
      <c r="BW2217"/>
      <c r="BX2217"/>
      <c r="BY2217"/>
      <c r="BZ2217"/>
      <c r="CA2217"/>
      <c r="CB2217"/>
      <c r="CC2217"/>
      <c r="CD2217"/>
      <c r="CE2217"/>
      <c r="CF2217"/>
      <c r="CG2217"/>
      <c r="CH2217"/>
      <c r="CI2217"/>
      <c r="CJ2217"/>
      <c r="CK2217"/>
      <c r="CL2217"/>
      <c r="CM2217"/>
      <c r="CN2217"/>
      <c r="CO2217"/>
      <c r="CP2217"/>
      <c r="CQ2217"/>
      <c r="CR2217"/>
      <c r="CS2217"/>
      <c r="CT2217"/>
      <c r="CU2217"/>
      <c r="CV2217"/>
      <c r="CW2217"/>
      <c r="CX2217"/>
      <c r="CY2217"/>
      <c r="CZ2217"/>
      <c r="DA2217"/>
      <c r="DB2217"/>
      <c r="DC2217"/>
      <c r="DD2217"/>
      <c r="DE2217"/>
      <c r="DF2217"/>
      <c r="DG2217"/>
      <c r="DH2217"/>
      <c r="DI2217"/>
      <c r="DJ2217"/>
      <c r="DK2217"/>
      <c r="DL2217"/>
      <c r="DM2217"/>
      <c r="DN2217"/>
      <c r="DO2217"/>
      <c r="DP2217"/>
      <c r="DQ2217"/>
      <c r="DR2217"/>
      <c r="DS2217"/>
      <c r="DT2217"/>
      <c r="DU2217"/>
      <c r="DV2217"/>
      <c r="DW2217"/>
      <c r="DX2217"/>
      <c r="DY2217"/>
      <c r="DZ2217"/>
      <c r="EA2217"/>
      <c r="EB2217"/>
      <c r="EC2217"/>
      <c r="ED2217"/>
      <c r="EE2217"/>
      <c r="EF2217"/>
      <c r="EG2217"/>
    </row>
    <row r="2218" spans="1:137" s="22" customFormat="1" ht="15" customHeight="1" x14ac:dyDescent="0.3">
      <c r="A2218" s="19"/>
      <c r="B2218" s="21">
        <v>46119</v>
      </c>
      <c r="C2218" s="84" t="s">
        <v>15</v>
      </c>
      <c r="D2218" s="21" t="s">
        <v>78</v>
      </c>
      <c r="E2218" s="84"/>
      <c r="F2218" s="22" t="s">
        <v>431</v>
      </c>
      <c r="G2218" s="252">
        <v>87.38</v>
      </c>
      <c r="H2218" s="1"/>
      <c r="I2218" s="1">
        <f>COUNTIF(Tabela1[NF],Tabela1[[#This Row],[NF]])</f>
        <v>0</v>
      </c>
      <c r="J2218"/>
      <c r="K2218" s="21">
        <v>46119</v>
      </c>
      <c r="L2218"/>
      <c r="M2218"/>
      <c r="N2218" s="1" t="str" cm="1">
        <f t="array" ref="N2218">_xlfn.XLOOKUP(TRIM(D2218),TRIM(DFC!A:A),DFC!A:A,"NÃO ESTÁ NA DFC")</f>
        <v xml:space="preserve">          COPEL</v>
      </c>
      <c r="O2218"/>
      <c r="P2218" s="303"/>
      <c r="Q2218" s="262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/>
      <c r="BK2218"/>
      <c r="BL2218"/>
      <c r="BM2218"/>
      <c r="BN2218"/>
      <c r="BO2218"/>
      <c r="BP2218"/>
      <c r="BQ2218"/>
      <c r="BR2218"/>
      <c r="BS2218"/>
      <c r="BT2218"/>
      <c r="BU2218"/>
      <c r="BV2218"/>
      <c r="BW2218"/>
      <c r="BX2218"/>
      <c r="BY2218"/>
      <c r="BZ2218"/>
      <c r="CA2218"/>
      <c r="CB2218"/>
      <c r="CC2218"/>
      <c r="CD2218"/>
      <c r="CE2218"/>
      <c r="CF2218"/>
      <c r="CG2218"/>
      <c r="CH2218"/>
      <c r="CI2218"/>
      <c r="CJ2218"/>
      <c r="CK2218"/>
      <c r="CL2218"/>
      <c r="CM2218"/>
      <c r="CN2218"/>
      <c r="CO2218"/>
      <c r="CP2218"/>
      <c r="CQ2218"/>
      <c r="CR2218"/>
      <c r="CS2218"/>
      <c r="CT2218"/>
      <c r="CU2218"/>
      <c r="CV2218"/>
      <c r="CW2218"/>
      <c r="CX2218"/>
      <c r="CY2218"/>
      <c r="CZ2218"/>
      <c r="DA2218"/>
      <c r="DB2218"/>
      <c r="DC2218"/>
      <c r="DD2218"/>
      <c r="DE2218"/>
      <c r="DF2218"/>
      <c r="DG2218"/>
      <c r="DH2218"/>
      <c r="DI2218"/>
      <c r="DJ2218"/>
      <c r="DK2218"/>
      <c r="DL2218"/>
      <c r="DM2218"/>
      <c r="DN2218"/>
      <c r="DO2218"/>
      <c r="DP2218"/>
      <c r="DQ2218"/>
      <c r="DR2218"/>
      <c r="DS2218"/>
      <c r="DT2218"/>
      <c r="DU2218"/>
      <c r="DV2218"/>
      <c r="DW2218"/>
      <c r="DX2218"/>
      <c r="DY2218"/>
      <c r="DZ2218"/>
      <c r="EA2218"/>
      <c r="EB2218"/>
      <c r="EC2218"/>
      <c r="ED2218"/>
      <c r="EE2218"/>
      <c r="EF2218"/>
      <c r="EG2218"/>
    </row>
    <row r="2219" spans="1:137" s="22" customFormat="1" ht="15" customHeight="1" x14ac:dyDescent="0.3">
      <c r="A2219" s="19"/>
      <c r="B2219" s="21">
        <v>46119</v>
      </c>
      <c r="C2219" s="84" t="s">
        <v>15</v>
      </c>
      <c r="D2219" s="84" t="s">
        <v>117</v>
      </c>
      <c r="E2219" s="84"/>
      <c r="F2219" s="22" t="s">
        <v>441</v>
      </c>
      <c r="G2219" s="252">
        <v>1098.45</v>
      </c>
      <c r="H2219" s="1"/>
      <c r="I2219" s="1">
        <f>COUNTIF(Tabela1[NF],Tabela1[[#This Row],[NF]])</f>
        <v>0</v>
      </c>
      <c r="J2219"/>
      <c r="K2219" s="21">
        <v>46119</v>
      </c>
      <c r="L2219"/>
      <c r="M2219"/>
      <c r="N2219" s="1" t="str" cm="1">
        <f t="array" ref="N2219">_xlfn.XLOOKUP(TRIM(D2219),TRIM(DFC!A:A),DFC!A:A,"NÃO ESTÁ NA DFC")</f>
        <v xml:space="preserve">          SALÁRIOS</v>
      </c>
      <c r="O2219"/>
      <c r="P2219" s="303"/>
      <c r="Q2219" s="262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  <c r="BS2219"/>
      <c r="BT2219"/>
      <c r="BU2219"/>
      <c r="BV2219"/>
      <c r="BW2219"/>
      <c r="BX2219"/>
      <c r="BY2219"/>
      <c r="BZ2219"/>
      <c r="CA2219"/>
      <c r="CB2219"/>
      <c r="CC2219"/>
      <c r="CD2219"/>
      <c r="CE2219"/>
      <c r="CF2219"/>
      <c r="CG2219"/>
      <c r="CH2219"/>
      <c r="CI2219"/>
      <c r="CJ2219"/>
      <c r="CK2219"/>
      <c r="CL2219"/>
      <c r="CM2219"/>
      <c r="CN2219"/>
      <c r="CO2219"/>
      <c r="CP2219"/>
      <c r="CQ2219"/>
      <c r="CR2219"/>
      <c r="CS2219"/>
      <c r="CT2219"/>
      <c r="CU2219"/>
      <c r="CV2219"/>
      <c r="CW2219"/>
      <c r="CX2219"/>
      <c r="CY2219"/>
      <c r="CZ2219"/>
      <c r="DA2219"/>
      <c r="DB2219"/>
      <c r="DC2219"/>
      <c r="DD2219"/>
      <c r="DE2219"/>
      <c r="DF2219"/>
      <c r="DG2219"/>
      <c r="DH2219"/>
      <c r="DI2219"/>
      <c r="DJ2219"/>
      <c r="DK2219"/>
      <c r="DL2219"/>
      <c r="DM2219"/>
      <c r="DN2219"/>
      <c r="DO2219"/>
      <c r="DP2219"/>
      <c r="DQ2219"/>
      <c r="DR2219"/>
      <c r="DS2219"/>
      <c r="DT2219"/>
      <c r="DU2219"/>
      <c r="DV2219"/>
      <c r="DW2219"/>
      <c r="DX2219"/>
      <c r="DY2219"/>
      <c r="DZ2219"/>
      <c r="EA2219"/>
      <c r="EB2219"/>
      <c r="EC2219"/>
      <c r="ED2219"/>
      <c r="EE2219"/>
      <c r="EF2219"/>
      <c r="EG2219"/>
    </row>
    <row r="2220" spans="1:137" s="22" customFormat="1" ht="15" customHeight="1" x14ac:dyDescent="0.3">
      <c r="A2220" s="19">
        <v>165093</v>
      </c>
      <c r="B2220" s="21">
        <v>46119</v>
      </c>
      <c r="C2220" s="84" t="s">
        <v>15</v>
      </c>
      <c r="D2220" s="21" t="s">
        <v>19</v>
      </c>
      <c r="E2220" s="84"/>
      <c r="F2220" s="22" t="s">
        <v>228</v>
      </c>
      <c r="G2220" s="252">
        <v>5968.71</v>
      </c>
      <c r="H2220" s="1"/>
      <c r="I2220" s="1">
        <f>COUNTIF(Tabela1[NF],Tabela1[[#This Row],[NF]])</f>
        <v>1</v>
      </c>
      <c r="J2220"/>
      <c r="K2220" s="21">
        <v>46119</v>
      </c>
      <c r="L2220"/>
      <c r="M2220"/>
      <c r="N2220" s="1" t="str" cm="1">
        <f t="array" ref="N2220">_xlfn.XLOOKUP(TRIM(D2220),TRIM(DFC!A:A),DFC!A:A,"NÃO ESTÁ NA DFC")</f>
        <v xml:space="preserve">      PEÇAS</v>
      </c>
      <c r="O2220"/>
      <c r="P2220" s="303"/>
      <c r="Q2220" s="262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/>
      <c r="BI2220"/>
      <c r="BJ2220"/>
      <c r="BK2220"/>
      <c r="BL2220"/>
      <c r="BM2220"/>
      <c r="BN2220"/>
      <c r="BO2220"/>
      <c r="BP2220"/>
      <c r="BQ2220"/>
      <c r="BR2220"/>
      <c r="BS2220"/>
      <c r="BT2220"/>
      <c r="BU2220"/>
      <c r="BV2220"/>
      <c r="BW2220"/>
      <c r="BX2220"/>
      <c r="BY2220"/>
      <c r="BZ2220"/>
      <c r="CA2220"/>
      <c r="CB2220"/>
      <c r="CC2220"/>
      <c r="CD2220"/>
      <c r="CE2220"/>
      <c r="CF2220"/>
      <c r="CG2220"/>
      <c r="CH2220"/>
      <c r="CI2220"/>
      <c r="CJ2220"/>
      <c r="CK2220"/>
      <c r="CL2220"/>
      <c r="CM2220"/>
      <c r="CN2220"/>
      <c r="CO2220"/>
      <c r="CP2220"/>
      <c r="CQ2220"/>
      <c r="CR2220"/>
      <c r="CS2220"/>
      <c r="CT2220"/>
      <c r="CU2220"/>
      <c r="CV2220"/>
      <c r="CW2220"/>
      <c r="CX2220"/>
      <c r="CY2220"/>
      <c r="CZ2220"/>
      <c r="DA2220"/>
      <c r="DB2220"/>
      <c r="DC2220"/>
      <c r="DD2220"/>
      <c r="DE2220"/>
      <c r="DF2220"/>
      <c r="DG2220"/>
      <c r="DH2220"/>
      <c r="DI2220"/>
      <c r="DJ2220"/>
      <c r="DK2220"/>
      <c r="DL2220"/>
      <c r="DM2220"/>
      <c r="DN2220"/>
      <c r="DO2220"/>
      <c r="DP2220"/>
      <c r="DQ2220"/>
      <c r="DR2220"/>
      <c r="DS2220"/>
      <c r="DT2220"/>
      <c r="DU2220"/>
      <c r="DV2220"/>
      <c r="DW2220"/>
      <c r="DX2220"/>
      <c r="DY2220"/>
      <c r="DZ2220"/>
      <c r="EA2220"/>
      <c r="EB2220"/>
      <c r="EC2220"/>
      <c r="ED2220"/>
      <c r="EE2220"/>
      <c r="EF2220"/>
      <c r="EG2220"/>
    </row>
    <row r="2221" spans="1:137" s="22" customFormat="1" ht="15" customHeight="1" x14ac:dyDescent="0.3">
      <c r="A2221" s="19">
        <v>164999</v>
      </c>
      <c r="B2221" s="21">
        <v>46119</v>
      </c>
      <c r="C2221" s="84" t="s">
        <v>15</v>
      </c>
      <c r="D2221" s="21" t="s">
        <v>19</v>
      </c>
      <c r="E2221" s="84"/>
      <c r="F2221" s="22" t="s">
        <v>228</v>
      </c>
      <c r="G2221" s="252">
        <v>3024.7</v>
      </c>
      <c r="H2221" s="1"/>
      <c r="I2221" s="1">
        <f>COUNTIF(Tabela1[NF],Tabela1[[#This Row],[NF]])</f>
        <v>1</v>
      </c>
      <c r="J2221"/>
      <c r="K2221" s="21">
        <v>46119</v>
      </c>
      <c r="L2221"/>
      <c r="M2221"/>
      <c r="N2221" s="1" t="str" cm="1">
        <f t="array" ref="N2221">_xlfn.XLOOKUP(TRIM(D2221),TRIM(DFC!A:A),DFC!A:A,"NÃO ESTÁ NA DFC")</f>
        <v xml:space="preserve">      PEÇAS</v>
      </c>
      <c r="O2221"/>
      <c r="P2221" s="303"/>
      <c r="Q2221" s="262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/>
      <c r="BK2221"/>
      <c r="BL2221"/>
      <c r="BM2221"/>
      <c r="BN2221"/>
      <c r="BO2221"/>
      <c r="BP2221"/>
      <c r="BQ2221"/>
      <c r="BR2221"/>
      <c r="BS2221"/>
      <c r="BT2221"/>
      <c r="BU2221"/>
      <c r="BV2221"/>
      <c r="BW2221"/>
      <c r="BX2221"/>
      <c r="BY2221"/>
      <c r="BZ2221"/>
      <c r="CA2221"/>
      <c r="CB2221"/>
      <c r="CC2221"/>
      <c r="CD2221"/>
      <c r="CE2221"/>
      <c r="CF2221"/>
      <c r="CG2221"/>
      <c r="CH2221"/>
      <c r="CI2221"/>
      <c r="CJ2221"/>
      <c r="CK2221"/>
      <c r="CL2221"/>
      <c r="CM2221"/>
      <c r="CN2221"/>
      <c r="CO2221"/>
      <c r="CP2221"/>
      <c r="CQ2221"/>
      <c r="CR2221"/>
      <c r="CS2221"/>
      <c r="CT2221"/>
      <c r="CU2221"/>
      <c r="CV2221"/>
      <c r="CW2221"/>
      <c r="CX2221"/>
      <c r="CY2221"/>
      <c r="CZ2221"/>
      <c r="DA2221"/>
      <c r="DB2221"/>
      <c r="DC2221"/>
      <c r="DD2221"/>
      <c r="DE2221"/>
      <c r="DF2221"/>
      <c r="DG2221"/>
      <c r="DH2221"/>
      <c r="DI2221"/>
      <c r="DJ2221"/>
      <c r="DK2221"/>
      <c r="DL2221"/>
      <c r="DM2221"/>
      <c r="DN2221"/>
      <c r="DO2221"/>
      <c r="DP2221"/>
      <c r="DQ2221"/>
      <c r="DR2221"/>
      <c r="DS2221"/>
      <c r="DT2221"/>
      <c r="DU2221"/>
      <c r="DV2221"/>
      <c r="DW2221"/>
      <c r="DX2221"/>
      <c r="DY2221"/>
      <c r="DZ2221"/>
      <c r="EA2221"/>
      <c r="EB2221"/>
      <c r="EC2221"/>
      <c r="ED2221"/>
      <c r="EE2221"/>
      <c r="EF2221"/>
      <c r="EG2221"/>
    </row>
    <row r="2222" spans="1:137" s="22" customFormat="1" ht="15" customHeight="1" x14ac:dyDescent="0.3">
      <c r="A2222" s="19">
        <v>4877</v>
      </c>
      <c r="B2222" s="21">
        <v>46119</v>
      </c>
      <c r="C2222" s="84" t="s">
        <v>15</v>
      </c>
      <c r="D2222" s="84" t="s">
        <v>19</v>
      </c>
      <c r="E2222" s="84"/>
      <c r="F2222" s="22" t="s">
        <v>300</v>
      </c>
      <c r="G2222" s="252">
        <v>1467.91</v>
      </c>
      <c r="H2222" s="1"/>
      <c r="I2222" s="1">
        <f>COUNTIF(Tabela1[NF],Tabela1[[#This Row],[NF]])</f>
        <v>1</v>
      </c>
      <c r="J2222"/>
      <c r="K2222" s="21">
        <v>46119</v>
      </c>
      <c r="L2222"/>
      <c r="M2222"/>
      <c r="N2222" s="1" t="str" cm="1">
        <f t="array" ref="N2222">_xlfn.XLOOKUP(TRIM(D2222),TRIM(DFC!A:A),DFC!A:A,"NÃO ESTÁ NA DFC")</f>
        <v xml:space="preserve">      PEÇAS</v>
      </c>
      <c r="O2222"/>
      <c r="P2222" s="303"/>
      <c r="Q2222" s="26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  <c r="BF2222"/>
      <c r="BG2222"/>
      <c r="BH2222"/>
      <c r="BI2222"/>
      <c r="BJ2222"/>
      <c r="BK2222"/>
      <c r="BL2222"/>
      <c r="BM2222"/>
      <c r="BN2222"/>
      <c r="BO2222"/>
      <c r="BP2222"/>
      <c r="BQ2222"/>
      <c r="BR2222"/>
      <c r="BS2222"/>
      <c r="BT2222"/>
      <c r="BU2222"/>
      <c r="BV2222"/>
      <c r="BW2222"/>
      <c r="BX2222"/>
      <c r="BY2222"/>
      <c r="BZ2222"/>
      <c r="CA2222"/>
      <c r="CB2222"/>
      <c r="CC2222"/>
      <c r="CD2222"/>
      <c r="CE2222"/>
      <c r="CF2222"/>
      <c r="CG2222"/>
      <c r="CH2222"/>
      <c r="CI2222"/>
      <c r="CJ2222"/>
      <c r="CK2222"/>
      <c r="CL2222"/>
      <c r="CM2222"/>
      <c r="CN2222"/>
      <c r="CO2222"/>
      <c r="CP2222"/>
      <c r="CQ2222"/>
      <c r="CR2222"/>
      <c r="CS2222"/>
      <c r="CT2222"/>
      <c r="CU2222"/>
      <c r="CV2222"/>
      <c r="CW2222"/>
      <c r="CX2222"/>
      <c r="CY2222"/>
      <c r="CZ2222"/>
      <c r="DA2222"/>
      <c r="DB2222"/>
      <c r="DC2222"/>
      <c r="DD2222"/>
      <c r="DE2222"/>
      <c r="DF2222"/>
      <c r="DG2222"/>
      <c r="DH2222"/>
      <c r="DI2222"/>
      <c r="DJ2222"/>
      <c r="DK2222"/>
      <c r="DL2222"/>
      <c r="DM2222"/>
      <c r="DN2222"/>
      <c r="DO2222"/>
      <c r="DP2222"/>
      <c r="DQ2222"/>
      <c r="DR2222"/>
      <c r="DS2222"/>
      <c r="DT2222"/>
      <c r="DU2222"/>
      <c r="DV2222"/>
      <c r="DW2222"/>
      <c r="DX2222"/>
      <c r="DY2222"/>
      <c r="DZ2222"/>
      <c r="EA2222"/>
      <c r="EB2222"/>
      <c r="EC2222"/>
      <c r="ED2222"/>
      <c r="EE2222"/>
      <c r="EF2222"/>
      <c r="EG2222"/>
    </row>
    <row r="2223" spans="1:137" s="22" customFormat="1" ht="15" customHeight="1" x14ac:dyDescent="0.3">
      <c r="A2223" s="19">
        <v>30509</v>
      </c>
      <c r="B2223" s="21">
        <v>46119</v>
      </c>
      <c r="C2223" s="84" t="s">
        <v>15</v>
      </c>
      <c r="D2223" s="21" t="s">
        <v>154</v>
      </c>
      <c r="E2223" s="84"/>
      <c r="F2223" s="22" t="s">
        <v>302</v>
      </c>
      <c r="G2223" s="252">
        <v>2959.83</v>
      </c>
      <c r="H2223" s="1"/>
      <c r="I2223" s="1">
        <f>COUNTIF(Tabela1[NF],Tabela1[[#This Row],[NF]])</f>
        <v>1</v>
      </c>
      <c r="J2223"/>
      <c r="K2223" s="21">
        <v>46119</v>
      </c>
      <c r="L2223"/>
      <c r="M2223"/>
      <c r="N2223" s="1" t="str" cm="1">
        <f t="array" ref="N2223">_xlfn.XLOOKUP(TRIM(D2223),TRIM(DFC!A:A),DFC!A:A,"NÃO ESTÁ NA DFC")</f>
        <v xml:space="preserve">      EMBALAGENS</v>
      </c>
      <c r="O2223"/>
      <c r="P2223" s="303"/>
      <c r="Q2223" s="262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  <c r="BK2223"/>
      <c r="BL2223"/>
      <c r="BM2223"/>
      <c r="BN2223"/>
      <c r="BO2223"/>
      <c r="BP2223"/>
      <c r="BQ2223"/>
      <c r="BR2223"/>
      <c r="BS2223"/>
      <c r="BT2223"/>
      <c r="BU2223"/>
      <c r="BV2223"/>
      <c r="BW2223"/>
      <c r="BX2223"/>
      <c r="BY2223"/>
      <c r="BZ2223"/>
      <c r="CA2223"/>
      <c r="CB2223"/>
      <c r="CC2223"/>
      <c r="CD2223"/>
      <c r="CE2223"/>
      <c r="CF2223"/>
      <c r="CG2223"/>
      <c r="CH2223"/>
      <c r="CI2223"/>
      <c r="CJ2223"/>
      <c r="CK2223"/>
      <c r="CL2223"/>
      <c r="CM2223"/>
      <c r="CN2223"/>
      <c r="CO2223"/>
      <c r="CP2223"/>
      <c r="CQ2223"/>
      <c r="CR2223"/>
      <c r="CS2223"/>
      <c r="CT2223"/>
      <c r="CU2223"/>
      <c r="CV2223"/>
      <c r="CW2223"/>
      <c r="CX2223"/>
      <c r="CY2223"/>
      <c r="CZ2223"/>
      <c r="DA2223"/>
      <c r="DB2223"/>
      <c r="DC2223"/>
      <c r="DD2223"/>
      <c r="DE2223"/>
      <c r="DF2223"/>
      <c r="DG2223"/>
      <c r="DH2223"/>
      <c r="DI2223"/>
      <c r="DJ2223"/>
      <c r="DK2223"/>
      <c r="DL2223"/>
      <c r="DM2223"/>
      <c r="DN2223"/>
      <c r="DO2223"/>
      <c r="DP2223"/>
      <c r="DQ2223"/>
      <c r="DR2223"/>
      <c r="DS2223"/>
      <c r="DT2223"/>
      <c r="DU2223"/>
      <c r="DV2223"/>
      <c r="DW2223"/>
      <c r="DX2223"/>
      <c r="DY2223"/>
      <c r="DZ2223"/>
      <c r="EA2223"/>
      <c r="EB2223"/>
      <c r="EC2223"/>
      <c r="ED2223"/>
      <c r="EE2223"/>
      <c r="EF2223"/>
      <c r="EG2223"/>
    </row>
    <row r="2224" spans="1:137" s="22" customFormat="1" ht="15" customHeight="1" x14ac:dyDescent="0.3">
      <c r="A2224" s="19">
        <v>1111</v>
      </c>
      <c r="B2224" s="21">
        <v>46119</v>
      </c>
      <c r="C2224" s="84" t="s">
        <v>15</v>
      </c>
      <c r="D2224" s="21" t="s">
        <v>41</v>
      </c>
      <c r="E2224" s="84"/>
      <c r="F2224" s="22" t="s">
        <v>345</v>
      </c>
      <c r="G2224" s="252">
        <v>901.91</v>
      </c>
      <c r="H2224" s="1"/>
      <c r="I2224" s="1">
        <f>COUNTIF(Tabela1[NF],Tabela1[[#This Row],[NF]])</f>
        <v>1</v>
      </c>
      <c r="J2224"/>
      <c r="K2224" s="21">
        <v>46119</v>
      </c>
      <c r="L2224"/>
      <c r="M2224"/>
      <c r="N2224" s="1" t="str" cm="1">
        <f t="array" ref="N2224">_xlfn.XLOOKUP(TRIM(D2224),TRIM(DFC!A:A),DFC!A:A,"NÃO ESTÁ NA DFC")</f>
        <v xml:space="preserve">         T.I</v>
      </c>
      <c r="O2224"/>
      <c r="P2224" s="303"/>
      <c r="Q2224" s="262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  <c r="BK2224"/>
      <c r="BL2224"/>
      <c r="BM2224"/>
      <c r="BN2224"/>
      <c r="BO2224"/>
      <c r="BP2224"/>
      <c r="BQ2224"/>
      <c r="BR2224"/>
      <c r="BS2224"/>
      <c r="BT2224"/>
      <c r="BU2224"/>
      <c r="BV2224"/>
      <c r="BW2224"/>
      <c r="BX2224"/>
      <c r="BY2224"/>
      <c r="BZ2224"/>
      <c r="CA2224"/>
      <c r="CB2224"/>
      <c r="CC2224"/>
      <c r="CD2224"/>
      <c r="CE2224"/>
      <c r="CF2224"/>
      <c r="CG2224"/>
      <c r="CH2224"/>
      <c r="CI2224"/>
      <c r="CJ2224"/>
      <c r="CK2224"/>
      <c r="CL2224"/>
      <c r="CM2224"/>
      <c r="CN2224"/>
      <c r="CO2224"/>
      <c r="CP2224"/>
      <c r="CQ2224"/>
      <c r="CR2224"/>
      <c r="CS2224"/>
      <c r="CT2224"/>
      <c r="CU2224"/>
      <c r="CV2224"/>
      <c r="CW2224"/>
      <c r="CX2224"/>
      <c r="CY2224"/>
      <c r="CZ2224"/>
      <c r="DA2224"/>
      <c r="DB2224"/>
      <c r="DC2224"/>
      <c r="DD2224"/>
      <c r="DE2224"/>
      <c r="DF2224"/>
      <c r="DG2224"/>
      <c r="DH2224"/>
      <c r="DI2224"/>
      <c r="DJ2224"/>
      <c r="DK2224"/>
      <c r="DL2224"/>
      <c r="DM2224"/>
      <c r="DN2224"/>
      <c r="DO2224"/>
      <c r="DP2224"/>
      <c r="DQ2224"/>
      <c r="DR2224"/>
      <c r="DS2224"/>
      <c r="DT2224"/>
      <c r="DU2224"/>
      <c r="DV2224"/>
      <c r="DW2224"/>
      <c r="DX2224"/>
      <c r="DY2224"/>
      <c r="DZ2224"/>
      <c r="EA2224"/>
      <c r="EB2224"/>
      <c r="EC2224"/>
      <c r="ED2224"/>
      <c r="EE2224"/>
      <c r="EF2224"/>
      <c r="EG2224"/>
    </row>
    <row r="2225" spans="1:137" s="22" customFormat="1" ht="15" customHeight="1" x14ac:dyDescent="0.3">
      <c r="A2225" s="19">
        <v>1650743</v>
      </c>
      <c r="B2225" s="21">
        <v>46119</v>
      </c>
      <c r="C2225" s="84" t="s">
        <v>15</v>
      </c>
      <c r="D2225" s="21" t="s">
        <v>19</v>
      </c>
      <c r="E2225" s="84"/>
      <c r="F2225" s="22" t="s">
        <v>228</v>
      </c>
      <c r="G2225" s="252">
        <v>2299.91</v>
      </c>
      <c r="H2225" s="1"/>
      <c r="I2225" s="1">
        <f>COUNTIF(Tabela1[NF],Tabela1[[#This Row],[NF]])</f>
        <v>1</v>
      </c>
      <c r="J2225"/>
      <c r="K2225" s="21">
        <v>46119</v>
      </c>
      <c r="L2225"/>
      <c r="M2225"/>
      <c r="N2225" s="1" t="str" cm="1">
        <f t="array" ref="N2225">_xlfn.XLOOKUP(TRIM(D2225),TRIM(DFC!A:A),DFC!A:A,"NÃO ESTÁ NA DFC")</f>
        <v xml:space="preserve">      PEÇAS</v>
      </c>
      <c r="O2225"/>
      <c r="P2225" s="303"/>
      <c r="Q2225" s="262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  <c r="BF2225"/>
      <c r="BG2225"/>
      <c r="BH2225"/>
      <c r="BI2225"/>
      <c r="BJ2225"/>
      <c r="BK2225"/>
      <c r="BL2225"/>
      <c r="BM2225"/>
      <c r="BN2225"/>
      <c r="BO2225"/>
      <c r="BP2225"/>
      <c r="BQ2225"/>
      <c r="BR2225"/>
      <c r="BS2225"/>
      <c r="BT2225"/>
      <c r="BU2225"/>
      <c r="BV2225"/>
      <c r="BW2225"/>
      <c r="BX2225"/>
      <c r="BY2225"/>
      <c r="BZ2225"/>
      <c r="CA2225"/>
      <c r="CB2225"/>
      <c r="CC2225"/>
      <c r="CD2225"/>
      <c r="CE2225"/>
      <c r="CF2225"/>
      <c r="CG2225"/>
      <c r="CH2225"/>
      <c r="CI2225"/>
      <c r="CJ2225"/>
      <c r="CK2225"/>
      <c r="CL2225"/>
      <c r="CM2225"/>
      <c r="CN2225"/>
      <c r="CO2225"/>
      <c r="CP2225"/>
      <c r="CQ2225"/>
      <c r="CR2225"/>
      <c r="CS2225"/>
      <c r="CT2225"/>
      <c r="CU2225"/>
      <c r="CV2225"/>
      <c r="CW2225"/>
      <c r="CX2225"/>
      <c r="CY2225"/>
      <c r="CZ2225"/>
      <c r="DA2225"/>
      <c r="DB2225"/>
      <c r="DC2225"/>
      <c r="DD2225"/>
      <c r="DE2225"/>
      <c r="DF2225"/>
      <c r="DG2225"/>
      <c r="DH2225"/>
      <c r="DI2225"/>
      <c r="DJ2225"/>
      <c r="DK2225"/>
      <c r="DL2225"/>
      <c r="DM2225"/>
      <c r="DN2225"/>
      <c r="DO2225"/>
      <c r="DP2225"/>
      <c r="DQ2225"/>
      <c r="DR2225"/>
      <c r="DS2225"/>
      <c r="DT2225"/>
      <c r="DU2225"/>
      <c r="DV2225"/>
      <c r="DW2225"/>
      <c r="DX2225"/>
      <c r="DY2225"/>
      <c r="DZ2225"/>
      <c r="EA2225"/>
      <c r="EB2225"/>
      <c r="EC2225"/>
      <c r="ED2225"/>
      <c r="EE2225"/>
      <c r="EF2225"/>
      <c r="EG2225"/>
    </row>
    <row r="2226" spans="1:137" s="22" customFormat="1" ht="15" customHeight="1" x14ac:dyDescent="0.3">
      <c r="A2226" s="19"/>
      <c r="B2226" s="21">
        <v>46119</v>
      </c>
      <c r="C2226" s="84" t="s">
        <v>15</v>
      </c>
      <c r="D2226" s="84" t="s">
        <v>43</v>
      </c>
      <c r="E2226" s="84"/>
      <c r="F2226" s="22" t="s">
        <v>856</v>
      </c>
      <c r="G2226" s="252">
        <v>4390</v>
      </c>
      <c r="H2226" s="1"/>
      <c r="I2226" s="1">
        <f>COUNTIF(Tabela1[NF],Tabela1[[#This Row],[NF]])</f>
        <v>0</v>
      </c>
      <c r="J2226"/>
      <c r="K2226" s="21">
        <v>46119</v>
      </c>
      <c r="L2226"/>
      <c r="M2226"/>
      <c r="N2226" s="1" t="str" cm="1">
        <f t="array" ref="N2226">_xlfn.XLOOKUP(TRIM(D2226),TRIM(DFC!A:A),DFC!A:A,"NÃO ESTÁ NA DFC")</f>
        <v xml:space="preserve">          TRABALHISTA</v>
      </c>
      <c r="O2226"/>
      <c r="P2226" s="303"/>
      <c r="Q2226" s="262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  <c r="BF2226"/>
      <c r="BG2226"/>
      <c r="BH2226"/>
      <c r="BI2226"/>
      <c r="BJ2226"/>
      <c r="BK2226"/>
      <c r="BL2226"/>
      <c r="BM2226"/>
      <c r="BN2226"/>
      <c r="BO2226"/>
      <c r="BP2226"/>
      <c r="BQ2226"/>
      <c r="BR2226"/>
      <c r="BS2226"/>
      <c r="BT2226"/>
      <c r="BU2226"/>
      <c r="BV2226"/>
      <c r="BW2226"/>
      <c r="BX2226"/>
      <c r="BY2226"/>
      <c r="BZ2226"/>
      <c r="CA2226"/>
      <c r="CB2226"/>
      <c r="CC2226"/>
      <c r="CD2226"/>
      <c r="CE2226"/>
      <c r="CF2226"/>
      <c r="CG2226"/>
      <c r="CH2226"/>
      <c r="CI2226"/>
      <c r="CJ2226"/>
      <c r="CK2226"/>
      <c r="CL2226"/>
      <c r="CM2226"/>
      <c r="CN2226"/>
      <c r="CO2226"/>
      <c r="CP2226"/>
      <c r="CQ2226"/>
      <c r="CR2226"/>
      <c r="CS2226"/>
      <c r="CT2226"/>
      <c r="CU2226"/>
      <c r="CV2226"/>
      <c r="CW2226"/>
      <c r="CX2226"/>
      <c r="CY2226"/>
      <c r="CZ2226"/>
      <c r="DA2226"/>
      <c r="DB2226"/>
      <c r="DC2226"/>
      <c r="DD2226"/>
      <c r="DE2226"/>
      <c r="DF2226"/>
      <c r="DG2226"/>
      <c r="DH2226"/>
      <c r="DI2226"/>
      <c r="DJ2226"/>
      <c r="DK2226"/>
      <c r="DL2226"/>
      <c r="DM2226"/>
      <c r="DN2226"/>
      <c r="DO2226"/>
      <c r="DP2226"/>
      <c r="DQ2226"/>
      <c r="DR2226"/>
      <c r="DS2226"/>
      <c r="DT2226"/>
      <c r="DU2226"/>
      <c r="DV2226"/>
      <c r="DW2226"/>
      <c r="DX2226"/>
      <c r="DY2226"/>
      <c r="DZ2226"/>
      <c r="EA2226"/>
      <c r="EB2226"/>
      <c r="EC2226"/>
      <c r="ED2226"/>
      <c r="EE2226"/>
      <c r="EF2226"/>
      <c r="EG2226"/>
    </row>
    <row r="2227" spans="1:137" ht="15" customHeight="1" x14ac:dyDescent="0.3">
      <c r="A2227" s="19"/>
      <c r="B2227" s="400">
        <v>46120</v>
      </c>
      <c r="C2227" s="84" t="s">
        <v>15</v>
      </c>
      <c r="D2227" s="84" t="s">
        <v>854</v>
      </c>
      <c r="E2227" s="84"/>
      <c r="F2227" s="494" t="s">
        <v>857</v>
      </c>
      <c r="G2227" s="252">
        <v>80.73</v>
      </c>
      <c r="I2227" s="1">
        <f>COUNTIF(Tabela1[NF],Tabela1[[#This Row],[NF]])</f>
        <v>0</v>
      </c>
      <c r="K2227" s="400">
        <v>46120</v>
      </c>
      <c r="N2227" s="1" t="str" cm="1">
        <f t="array" ref="N2227">_xlfn.XLOOKUP(TRIM(D2227),TRIM(DFC!A:A),DFC!A:A,"NÃO ESTÁ NA DFC")</f>
        <v>NÃO ESTÁ NA DFC</v>
      </c>
    </row>
    <row r="2228" spans="1:137" ht="15" customHeight="1" x14ac:dyDescent="0.3">
      <c r="A2228" s="19"/>
      <c r="B2228" s="400">
        <v>46120</v>
      </c>
      <c r="C2228" s="84" t="s">
        <v>15</v>
      </c>
      <c r="D2228" s="84" t="s">
        <v>1997</v>
      </c>
      <c r="E2228" s="84"/>
      <c r="F2228" s="22" t="s">
        <v>859</v>
      </c>
      <c r="G2228" s="252">
        <v>826.7</v>
      </c>
      <c r="I2228" s="1">
        <f>COUNTIF(Tabela1[NF],Tabela1[[#This Row],[NF]])</f>
        <v>0</v>
      </c>
      <c r="K2228" s="400">
        <v>46120</v>
      </c>
      <c r="N2228" s="1" t="str" cm="1">
        <f t="array" ref="N2228">_xlfn.XLOOKUP(TRIM(D2228),TRIM(DFC!A:A),DFC!A:A,"NÃO ESTÁ NA DFC")</f>
        <v xml:space="preserve">          CONSORCIO</v>
      </c>
    </row>
    <row r="2229" spans="1:137" ht="15" customHeight="1" x14ac:dyDescent="0.3">
      <c r="A2229" s="19">
        <v>16104</v>
      </c>
      <c r="B2229" s="400">
        <v>46120</v>
      </c>
      <c r="C2229" s="84" t="s">
        <v>15</v>
      </c>
      <c r="D2229" s="91" t="s">
        <v>19</v>
      </c>
      <c r="E2229" s="84"/>
      <c r="F2229" s="22" t="s">
        <v>297</v>
      </c>
      <c r="G2229" s="252">
        <v>310.79000000000002</v>
      </c>
      <c r="I2229" s="1">
        <f>COUNTIF(Tabela1[NF],Tabela1[[#This Row],[NF]])</f>
        <v>2</v>
      </c>
      <c r="K2229" s="400">
        <v>46120</v>
      </c>
      <c r="N2229" s="1" t="str" cm="1">
        <f t="array" ref="N2229">_xlfn.XLOOKUP(TRIM(D2229),TRIM(DFC!A:A),DFC!A:A,"NÃO ESTÁ NA DFC")</f>
        <v xml:space="preserve">      PEÇAS</v>
      </c>
    </row>
    <row r="2230" spans="1:137" ht="15" customHeight="1" x14ac:dyDescent="0.3">
      <c r="A2230" s="19">
        <v>70518</v>
      </c>
      <c r="B2230" s="400">
        <v>46120</v>
      </c>
      <c r="C2230" s="84" t="s">
        <v>15</v>
      </c>
      <c r="D2230" s="84" t="s">
        <v>19</v>
      </c>
      <c r="E2230" s="84"/>
      <c r="F2230" s="22" t="s">
        <v>860</v>
      </c>
      <c r="G2230" s="252">
        <v>1033.08</v>
      </c>
      <c r="I2230" s="1">
        <f>COUNTIF(Tabela1[NF],Tabela1[[#This Row],[NF]])</f>
        <v>1</v>
      </c>
      <c r="K2230" s="400">
        <v>46120</v>
      </c>
      <c r="N2230" s="1" t="str" cm="1">
        <f t="array" ref="N2230">_xlfn.XLOOKUP(TRIM(D2230),TRIM(DFC!A:A),DFC!A:A,"NÃO ESTÁ NA DFC")</f>
        <v xml:space="preserve">      PEÇAS</v>
      </c>
    </row>
    <row r="2231" spans="1:137" ht="15" customHeight="1" x14ac:dyDescent="0.3">
      <c r="A2231" s="19">
        <v>30334</v>
      </c>
      <c r="B2231" s="400">
        <v>46120</v>
      </c>
      <c r="C2231" s="84" t="s">
        <v>15</v>
      </c>
      <c r="D2231" s="91" t="s">
        <v>154</v>
      </c>
      <c r="E2231" s="84"/>
      <c r="F2231" s="22" t="s">
        <v>302</v>
      </c>
      <c r="G2231" s="252">
        <v>2959.84</v>
      </c>
      <c r="I2231" s="1">
        <f>COUNTIF(Tabela1[NF],Tabela1[[#This Row],[NF]])</f>
        <v>1</v>
      </c>
      <c r="K2231" s="400">
        <v>46120</v>
      </c>
      <c r="N2231" s="1" t="str" cm="1">
        <f t="array" ref="N2231">_xlfn.XLOOKUP(TRIM(D2231),TRIM(DFC!A:A),DFC!A:A,"NÃO ESTÁ NA DFC")</f>
        <v xml:space="preserve">      EMBALAGENS</v>
      </c>
    </row>
    <row r="2232" spans="1:137" ht="15" customHeight="1" x14ac:dyDescent="0.3">
      <c r="A2232" s="19">
        <v>16104</v>
      </c>
      <c r="B2232" s="400">
        <v>46120</v>
      </c>
      <c r="C2232" s="84" t="s">
        <v>15</v>
      </c>
      <c r="D2232" s="91" t="s">
        <v>19</v>
      </c>
      <c r="E2232" s="84"/>
      <c r="F2232" s="22" t="s">
        <v>455</v>
      </c>
      <c r="G2232" s="252">
        <v>868.28</v>
      </c>
      <c r="I2232" s="1">
        <f>COUNTIF(Tabela1[NF],Tabela1[[#This Row],[NF]])</f>
        <v>2</v>
      </c>
      <c r="K2232" s="400">
        <v>46120</v>
      </c>
      <c r="N2232" s="1" t="str" cm="1">
        <f t="array" ref="N2232">_xlfn.XLOOKUP(TRIM(D2232),TRIM(DFC!A:A),DFC!A:A,"NÃO ESTÁ NA DFC")</f>
        <v xml:space="preserve">      PEÇAS</v>
      </c>
    </row>
    <row r="2233" spans="1:137" ht="15" customHeight="1" x14ac:dyDescent="0.3">
      <c r="A2233" s="19">
        <v>165287</v>
      </c>
      <c r="B2233" s="400">
        <v>46120</v>
      </c>
      <c r="C2233" s="84" t="s">
        <v>15</v>
      </c>
      <c r="D2233" s="91" t="s">
        <v>19</v>
      </c>
      <c r="E2233" s="84"/>
      <c r="F2233" s="22" t="s">
        <v>228</v>
      </c>
      <c r="G2233" s="252">
        <v>5461.88</v>
      </c>
      <c r="I2233" s="1">
        <f>COUNTIF(Tabela1[NF],Tabela1[[#This Row],[NF]])</f>
        <v>2</v>
      </c>
      <c r="K2233" s="400">
        <v>46120</v>
      </c>
      <c r="N2233" s="1" t="str" cm="1">
        <f t="array" ref="N2233">_xlfn.XLOOKUP(TRIM(D2233),TRIM(DFC!A:A),DFC!A:A,"NÃO ESTÁ NA DFC")</f>
        <v xml:space="preserve">      PEÇAS</v>
      </c>
    </row>
    <row r="2234" spans="1:137" ht="15" customHeight="1" x14ac:dyDescent="0.3">
      <c r="A2234" s="19">
        <v>165267</v>
      </c>
      <c r="B2234" s="400">
        <v>46120</v>
      </c>
      <c r="C2234" s="84" t="s">
        <v>15</v>
      </c>
      <c r="D2234" s="91" t="s">
        <v>19</v>
      </c>
      <c r="E2234" s="84"/>
      <c r="F2234" s="22" t="s">
        <v>228</v>
      </c>
      <c r="G2234" s="252">
        <v>1522.38</v>
      </c>
      <c r="I2234" s="1">
        <f>COUNTIF(Tabela1[NF],Tabela1[[#This Row],[NF]])</f>
        <v>1</v>
      </c>
      <c r="K2234" s="400">
        <v>46120</v>
      </c>
      <c r="N2234" s="1" t="str" cm="1">
        <f t="array" ref="N2234">_xlfn.XLOOKUP(TRIM(D2234),TRIM(DFC!A:A),DFC!A:A,"NÃO ESTÁ NA DFC")</f>
        <v xml:space="preserve">      PEÇAS</v>
      </c>
    </row>
    <row r="2235" spans="1:137" ht="15" customHeight="1" x14ac:dyDescent="0.3">
      <c r="A2235" s="19">
        <v>16105</v>
      </c>
      <c r="B2235" s="400">
        <v>46120</v>
      </c>
      <c r="C2235" s="84" t="s">
        <v>15</v>
      </c>
      <c r="D2235" s="91" t="s">
        <v>19</v>
      </c>
      <c r="E2235" s="84"/>
      <c r="F2235" s="22" t="s">
        <v>297</v>
      </c>
      <c r="G2235" s="252">
        <v>298.14</v>
      </c>
      <c r="I2235" s="1">
        <f>COUNTIF(Tabela1[NF],Tabela1[[#This Row],[NF]])</f>
        <v>1</v>
      </c>
      <c r="K2235" s="400">
        <v>46120</v>
      </c>
      <c r="N2235" s="1" t="str" cm="1">
        <f t="array" ref="N2235">_xlfn.XLOOKUP(TRIM(D2235),TRIM(DFC!A:A),DFC!A:A,"NÃO ESTÁ NA DFC")</f>
        <v xml:space="preserve">      PEÇAS</v>
      </c>
    </row>
    <row r="2236" spans="1:137" ht="15" customHeight="1" x14ac:dyDescent="0.3">
      <c r="A2236" s="19">
        <v>52633</v>
      </c>
      <c r="B2236" s="400">
        <v>46120</v>
      </c>
      <c r="C2236" s="84" t="s">
        <v>15</v>
      </c>
      <c r="D2236" s="91" t="s">
        <v>19</v>
      </c>
      <c r="E2236" s="84"/>
      <c r="F2236" s="22" t="s">
        <v>382</v>
      </c>
      <c r="G2236" s="252">
        <v>1874.61</v>
      </c>
      <c r="I2236" s="1">
        <f>COUNTIF(Tabela1[NF],Tabela1[[#This Row],[NF]])</f>
        <v>1</v>
      </c>
      <c r="K2236" s="400">
        <v>46120</v>
      </c>
      <c r="N2236" s="1" t="str" cm="1">
        <f t="array" ref="N2236">_xlfn.XLOOKUP(TRIM(D2236),TRIM(DFC!A:A),DFC!A:A,"NÃO ESTÁ NA DFC")</f>
        <v xml:space="preserve">      PEÇAS</v>
      </c>
    </row>
    <row r="2237" spans="1:137" ht="15" customHeight="1" x14ac:dyDescent="0.3">
      <c r="A2237" s="19"/>
      <c r="B2237" s="400">
        <v>46120</v>
      </c>
      <c r="C2237" s="84" t="s">
        <v>15</v>
      </c>
      <c r="D2237" s="84" t="s">
        <v>82</v>
      </c>
      <c r="E2237" s="84" t="s">
        <v>861</v>
      </c>
      <c r="F2237" s="22" t="s">
        <v>595</v>
      </c>
      <c r="G2237" s="252">
        <v>300</v>
      </c>
      <c r="I2237" s="1">
        <f>COUNTIF(Tabela1[NF],Tabela1[[#This Row],[NF]])</f>
        <v>0</v>
      </c>
      <c r="K2237" s="400">
        <v>46120</v>
      </c>
      <c r="N2237" s="1" t="str" cm="1">
        <f t="array" ref="N2237">_xlfn.XLOOKUP(TRIM(D2237),TRIM(DFC!A:A),DFC!A:A,"NÃO ESTÁ NA DFC")</f>
        <v xml:space="preserve">          DIÁRIAS</v>
      </c>
    </row>
    <row r="2238" spans="1:137" ht="15" customHeight="1" x14ac:dyDescent="0.3">
      <c r="A2238" s="19"/>
      <c r="B2238" s="400">
        <v>46120</v>
      </c>
      <c r="C2238" s="84" t="s">
        <v>15</v>
      </c>
      <c r="D2238" s="21" t="s">
        <v>43</v>
      </c>
      <c r="E2238" s="84"/>
      <c r="F2238" s="22" t="s">
        <v>474</v>
      </c>
      <c r="G2238" s="252">
        <v>2000</v>
      </c>
      <c r="I2238" s="1">
        <f>COUNTIF(Tabela1[NF],Tabela1[[#This Row],[NF]])</f>
        <v>0</v>
      </c>
      <c r="K2238" s="400">
        <v>46120</v>
      </c>
      <c r="N2238" s="1" t="str" cm="1">
        <f t="array" ref="N2238">_xlfn.XLOOKUP(TRIM(D2238),TRIM(DFC!A:A),DFC!A:A,"NÃO ESTÁ NA DFC")</f>
        <v xml:space="preserve">          TRABALHISTA</v>
      </c>
    </row>
    <row r="2239" spans="1:137" ht="15" customHeight="1" x14ac:dyDescent="0.3">
      <c r="A2239" s="19"/>
      <c r="B2239" s="400">
        <v>46120</v>
      </c>
      <c r="C2239" s="84" t="s">
        <v>15</v>
      </c>
      <c r="D2239" s="91" t="s">
        <v>82</v>
      </c>
      <c r="E2239" s="84"/>
      <c r="F2239" s="22" t="s">
        <v>862</v>
      </c>
      <c r="G2239" s="252">
        <v>500</v>
      </c>
      <c r="I2239" s="1">
        <f>COUNTIF(Tabela1[NF],Tabela1[[#This Row],[NF]])</f>
        <v>0</v>
      </c>
      <c r="K2239" s="400">
        <v>46120</v>
      </c>
      <c r="N2239" s="1" t="str" cm="1">
        <f t="array" ref="N2239">_xlfn.XLOOKUP(TRIM(D2239),TRIM(DFC!A:A),DFC!A:A,"NÃO ESTÁ NA DFC")</f>
        <v xml:space="preserve">          DIÁRIAS</v>
      </c>
    </row>
    <row r="2240" spans="1:137" ht="15" customHeight="1" x14ac:dyDescent="0.3">
      <c r="A2240" s="19"/>
      <c r="B2240" s="400">
        <v>46120</v>
      </c>
      <c r="C2240" s="84" t="s">
        <v>15</v>
      </c>
      <c r="D2240" s="91" t="s">
        <v>246</v>
      </c>
      <c r="E2240" s="84"/>
      <c r="F2240" s="22" t="s">
        <v>441</v>
      </c>
      <c r="G2240" s="252">
        <v>903.07</v>
      </c>
      <c r="I2240" s="1">
        <f>COUNTIF(Tabela1[NF],Tabela1[[#This Row],[NF]])</f>
        <v>0</v>
      </c>
      <c r="K2240" s="400">
        <v>46120</v>
      </c>
      <c r="N2240" s="1" t="str" cm="1">
        <f t="array" ref="N2240">_xlfn.XLOOKUP(TRIM(D2240),TRIM(DFC!A:A),DFC!A:A,"NÃO ESTÁ NA DFC")</f>
        <v xml:space="preserve">          VALES</v>
      </c>
    </row>
    <row r="2241" spans="1:14" ht="15" customHeight="1" x14ac:dyDescent="0.3">
      <c r="A2241" s="19"/>
      <c r="B2241" s="400">
        <v>46120</v>
      </c>
      <c r="C2241" s="84" t="s">
        <v>15</v>
      </c>
      <c r="D2241" s="84" t="s">
        <v>19</v>
      </c>
      <c r="E2241" s="84" t="s">
        <v>863</v>
      </c>
      <c r="F2241" s="22" t="s">
        <v>103</v>
      </c>
      <c r="G2241" s="252">
        <v>19567.97</v>
      </c>
      <c r="I2241" s="1">
        <f>COUNTIF(Tabela1[NF],Tabela1[[#This Row],[NF]])</f>
        <v>0</v>
      </c>
      <c r="K2241" s="400">
        <v>46120</v>
      </c>
      <c r="N2241" s="1" t="str" cm="1">
        <f t="array" ref="N2241">_xlfn.XLOOKUP(TRIM(D2241),TRIM(DFC!A:A),DFC!A:A,"NÃO ESTÁ NA DFC")</f>
        <v xml:space="preserve">      PEÇAS</v>
      </c>
    </row>
    <row r="2242" spans="1:14" ht="15" customHeight="1" x14ac:dyDescent="0.3">
      <c r="A2242" s="19"/>
      <c r="B2242" s="400">
        <v>46121</v>
      </c>
      <c r="C2242" s="84" t="s">
        <v>15</v>
      </c>
      <c r="D2242" s="21" t="s">
        <v>111</v>
      </c>
      <c r="E2242" s="84"/>
      <c r="F2242" s="372" t="s">
        <v>114</v>
      </c>
      <c r="G2242" s="252">
        <v>19.57</v>
      </c>
      <c r="I2242" s="1">
        <f>COUNTIF(Tabela1[NF],Tabela1[[#This Row],[NF]])</f>
        <v>0</v>
      </c>
      <c r="K2242" s="400">
        <v>46121</v>
      </c>
      <c r="N2242" s="1" t="str" cm="1">
        <f t="array" ref="N2242">_xlfn.XLOOKUP(TRIM(D2242),TRIM(DFC!A:A),DFC!A:A,"NÃO ESTÁ NA DFC")</f>
        <v xml:space="preserve">          TX. BANCÁRIA</v>
      </c>
    </row>
    <row r="2243" spans="1:14" ht="15" customHeight="1" x14ac:dyDescent="0.3">
      <c r="A2243" s="19">
        <v>16103</v>
      </c>
      <c r="B2243" s="400">
        <v>46121</v>
      </c>
      <c r="C2243" s="84" t="s">
        <v>15</v>
      </c>
      <c r="D2243" s="84" t="s">
        <v>19</v>
      </c>
      <c r="E2243" s="84"/>
      <c r="F2243" s="372" t="s">
        <v>455</v>
      </c>
      <c r="G2243" s="252">
        <v>1560.58</v>
      </c>
      <c r="I2243" s="1">
        <f>COUNTIF(Tabela1[NF],Tabela1[[#This Row],[NF]])</f>
        <v>1</v>
      </c>
      <c r="K2243" s="400">
        <v>46121</v>
      </c>
      <c r="N2243" s="1" t="str" cm="1">
        <f t="array" ref="N2243">_xlfn.XLOOKUP(TRIM(D2243),TRIM(DFC!A:A),DFC!A:A,"NÃO ESTÁ NA DFC")</f>
        <v xml:space="preserve">      PEÇAS</v>
      </c>
    </row>
    <row r="2244" spans="1:14" ht="15" customHeight="1" x14ac:dyDescent="0.3">
      <c r="A2244" s="19">
        <v>13040</v>
      </c>
      <c r="B2244" s="400">
        <v>46121</v>
      </c>
      <c r="C2244" s="84" t="s">
        <v>15</v>
      </c>
      <c r="D2244" s="21" t="s">
        <v>37</v>
      </c>
      <c r="E2244" s="84"/>
      <c r="F2244" s="372" t="s">
        <v>341</v>
      </c>
      <c r="G2244" s="252">
        <v>239.9</v>
      </c>
      <c r="I2244" s="1">
        <f>COUNTIF(Tabela1[NF],Tabela1[[#This Row],[NF]])</f>
        <v>1</v>
      </c>
      <c r="K2244" s="400">
        <v>46121</v>
      </c>
      <c r="N2244" s="1" t="str" cm="1">
        <f t="array" ref="N2244">_xlfn.XLOOKUP(TRIM(D2244),TRIM(DFC!A:A),DFC!A:A,"NÃO ESTÁ NA DFC")</f>
        <v xml:space="preserve">          MATERIAL DE ESCRITÓRIO</v>
      </c>
    </row>
    <row r="2245" spans="1:14" ht="15" customHeight="1" x14ac:dyDescent="0.3">
      <c r="A2245" s="19">
        <v>306721</v>
      </c>
      <c r="B2245" s="400">
        <v>46121</v>
      </c>
      <c r="C2245" s="84" t="s">
        <v>15</v>
      </c>
      <c r="D2245" s="84" t="s">
        <v>29</v>
      </c>
      <c r="E2245" s="84"/>
      <c r="F2245" s="372" t="s">
        <v>122</v>
      </c>
      <c r="G2245" s="252">
        <v>166.86</v>
      </c>
      <c r="I2245" s="1">
        <f>COUNTIF(Tabela1[NF],Tabela1[[#This Row],[NF]])</f>
        <v>1</v>
      </c>
      <c r="K2245" s="400">
        <v>46121</v>
      </c>
      <c r="N2245" s="1" t="str" cm="1">
        <f t="array" ref="N2245">_xlfn.XLOOKUP(TRIM(D2245),TRIM(DFC!A:A),DFC!A:A,"NÃO ESTÁ NA DFC")</f>
        <v xml:space="preserve">      FRETE DE SAÍDA</v>
      </c>
    </row>
    <row r="2246" spans="1:14" ht="15" customHeight="1" x14ac:dyDescent="0.3">
      <c r="A2246" s="19"/>
      <c r="B2246" s="400">
        <v>46121</v>
      </c>
      <c r="C2246" s="84" t="s">
        <v>15</v>
      </c>
      <c r="D2246" s="401" t="s">
        <v>115</v>
      </c>
      <c r="E2246" s="84"/>
      <c r="F2246" s="372" t="s">
        <v>327</v>
      </c>
      <c r="G2246" s="252">
        <v>10872.76</v>
      </c>
      <c r="I2246" s="1">
        <f>COUNTIF(Tabela1[NF],Tabela1[[#This Row],[NF]])</f>
        <v>0</v>
      </c>
      <c r="K2246" s="400">
        <v>46121</v>
      </c>
      <c r="N2246" s="1" t="str" cm="1">
        <f t="array" ref="N2246">_xlfn.XLOOKUP(TRIM(D2246),TRIM(DFC!A:A),DFC!A:A,"NÃO ESTÁ NA DFC")</f>
        <v xml:space="preserve">          RESCISÕES</v>
      </c>
    </row>
    <row r="2247" spans="1:14" ht="15" customHeight="1" x14ac:dyDescent="0.3">
      <c r="A2247" s="19"/>
      <c r="B2247" s="400">
        <v>46121</v>
      </c>
      <c r="C2247" s="84" t="s">
        <v>15</v>
      </c>
      <c r="D2247" s="84" t="s">
        <v>19</v>
      </c>
      <c r="E2247" s="84" t="s">
        <v>864</v>
      </c>
      <c r="F2247" s="372" t="s">
        <v>103</v>
      </c>
      <c r="G2247" s="252">
        <v>1000</v>
      </c>
      <c r="I2247" s="1">
        <f>COUNTIF(Tabela1[NF],Tabela1[[#This Row],[NF]])</f>
        <v>0</v>
      </c>
      <c r="K2247" s="400">
        <v>46121</v>
      </c>
      <c r="N2247" s="1" t="str" cm="1">
        <f t="array" ref="N2247">_xlfn.XLOOKUP(TRIM(D2247),TRIM(DFC!A:A),DFC!A:A,"NÃO ESTÁ NA DFC")</f>
        <v xml:space="preserve">      PEÇAS</v>
      </c>
    </row>
    <row r="2248" spans="1:14" ht="15" customHeight="1" x14ac:dyDescent="0.3">
      <c r="A2248" s="19"/>
      <c r="B2248" s="21">
        <v>46094</v>
      </c>
      <c r="C2248" s="280" t="s">
        <v>202</v>
      </c>
      <c r="D2248" s="21" t="s">
        <v>19</v>
      </c>
      <c r="E2248" s="20"/>
      <c r="F2248" s="22" t="s">
        <v>865</v>
      </c>
      <c r="G2248" s="252">
        <v>968</v>
      </c>
      <c r="I2248" s="1">
        <f>COUNTIF(Tabela1[NF],Tabela1[[#This Row],[NF]])</f>
        <v>0</v>
      </c>
      <c r="K2248" s="26">
        <v>46094</v>
      </c>
      <c r="N2248" s="14" t="str" cm="1">
        <f t="array" ref="N2248">_xlfn.XLOOKUP(TRIM(D2248),TRIM(DFC!A:A),DFC!A:A,"NÃO ESTÁ NA DFC")</f>
        <v xml:space="preserve">      PEÇAS</v>
      </c>
    </row>
    <row r="2249" spans="1:14" ht="15" customHeight="1" x14ac:dyDescent="0.3">
      <c r="A2249" s="19"/>
      <c r="B2249" s="21">
        <v>46094</v>
      </c>
      <c r="C2249" s="280" t="s">
        <v>202</v>
      </c>
      <c r="D2249" s="21" t="s">
        <v>19</v>
      </c>
      <c r="E2249" s="20"/>
      <c r="F2249" s="22" t="s">
        <v>866</v>
      </c>
      <c r="G2249" s="252">
        <v>140</v>
      </c>
      <c r="I2249" s="1">
        <f>COUNTIF(Tabela1[NF],Tabela1[[#This Row],[NF]])</f>
        <v>0</v>
      </c>
      <c r="K2249" s="26">
        <v>46094</v>
      </c>
      <c r="N2249" s="14" t="str" cm="1">
        <f t="array" ref="N2249">_xlfn.XLOOKUP(TRIM(D2249),TRIM(DFC!A:A),DFC!A:A,"NÃO ESTÁ NA DFC")</f>
        <v xml:space="preserve">      PEÇAS</v>
      </c>
    </row>
    <row r="2250" spans="1:14" ht="15" customHeight="1" x14ac:dyDescent="0.3">
      <c r="A2250" s="19"/>
      <c r="B2250" s="21">
        <v>46094</v>
      </c>
      <c r="C2250" s="280" t="s">
        <v>202</v>
      </c>
      <c r="D2250" s="21" t="s">
        <v>19</v>
      </c>
      <c r="E2250" s="20"/>
      <c r="F2250" s="22" t="s">
        <v>867</v>
      </c>
      <c r="G2250" s="252">
        <v>40</v>
      </c>
      <c r="I2250" s="1">
        <f>COUNTIF(Tabela1[NF],Tabela1[[#This Row],[NF]])</f>
        <v>0</v>
      </c>
      <c r="K2250" s="26">
        <v>46094</v>
      </c>
      <c r="N2250" s="14" t="str" cm="1">
        <f t="array" ref="N2250">_xlfn.XLOOKUP(TRIM(D2250),TRIM(DFC!A:A),DFC!A:A,"NÃO ESTÁ NA DFC")</f>
        <v xml:space="preserve">      PEÇAS</v>
      </c>
    </row>
    <row r="2251" spans="1:14" ht="15" customHeight="1" x14ac:dyDescent="0.3">
      <c r="A2251" s="19"/>
      <c r="B2251" s="21">
        <v>46094</v>
      </c>
      <c r="C2251" s="280" t="s">
        <v>202</v>
      </c>
      <c r="D2251" s="21" t="s">
        <v>475</v>
      </c>
      <c r="E2251" s="20"/>
      <c r="F2251" s="22" t="s">
        <v>868</v>
      </c>
      <c r="G2251" s="252">
        <v>827.27</v>
      </c>
      <c r="I2251" s="1">
        <f>COUNTIF(Tabela1[NF],Tabela1[[#This Row],[NF]])</f>
        <v>0</v>
      </c>
      <c r="K2251" s="26">
        <v>46094</v>
      </c>
      <c r="N2251" s="14" t="str" cm="1">
        <f t="array" ref="N2251">_xlfn.XLOOKUP(TRIM(D2251),TRIM(DFC!A:A),DFC!A:A,"NÃO ESTÁ NA DFC")</f>
        <v xml:space="preserve">          SEGURO DE VEICULOS</v>
      </c>
    </row>
    <row r="2252" spans="1:14" ht="15" customHeight="1" x14ac:dyDescent="0.3">
      <c r="A2252" s="19"/>
      <c r="B2252" s="21">
        <v>46094</v>
      </c>
      <c r="C2252" s="280" t="s">
        <v>202</v>
      </c>
      <c r="D2252" s="21" t="s">
        <v>205</v>
      </c>
      <c r="E2252" s="20"/>
      <c r="F2252" s="22" t="s">
        <v>869</v>
      </c>
      <c r="G2252" s="252">
        <v>18</v>
      </c>
      <c r="I2252" s="1">
        <f>COUNTIF(Tabela1[NF],Tabela1[[#This Row],[NF]])</f>
        <v>0</v>
      </c>
      <c r="K2252" s="26">
        <v>46094</v>
      </c>
      <c r="N2252" s="14" t="str" cm="1">
        <f t="array" ref="N2252">_xlfn.XLOOKUP(TRIM(D2252),TRIM(DFC!A:A),DFC!A:A,"NÃO ESTÁ NA DFC")</f>
        <v xml:space="preserve">          DESPESAS DE VIAGEM</v>
      </c>
    </row>
    <row r="2253" spans="1:14" ht="15" customHeight="1" x14ac:dyDescent="0.3">
      <c r="A2253" s="19"/>
      <c r="B2253" s="21">
        <v>46094</v>
      </c>
      <c r="C2253" s="280" t="s">
        <v>202</v>
      </c>
      <c r="D2253" s="21" t="s">
        <v>205</v>
      </c>
      <c r="E2253" s="20"/>
      <c r="F2253" s="22" t="s">
        <v>870</v>
      </c>
      <c r="G2253" s="252">
        <v>179.6</v>
      </c>
      <c r="I2253" s="1">
        <f>COUNTIF(Tabela1[NF],Tabela1[[#This Row],[NF]])</f>
        <v>0</v>
      </c>
      <c r="K2253" s="26">
        <v>46094</v>
      </c>
      <c r="N2253" s="14" t="str" cm="1">
        <f t="array" ref="N2253">_xlfn.XLOOKUP(TRIM(D2253),TRIM(DFC!A:A),DFC!A:A,"NÃO ESTÁ NA DFC")</f>
        <v xml:space="preserve">          DESPESAS DE VIAGEM</v>
      </c>
    </row>
    <row r="2254" spans="1:14" ht="15" customHeight="1" x14ac:dyDescent="0.3">
      <c r="A2254" s="19"/>
      <c r="B2254" s="21">
        <v>46094</v>
      </c>
      <c r="C2254" s="280" t="s">
        <v>202</v>
      </c>
      <c r="D2254" s="21" t="s">
        <v>72</v>
      </c>
      <c r="E2254" s="20"/>
      <c r="F2254" s="22" t="s">
        <v>871</v>
      </c>
      <c r="G2254" s="252">
        <v>219.81</v>
      </c>
      <c r="I2254" s="1">
        <f>COUNTIF(Tabela1[NF],Tabela1[[#This Row],[NF]])</f>
        <v>0</v>
      </c>
      <c r="K2254" s="26">
        <v>46094</v>
      </c>
      <c r="N2254" s="14" t="str" cm="1">
        <f t="array" ref="N2254">_xlfn.XLOOKUP(TRIM(D2254),TRIM(DFC!A:A),DFC!A:A,"NÃO ESTÁ NA DFC")</f>
        <v xml:space="preserve">          COMBUSTÍVEL</v>
      </c>
    </row>
    <row r="2255" spans="1:14" ht="15" customHeight="1" x14ac:dyDescent="0.3">
      <c r="A2255" s="19"/>
      <c r="B2255" s="21">
        <v>46094</v>
      </c>
      <c r="C2255" s="280" t="s">
        <v>202</v>
      </c>
      <c r="D2255" s="21" t="s">
        <v>206</v>
      </c>
      <c r="E2255" s="20"/>
      <c r="F2255" s="22" t="s">
        <v>872</v>
      </c>
      <c r="G2255" s="252">
        <v>40</v>
      </c>
      <c r="I2255" s="1">
        <f>COUNTIF(Tabela1[NF],Tabela1[[#This Row],[NF]])</f>
        <v>0</v>
      </c>
      <c r="K2255" s="26">
        <v>46094</v>
      </c>
      <c r="N2255" s="14" t="str" cm="1">
        <f t="array" ref="N2255">_xlfn.XLOOKUP(TRIM(D2255),TRIM(DFC!A:A),DFC!A:A,"NÃO ESTÁ NA DFC")</f>
        <v xml:space="preserve">          ESTACIONAMENTO</v>
      </c>
    </row>
    <row r="2256" spans="1:14" ht="15" customHeight="1" x14ac:dyDescent="0.3">
      <c r="A2256" s="19"/>
      <c r="B2256" s="21">
        <v>46094</v>
      </c>
      <c r="C2256" s="280" t="s">
        <v>202</v>
      </c>
      <c r="D2256" s="21" t="s">
        <v>503</v>
      </c>
      <c r="E2256" s="20"/>
      <c r="F2256" s="22" t="s">
        <v>873</v>
      </c>
      <c r="G2256" s="252">
        <v>2000</v>
      </c>
      <c r="I2256" s="1">
        <f>COUNTIF(Tabela1[NF],Tabela1[[#This Row],[NF]])</f>
        <v>0</v>
      </c>
      <c r="K2256" s="26">
        <v>46094</v>
      </c>
      <c r="N2256" s="14" t="str" cm="1">
        <f t="array" ref="N2256">_xlfn.XLOOKUP(TRIM(D2256),TRIM(DFC!A:A),DFC!A:A,"NÃO ESTÁ NA DFC")</f>
        <v xml:space="preserve">     ADS SHOPEE</v>
      </c>
    </row>
    <row r="2257" spans="1:14" ht="15" customHeight="1" x14ac:dyDescent="0.3">
      <c r="A2257" s="19"/>
      <c r="B2257" s="21">
        <v>46094</v>
      </c>
      <c r="C2257" s="280" t="s">
        <v>202</v>
      </c>
      <c r="D2257" s="21" t="s">
        <v>205</v>
      </c>
      <c r="E2257" s="20"/>
      <c r="F2257" s="22" t="s">
        <v>874</v>
      </c>
      <c r="G2257" s="252">
        <v>1068.33</v>
      </c>
      <c r="I2257" s="1">
        <f>COUNTIF(Tabela1[NF],Tabela1[[#This Row],[NF]])</f>
        <v>0</v>
      </c>
      <c r="K2257" s="26">
        <v>46094</v>
      </c>
      <c r="N2257" s="14" t="str" cm="1">
        <f t="array" ref="N2257">_xlfn.XLOOKUP(TRIM(D2257),TRIM(DFC!A:A),DFC!A:A,"NÃO ESTÁ NA DFC")</f>
        <v xml:space="preserve">          DESPESAS DE VIAGEM</v>
      </c>
    </row>
    <row r="2258" spans="1:14" ht="15" customHeight="1" x14ac:dyDescent="0.3">
      <c r="A2258" s="19"/>
      <c r="B2258" s="21">
        <v>46094</v>
      </c>
      <c r="C2258" s="280" t="s">
        <v>202</v>
      </c>
      <c r="D2258" s="21" t="s">
        <v>205</v>
      </c>
      <c r="E2258" s="20"/>
      <c r="F2258" s="22" t="s">
        <v>874</v>
      </c>
      <c r="G2258" s="252">
        <v>8</v>
      </c>
      <c r="I2258" s="1">
        <f>COUNTIF(Tabela1[NF],Tabela1[[#This Row],[NF]])</f>
        <v>0</v>
      </c>
      <c r="K2258" s="26">
        <v>46094</v>
      </c>
      <c r="N2258" s="14" t="str" cm="1">
        <f t="array" ref="N2258">_xlfn.XLOOKUP(TRIM(D2258),TRIM(DFC!A:A),DFC!A:A,"NÃO ESTÁ NA DFC")</f>
        <v xml:space="preserve">          DESPESAS DE VIAGEM</v>
      </c>
    </row>
    <row r="2259" spans="1:14" ht="15" customHeight="1" x14ac:dyDescent="0.3">
      <c r="A2259" s="19"/>
      <c r="B2259" s="21">
        <v>46094</v>
      </c>
      <c r="C2259" s="280" t="s">
        <v>202</v>
      </c>
      <c r="D2259" s="21" t="s">
        <v>205</v>
      </c>
      <c r="E2259" s="20"/>
      <c r="F2259" s="22" t="s">
        <v>875</v>
      </c>
      <c r="G2259" s="252">
        <v>23.6</v>
      </c>
      <c r="I2259" s="1">
        <f>COUNTIF(Tabela1[NF],Tabela1[[#This Row],[NF]])</f>
        <v>0</v>
      </c>
      <c r="K2259" s="26">
        <v>46094</v>
      </c>
      <c r="N2259" s="14" t="str" cm="1">
        <f t="array" ref="N2259">_xlfn.XLOOKUP(TRIM(D2259),TRIM(DFC!A:A),DFC!A:A,"NÃO ESTÁ NA DFC")</f>
        <v xml:space="preserve">          DESPESAS DE VIAGEM</v>
      </c>
    </row>
    <row r="2260" spans="1:14" ht="15" customHeight="1" x14ac:dyDescent="0.3">
      <c r="A2260" s="19"/>
      <c r="B2260" s="21">
        <v>46094</v>
      </c>
      <c r="C2260" s="280" t="s">
        <v>202</v>
      </c>
      <c r="D2260" s="21" t="s">
        <v>205</v>
      </c>
      <c r="E2260" s="20"/>
      <c r="F2260" s="22" t="s">
        <v>876</v>
      </c>
      <c r="G2260" s="252">
        <v>287.61</v>
      </c>
      <c r="I2260" s="1">
        <f>COUNTIF(Tabela1[NF],Tabela1[[#This Row],[NF]])</f>
        <v>0</v>
      </c>
      <c r="K2260" s="26">
        <v>46094</v>
      </c>
      <c r="N2260" s="14" t="str" cm="1">
        <f t="array" ref="N2260">_xlfn.XLOOKUP(TRIM(D2260),TRIM(DFC!A:A),DFC!A:A,"NÃO ESTÁ NA DFC")</f>
        <v xml:space="preserve">          DESPESAS DE VIAGEM</v>
      </c>
    </row>
    <row r="2261" spans="1:14" ht="15" customHeight="1" x14ac:dyDescent="0.3">
      <c r="A2261" s="19"/>
      <c r="B2261" s="21">
        <v>46094</v>
      </c>
      <c r="C2261" s="280" t="s">
        <v>202</v>
      </c>
      <c r="D2261" s="21" t="s">
        <v>72</v>
      </c>
      <c r="E2261" s="20"/>
      <c r="F2261" s="22" t="s">
        <v>877</v>
      </c>
      <c r="G2261" s="252">
        <v>240.01</v>
      </c>
      <c r="I2261" s="1">
        <f>COUNTIF(Tabela1[NF],Tabela1[[#This Row],[NF]])</f>
        <v>0</v>
      </c>
      <c r="K2261" s="26">
        <v>46094</v>
      </c>
      <c r="N2261" s="14" t="str" cm="1">
        <f t="array" ref="N2261">_xlfn.XLOOKUP(TRIM(D2261),TRIM(DFC!A:A),DFC!A:A,"NÃO ESTÁ NA DFC")</f>
        <v xml:space="preserve">          COMBUSTÍVEL</v>
      </c>
    </row>
    <row r="2262" spans="1:14" ht="15" customHeight="1" x14ac:dyDescent="0.3">
      <c r="A2262" s="19"/>
      <c r="B2262" s="21">
        <v>46094</v>
      </c>
      <c r="C2262" s="280" t="s">
        <v>202</v>
      </c>
      <c r="D2262" s="21" t="s">
        <v>203</v>
      </c>
      <c r="E2262" s="20"/>
      <c r="F2262" s="22" t="s">
        <v>672</v>
      </c>
      <c r="G2262" s="252">
        <v>169</v>
      </c>
      <c r="I2262" s="1">
        <f>COUNTIF(Tabela1[NF],Tabela1[[#This Row],[NF]])</f>
        <v>0</v>
      </c>
      <c r="K2262" s="26">
        <v>46094</v>
      </c>
      <c r="N2262" s="14" t="str" cm="1">
        <f t="array" ref="N2262">_xlfn.XLOOKUP(TRIM(D2262),TRIM(DFC!A:A),DFC!A:A,"NÃO ESTÁ NA DFC")</f>
        <v xml:space="preserve">         ASSINATURAS</v>
      </c>
    </row>
    <row r="2263" spans="1:14" ht="15" customHeight="1" x14ac:dyDescent="0.3">
      <c r="A2263" s="19"/>
      <c r="B2263" s="21">
        <v>46094</v>
      </c>
      <c r="C2263" s="280" t="s">
        <v>202</v>
      </c>
      <c r="D2263" s="21" t="s">
        <v>205</v>
      </c>
      <c r="E2263" s="20"/>
      <c r="F2263" s="22" t="s">
        <v>878</v>
      </c>
      <c r="G2263" s="252">
        <v>261.5</v>
      </c>
      <c r="I2263" s="1">
        <f>COUNTIF(Tabela1[NF],Tabela1[[#This Row],[NF]])</f>
        <v>0</v>
      </c>
      <c r="K2263" s="26">
        <v>46094</v>
      </c>
      <c r="N2263" s="14" t="str" cm="1">
        <f t="array" ref="N2263">_xlfn.XLOOKUP(TRIM(D2263),TRIM(DFC!A:A),DFC!A:A,"NÃO ESTÁ NA DFC")</f>
        <v xml:space="preserve">          DESPESAS DE VIAGEM</v>
      </c>
    </row>
    <row r="2264" spans="1:14" ht="15" customHeight="1" x14ac:dyDescent="0.3">
      <c r="A2264" s="19"/>
      <c r="B2264" s="21">
        <v>46094</v>
      </c>
      <c r="C2264" s="280" t="s">
        <v>202</v>
      </c>
      <c r="D2264" s="21" t="s">
        <v>205</v>
      </c>
      <c r="E2264" s="20"/>
      <c r="F2264" s="22" t="s">
        <v>879</v>
      </c>
      <c r="G2264" s="252">
        <v>468.95</v>
      </c>
      <c r="I2264" s="1">
        <f>COUNTIF(Tabela1[NF],Tabela1[[#This Row],[NF]])</f>
        <v>0</v>
      </c>
      <c r="K2264" s="26">
        <v>46094</v>
      </c>
      <c r="N2264" s="14" t="str" cm="1">
        <f t="array" ref="N2264">_xlfn.XLOOKUP(TRIM(D2264),TRIM(DFC!A:A),DFC!A:A,"NÃO ESTÁ NA DFC")</f>
        <v xml:space="preserve">          DESPESAS DE VIAGEM</v>
      </c>
    </row>
    <row r="2265" spans="1:14" ht="15" customHeight="1" x14ac:dyDescent="0.3">
      <c r="A2265" s="19"/>
      <c r="B2265" s="21">
        <v>46094</v>
      </c>
      <c r="C2265" s="280" t="s">
        <v>202</v>
      </c>
      <c r="D2265" s="21" t="s">
        <v>205</v>
      </c>
      <c r="E2265" s="20"/>
      <c r="F2265" s="22" t="s">
        <v>870</v>
      </c>
      <c r="G2265" s="252">
        <v>251.54</v>
      </c>
      <c r="I2265" s="1">
        <f>COUNTIF(Tabela1[NF],Tabela1[[#This Row],[NF]])</f>
        <v>0</v>
      </c>
      <c r="K2265" s="26">
        <v>46094</v>
      </c>
      <c r="N2265" s="14" t="str" cm="1">
        <f t="array" ref="N2265">_xlfn.XLOOKUP(TRIM(D2265),TRIM(DFC!A:A),DFC!A:A,"NÃO ESTÁ NA DFC")</f>
        <v xml:space="preserve">          DESPESAS DE VIAGEM</v>
      </c>
    </row>
    <row r="2266" spans="1:14" ht="15" customHeight="1" x14ac:dyDescent="0.3">
      <c r="A2266" s="19"/>
      <c r="B2266" s="21">
        <v>46094</v>
      </c>
      <c r="C2266" s="280" t="s">
        <v>202</v>
      </c>
      <c r="D2266" s="21" t="s">
        <v>206</v>
      </c>
      <c r="E2266" s="20"/>
      <c r="F2266" s="22" t="s">
        <v>872</v>
      </c>
      <c r="G2266" s="252">
        <v>22</v>
      </c>
      <c r="I2266" s="1">
        <f>COUNTIF(Tabela1[NF],Tabela1[[#This Row],[NF]])</f>
        <v>0</v>
      </c>
      <c r="K2266" s="26">
        <v>46094</v>
      </c>
      <c r="N2266" s="14" t="str" cm="1">
        <f t="array" ref="N2266">_xlfn.XLOOKUP(TRIM(D2266),TRIM(DFC!A:A),DFC!A:A,"NÃO ESTÁ NA DFC")</f>
        <v xml:space="preserve">          ESTACIONAMENTO</v>
      </c>
    </row>
    <row r="2267" spans="1:14" ht="15" customHeight="1" x14ac:dyDescent="0.3">
      <c r="A2267" s="19"/>
      <c r="B2267" s="21">
        <v>46094</v>
      </c>
      <c r="C2267" s="280" t="s">
        <v>202</v>
      </c>
      <c r="D2267" s="21" t="s">
        <v>503</v>
      </c>
      <c r="E2267" s="20"/>
      <c r="F2267" s="22" t="s">
        <v>873</v>
      </c>
      <c r="G2267" s="252">
        <v>2000</v>
      </c>
      <c r="I2267" s="1">
        <f>COUNTIF(Tabela1[NF],Tabela1[[#This Row],[NF]])</f>
        <v>0</v>
      </c>
      <c r="K2267" s="26">
        <v>46094</v>
      </c>
      <c r="N2267" s="14" t="str" cm="1">
        <f t="array" ref="N2267">_xlfn.XLOOKUP(TRIM(D2267),TRIM(DFC!A:A),DFC!A:A,"NÃO ESTÁ NA DFC")</f>
        <v xml:space="preserve">     ADS SHOPEE</v>
      </c>
    </row>
    <row r="2268" spans="1:14" ht="15" customHeight="1" x14ac:dyDescent="0.3">
      <c r="A2268" s="19"/>
      <c r="B2268" s="21">
        <v>46094</v>
      </c>
      <c r="C2268" s="280" t="s">
        <v>202</v>
      </c>
      <c r="D2268" s="21" t="s">
        <v>203</v>
      </c>
      <c r="E2268" s="20"/>
      <c r="F2268" s="22" t="s">
        <v>880</v>
      </c>
      <c r="G2268" s="252">
        <v>1600</v>
      </c>
      <c r="I2268" s="1">
        <f>COUNTIF(Tabela1[NF],Tabela1[[#This Row],[NF]])</f>
        <v>0</v>
      </c>
      <c r="K2268" s="26">
        <v>46094</v>
      </c>
      <c r="N2268" s="14" t="str" cm="1">
        <f t="array" ref="N2268">_xlfn.XLOOKUP(TRIM(D2268),TRIM(DFC!A:A),DFC!A:A,"NÃO ESTÁ NA DFC")</f>
        <v xml:space="preserve">         ASSINATURAS</v>
      </c>
    </row>
    <row r="2269" spans="1:14" ht="15" customHeight="1" x14ac:dyDescent="0.3">
      <c r="A2269" s="19"/>
      <c r="B2269" s="21">
        <v>46094</v>
      </c>
      <c r="C2269" s="280" t="s">
        <v>202</v>
      </c>
      <c r="D2269" s="21" t="s">
        <v>203</v>
      </c>
      <c r="E2269" s="20"/>
      <c r="F2269" s="22" t="s">
        <v>677</v>
      </c>
      <c r="G2269" s="252">
        <v>55.7</v>
      </c>
      <c r="I2269" s="1">
        <f>COUNTIF(Tabela1[NF],Tabela1[[#This Row],[NF]])</f>
        <v>0</v>
      </c>
      <c r="K2269" s="26">
        <v>46094</v>
      </c>
      <c r="N2269" s="14" t="str" cm="1">
        <f t="array" ref="N2269">_xlfn.XLOOKUP(TRIM(D2269),TRIM(DFC!A:A),DFC!A:A,"NÃO ESTÁ NA DFC")</f>
        <v xml:space="preserve">         ASSINATURAS</v>
      </c>
    </row>
    <row r="2270" spans="1:14" ht="15" customHeight="1" x14ac:dyDescent="0.3">
      <c r="A2270" s="19"/>
      <c r="B2270" s="21">
        <v>46094</v>
      </c>
      <c r="C2270" s="280" t="s">
        <v>202</v>
      </c>
      <c r="D2270" s="21" t="s">
        <v>503</v>
      </c>
      <c r="E2270" s="20"/>
      <c r="F2270" s="22" t="s">
        <v>873</v>
      </c>
      <c r="G2270" s="252">
        <v>2000</v>
      </c>
      <c r="I2270" s="1">
        <f>COUNTIF(Tabela1[NF],Tabela1[[#This Row],[NF]])</f>
        <v>0</v>
      </c>
      <c r="K2270" s="26">
        <v>46094</v>
      </c>
      <c r="N2270" s="14" t="str" cm="1">
        <f t="array" ref="N2270">_xlfn.XLOOKUP(TRIM(D2270),TRIM(DFC!A:A),DFC!A:A,"NÃO ESTÁ NA DFC")</f>
        <v xml:space="preserve">     ADS SHOPEE</v>
      </c>
    </row>
    <row r="2271" spans="1:14" ht="15" customHeight="1" x14ac:dyDescent="0.3">
      <c r="A2271" s="19"/>
      <c r="B2271" s="21">
        <v>46094</v>
      </c>
      <c r="C2271" s="280" t="s">
        <v>202</v>
      </c>
      <c r="D2271" s="21" t="s">
        <v>104</v>
      </c>
      <c r="E2271" s="20"/>
      <c r="F2271" s="22" t="s">
        <v>881</v>
      </c>
      <c r="G2271" s="252">
        <v>699</v>
      </c>
      <c r="I2271" s="1">
        <f>COUNTIF(Tabela1[NF],Tabela1[[#This Row],[NF]])</f>
        <v>0</v>
      </c>
      <c r="K2271" s="26">
        <v>46094</v>
      </c>
      <c r="N2271" s="14" t="str" cm="1">
        <f t="array" ref="N2271">_xlfn.XLOOKUP(TRIM(D2271),TRIM(DFC!A:A),DFC!A:A,"NÃO ESTÁ NA DFC")</f>
        <v xml:space="preserve">          OUTRAS DESPESAS ADMINISTRATIVAS</v>
      </c>
    </row>
    <row r="2272" spans="1:14" ht="15" customHeight="1" x14ac:dyDescent="0.3">
      <c r="A2272" s="19"/>
      <c r="B2272" s="21">
        <v>46094</v>
      </c>
      <c r="C2272" s="280" t="s">
        <v>202</v>
      </c>
      <c r="D2272" s="21" t="s">
        <v>104</v>
      </c>
      <c r="E2272" s="20"/>
      <c r="F2272" s="22" t="s">
        <v>882</v>
      </c>
      <c r="G2272" s="252">
        <v>69.97</v>
      </c>
      <c r="I2272" s="1">
        <f>COUNTIF(Tabela1[NF],Tabela1[[#This Row],[NF]])</f>
        <v>0</v>
      </c>
      <c r="K2272" s="26">
        <v>46094</v>
      </c>
      <c r="N2272" s="14" t="str" cm="1">
        <f t="array" ref="N2272">_xlfn.XLOOKUP(TRIM(D2272),TRIM(DFC!A:A),DFC!A:A,"NÃO ESTÁ NA DFC")</f>
        <v xml:space="preserve">          OUTRAS DESPESAS ADMINISTRATIVAS</v>
      </c>
    </row>
    <row r="2273" spans="1:14" ht="15" customHeight="1" x14ac:dyDescent="0.3">
      <c r="A2273" s="19"/>
      <c r="B2273" s="21">
        <v>46094</v>
      </c>
      <c r="C2273" s="280" t="s">
        <v>202</v>
      </c>
      <c r="D2273" s="21" t="s">
        <v>502</v>
      </c>
      <c r="E2273" s="20"/>
      <c r="F2273" s="22" t="s">
        <v>883</v>
      </c>
      <c r="G2273" s="252">
        <v>1200</v>
      </c>
      <c r="I2273" s="1">
        <f>COUNTIF(Tabela1[NF],Tabela1[[#This Row],[NF]])</f>
        <v>0</v>
      </c>
      <c r="K2273" s="26">
        <v>46094</v>
      </c>
      <c r="N2273" s="14" t="str" cm="1">
        <f t="array" ref="N2273">_xlfn.XLOOKUP(TRIM(D2273),TRIM(DFC!A:A),DFC!A:A,"NÃO ESTÁ NA DFC")</f>
        <v xml:space="preserve">     ADS MAGALU</v>
      </c>
    </row>
    <row r="2274" spans="1:14" ht="15" customHeight="1" x14ac:dyDescent="0.3">
      <c r="A2274" s="19"/>
      <c r="B2274" s="21">
        <v>46094</v>
      </c>
      <c r="C2274" s="280" t="s">
        <v>202</v>
      </c>
      <c r="D2274" s="21" t="s">
        <v>57</v>
      </c>
      <c r="E2274" s="20"/>
      <c r="F2274" s="22" t="s">
        <v>884</v>
      </c>
      <c r="G2274" s="252">
        <v>1335.4</v>
      </c>
      <c r="I2274" s="1">
        <f>COUNTIF(Tabela1[NF],Tabela1[[#This Row],[NF]])</f>
        <v>0</v>
      </c>
      <c r="K2274" s="26">
        <v>46094</v>
      </c>
      <c r="N2274" s="14" t="str" cm="1">
        <f t="array" ref="N2274">_xlfn.XLOOKUP(TRIM(D2274),TRIM(DFC!A:A),DFC!A:A,"NÃO ESTÁ NA DFC")</f>
        <v xml:space="preserve">          ALIMENTAÇÃO</v>
      </c>
    </row>
    <row r="2275" spans="1:14" ht="15" customHeight="1" x14ac:dyDescent="0.3">
      <c r="A2275" s="19"/>
      <c r="B2275" s="21">
        <v>46094</v>
      </c>
      <c r="C2275" s="280" t="s">
        <v>202</v>
      </c>
      <c r="D2275" s="21" t="s">
        <v>885</v>
      </c>
      <c r="E2275" s="20"/>
      <c r="F2275" s="22" t="s">
        <v>886</v>
      </c>
      <c r="G2275" s="252">
        <v>2000</v>
      </c>
      <c r="I2275" s="1">
        <f>COUNTIF(Tabela1[NF],Tabela1[[#This Row],[NF]])</f>
        <v>0</v>
      </c>
      <c r="K2275" s="26">
        <v>46094</v>
      </c>
      <c r="N2275" s="14" t="str" cm="1">
        <f t="array" ref="N2275">_xlfn.XLOOKUP(TRIM(D2275),TRIM(DFC!A:A),DFC!A:A,"NÃO ESTÁ NA DFC")</f>
        <v xml:space="preserve">     ADS TIKTOK</v>
      </c>
    </row>
    <row r="2276" spans="1:14" ht="15" customHeight="1" x14ac:dyDescent="0.3">
      <c r="A2276" s="19"/>
      <c r="B2276" s="21">
        <v>46094</v>
      </c>
      <c r="C2276" s="280" t="s">
        <v>202</v>
      </c>
      <c r="D2276" s="21" t="s">
        <v>503</v>
      </c>
      <c r="E2276" s="20"/>
      <c r="F2276" s="22" t="s">
        <v>873</v>
      </c>
      <c r="G2276" s="252">
        <v>2000</v>
      </c>
      <c r="I2276" s="1">
        <f>COUNTIF(Tabela1[NF],Tabela1[[#This Row],[NF]])</f>
        <v>0</v>
      </c>
      <c r="K2276" s="26">
        <v>46094</v>
      </c>
      <c r="N2276" s="14" t="str" cm="1">
        <f t="array" ref="N2276">_xlfn.XLOOKUP(TRIM(D2276),TRIM(DFC!A:A),DFC!A:A,"NÃO ESTÁ NA DFC")</f>
        <v xml:space="preserve">     ADS SHOPEE</v>
      </c>
    </row>
    <row r="2277" spans="1:14" ht="15" customHeight="1" x14ac:dyDescent="0.3">
      <c r="A2277" s="19"/>
      <c r="B2277" s="21">
        <v>46094</v>
      </c>
      <c r="C2277" s="280" t="s">
        <v>202</v>
      </c>
      <c r="D2277" s="21" t="s">
        <v>104</v>
      </c>
      <c r="E2277" s="20"/>
      <c r="F2277" s="22" t="s">
        <v>887</v>
      </c>
      <c r="G2277" s="252">
        <v>756.8</v>
      </c>
      <c r="I2277" s="1">
        <f>COUNTIF(Tabela1[NF],Tabela1[[#This Row],[NF]])</f>
        <v>0</v>
      </c>
      <c r="K2277" s="26">
        <v>46094</v>
      </c>
      <c r="N2277" s="14" t="str" cm="1">
        <f t="array" ref="N2277">_xlfn.XLOOKUP(TRIM(D2277),TRIM(DFC!A:A),DFC!A:A,"NÃO ESTÁ NA DFC")</f>
        <v xml:space="preserve">          OUTRAS DESPESAS ADMINISTRATIVAS</v>
      </c>
    </row>
    <row r="2278" spans="1:14" ht="15" customHeight="1" x14ac:dyDescent="0.3">
      <c r="A2278" s="19"/>
      <c r="B2278" s="21">
        <v>46094</v>
      </c>
      <c r="C2278" s="280" t="s">
        <v>202</v>
      </c>
      <c r="D2278" s="21" t="s">
        <v>57</v>
      </c>
      <c r="E2278" s="20"/>
      <c r="F2278" s="22" t="s">
        <v>888</v>
      </c>
      <c r="G2278" s="252">
        <v>340</v>
      </c>
      <c r="I2278" s="1">
        <f>COUNTIF(Tabela1[NF],Tabela1[[#This Row],[NF]])</f>
        <v>0</v>
      </c>
      <c r="K2278" s="26">
        <v>46094</v>
      </c>
      <c r="N2278" s="14" t="str" cm="1">
        <f t="array" ref="N2278">_xlfn.XLOOKUP(TRIM(D2278),TRIM(DFC!A:A),DFC!A:A,"NÃO ESTÁ NA DFC")</f>
        <v xml:space="preserve">          ALIMENTAÇÃO</v>
      </c>
    </row>
    <row r="2279" spans="1:14" ht="15" customHeight="1" x14ac:dyDescent="0.3">
      <c r="A2279" s="19"/>
      <c r="B2279" s="21">
        <v>46094</v>
      </c>
      <c r="C2279" s="280" t="s">
        <v>202</v>
      </c>
      <c r="D2279" s="21" t="s">
        <v>104</v>
      </c>
      <c r="E2279" s="20"/>
      <c r="F2279" s="22" t="s">
        <v>889</v>
      </c>
      <c r="G2279" s="252">
        <v>309.17</v>
      </c>
      <c r="I2279" s="1">
        <f>COUNTIF(Tabela1[NF],Tabela1[[#This Row],[NF]])</f>
        <v>0</v>
      </c>
      <c r="K2279" s="26">
        <v>46094</v>
      </c>
      <c r="N2279" s="14" t="str" cm="1">
        <f t="array" ref="N2279">_xlfn.XLOOKUP(TRIM(D2279),TRIM(DFC!A:A),DFC!A:A,"NÃO ESTÁ NA DFC")</f>
        <v xml:space="preserve">          OUTRAS DESPESAS ADMINISTRATIVAS</v>
      </c>
    </row>
    <row r="2280" spans="1:14" ht="15" customHeight="1" x14ac:dyDescent="0.3">
      <c r="A2280" s="19"/>
      <c r="B2280" s="21">
        <v>46094</v>
      </c>
      <c r="C2280" s="280" t="s">
        <v>202</v>
      </c>
      <c r="D2280" s="21" t="s">
        <v>57</v>
      </c>
      <c r="E2280" s="20"/>
      <c r="F2280" s="22" t="s">
        <v>890</v>
      </c>
      <c r="G2280" s="252">
        <v>910.25</v>
      </c>
      <c r="I2280" s="1">
        <f>COUNTIF(Tabela1[NF],Tabela1[[#This Row],[NF]])</f>
        <v>0</v>
      </c>
      <c r="K2280" s="26">
        <v>46094</v>
      </c>
      <c r="N2280" s="14" t="str" cm="1">
        <f t="array" ref="N2280">_xlfn.XLOOKUP(TRIM(D2280),TRIM(DFC!A:A),DFC!A:A,"NÃO ESTÁ NA DFC")</f>
        <v xml:space="preserve">          ALIMENTAÇÃO</v>
      </c>
    </row>
    <row r="2281" spans="1:14" ht="15" customHeight="1" x14ac:dyDescent="0.3">
      <c r="A2281" s="19"/>
      <c r="B2281" s="21">
        <v>46094</v>
      </c>
      <c r="C2281" s="280" t="s">
        <v>202</v>
      </c>
      <c r="D2281" s="21" t="s">
        <v>475</v>
      </c>
      <c r="E2281" s="20"/>
      <c r="F2281" s="22" t="s">
        <v>891</v>
      </c>
      <c r="G2281" s="252">
        <v>145.62</v>
      </c>
      <c r="I2281" s="1">
        <f>COUNTIF(Tabela1[NF],Tabela1[[#This Row],[NF]])</f>
        <v>0</v>
      </c>
      <c r="K2281" s="26">
        <v>46094</v>
      </c>
      <c r="N2281" s="14" t="str" cm="1">
        <f t="array" ref="N2281">_xlfn.XLOOKUP(TRIM(D2281),TRIM(DFC!A:A),DFC!A:A,"NÃO ESTÁ NA DFC")</f>
        <v xml:space="preserve">          SEGURO DE VEICULOS</v>
      </c>
    </row>
    <row r="2282" spans="1:14" ht="15" customHeight="1" x14ac:dyDescent="0.3">
      <c r="A2282" s="19"/>
      <c r="B2282" s="21">
        <v>46094</v>
      </c>
      <c r="C2282" s="280" t="s">
        <v>202</v>
      </c>
      <c r="D2282" s="21" t="s">
        <v>503</v>
      </c>
      <c r="E2282" s="20"/>
      <c r="F2282" s="22" t="s">
        <v>873</v>
      </c>
      <c r="G2282" s="252">
        <v>2000</v>
      </c>
      <c r="I2282" s="1">
        <f>COUNTIF(Tabela1[NF],Tabela1[[#This Row],[NF]])</f>
        <v>0</v>
      </c>
      <c r="K2282" s="26">
        <v>46094</v>
      </c>
      <c r="N2282" s="14" t="str" cm="1">
        <f t="array" ref="N2282">_xlfn.XLOOKUP(TRIM(D2282),TRIM(DFC!A:A),DFC!A:A,"NÃO ESTÁ NA DFC")</f>
        <v xml:space="preserve">     ADS SHOPEE</v>
      </c>
    </row>
    <row r="2283" spans="1:14" ht="15" customHeight="1" x14ac:dyDescent="0.3">
      <c r="A2283" s="19"/>
      <c r="B2283" s="21">
        <v>46094</v>
      </c>
      <c r="C2283" s="280" t="s">
        <v>202</v>
      </c>
      <c r="D2283" s="21" t="s">
        <v>104</v>
      </c>
      <c r="E2283" s="20"/>
      <c r="F2283" s="22" t="s">
        <v>892</v>
      </c>
      <c r="G2283" s="252">
        <v>25.9</v>
      </c>
      <c r="I2283" s="1">
        <f>COUNTIF(Tabela1[NF],Tabela1[[#This Row],[NF]])</f>
        <v>0</v>
      </c>
      <c r="K2283" s="26">
        <v>46094</v>
      </c>
      <c r="N2283" s="14" t="str" cm="1">
        <f t="array" ref="N2283">_xlfn.XLOOKUP(TRIM(D2283),TRIM(DFC!A:A),DFC!A:A,"NÃO ESTÁ NA DFC")</f>
        <v xml:space="preserve">          OUTRAS DESPESAS ADMINISTRATIVAS</v>
      </c>
    </row>
    <row r="2284" spans="1:14" ht="15" customHeight="1" x14ac:dyDescent="0.3">
      <c r="A2284" s="19"/>
      <c r="B2284" s="21">
        <v>46094</v>
      </c>
      <c r="C2284" s="280" t="s">
        <v>202</v>
      </c>
      <c r="D2284" s="21" t="s">
        <v>104</v>
      </c>
      <c r="E2284" s="20"/>
      <c r="F2284" s="22" t="s">
        <v>893</v>
      </c>
      <c r="G2284" s="252">
        <v>95.98</v>
      </c>
      <c r="I2284" s="1">
        <f>COUNTIF(Tabela1[NF],Tabela1[[#This Row],[NF]])</f>
        <v>0</v>
      </c>
      <c r="K2284" s="26">
        <v>46094</v>
      </c>
      <c r="N2284" s="14" t="str" cm="1">
        <f t="array" ref="N2284">_xlfn.XLOOKUP(TRIM(D2284),TRIM(DFC!A:A),DFC!A:A,"NÃO ESTÁ NA DFC")</f>
        <v xml:space="preserve">          OUTRAS DESPESAS ADMINISTRATIVAS</v>
      </c>
    </row>
    <row r="2285" spans="1:14" ht="15" customHeight="1" x14ac:dyDescent="0.3">
      <c r="A2285" s="19"/>
      <c r="B2285" s="21">
        <v>46094</v>
      </c>
      <c r="C2285" s="280" t="s">
        <v>202</v>
      </c>
      <c r="D2285" s="21" t="s">
        <v>28</v>
      </c>
      <c r="E2285" s="20"/>
      <c r="F2285" s="22" t="s">
        <v>894</v>
      </c>
      <c r="G2285" s="252">
        <v>2175</v>
      </c>
      <c r="I2285" s="1">
        <f>COUNTIF(Tabela1[NF],Tabela1[[#This Row],[NF]])</f>
        <v>0</v>
      </c>
      <c r="K2285" s="26">
        <v>46094</v>
      </c>
      <c r="N2285" s="14" t="str" cm="1">
        <f t="array" ref="N2285">_xlfn.XLOOKUP(TRIM(D2285),TRIM(DFC!A:A),DFC!A:A,"NÃO ESTÁ NA DFC")</f>
        <v xml:space="preserve">          FERRAMENTAS PARA MANUTENÇÃO</v>
      </c>
    </row>
    <row r="2286" spans="1:14" ht="15" customHeight="1" x14ac:dyDescent="0.3">
      <c r="A2286" s="19"/>
      <c r="B2286" s="21">
        <v>46094</v>
      </c>
      <c r="C2286" s="280" t="s">
        <v>202</v>
      </c>
      <c r="D2286" s="84" t="s">
        <v>19</v>
      </c>
      <c r="E2286" s="81"/>
      <c r="F2286" s="22" t="s">
        <v>895</v>
      </c>
      <c r="G2286" s="252">
        <v>759</v>
      </c>
      <c r="I2286" s="1">
        <f>COUNTIF(Tabela1[NF],Tabela1[[#This Row],[NF]])</f>
        <v>0</v>
      </c>
      <c r="K2286" s="26">
        <v>46094</v>
      </c>
      <c r="N2286" s="14" t="str" cm="1">
        <f t="array" ref="N2286">_xlfn.XLOOKUP(TRIM(D2286),TRIM(DFC!A:A),DFC!A:A,"NÃO ESTÁ NA DFC")</f>
        <v xml:space="preserve">      PEÇAS</v>
      </c>
    </row>
    <row r="2287" spans="1:14" ht="15" customHeight="1" x14ac:dyDescent="0.3">
      <c r="A2287" s="19"/>
      <c r="B2287" s="21">
        <v>46094</v>
      </c>
      <c r="C2287" s="280" t="s">
        <v>202</v>
      </c>
      <c r="D2287" s="21" t="s">
        <v>79</v>
      </c>
      <c r="E2287" s="20"/>
      <c r="F2287" s="22" t="s">
        <v>896</v>
      </c>
      <c r="G2287" s="252">
        <v>435</v>
      </c>
      <c r="I2287" s="1">
        <f>COUNTIF(Tabela1[NF],Tabela1[[#This Row],[NF]])</f>
        <v>0</v>
      </c>
      <c r="K2287" s="26">
        <v>46094</v>
      </c>
      <c r="N2287" s="14" t="str" cm="1">
        <f t="array" ref="N2287">_xlfn.XLOOKUP(TRIM(D2287),TRIM(DFC!A:A),DFC!A:A,"NÃO ESTÁ NA DFC")</f>
        <v xml:space="preserve">     DESP DE MARKETING E PROPAGANDA</v>
      </c>
    </row>
    <row r="2288" spans="1:14" ht="15" customHeight="1" x14ac:dyDescent="0.3">
      <c r="A2288" s="19"/>
      <c r="B2288" s="21">
        <v>46094</v>
      </c>
      <c r="C2288" s="280" t="s">
        <v>202</v>
      </c>
      <c r="D2288" s="21" t="s">
        <v>104</v>
      </c>
      <c r="E2288" s="20"/>
      <c r="F2288" s="22" t="s">
        <v>897</v>
      </c>
      <c r="G2288" s="252">
        <v>1705.52</v>
      </c>
      <c r="I2288" s="1">
        <f>COUNTIF(Tabela1[NF],Tabela1[[#This Row],[NF]])</f>
        <v>0</v>
      </c>
      <c r="K2288" s="26">
        <v>46094</v>
      </c>
      <c r="N2288" s="14" t="str" cm="1">
        <f t="array" ref="N2288">_xlfn.XLOOKUP(TRIM(D2288),TRIM(DFC!A:A),DFC!A:A,"NÃO ESTÁ NA DFC")</f>
        <v xml:space="preserve">          OUTRAS DESPESAS ADMINISTRATIVAS</v>
      </c>
    </row>
    <row r="2289" spans="1:137" ht="15" customHeight="1" x14ac:dyDescent="0.3">
      <c r="A2289" s="19"/>
      <c r="B2289" s="21">
        <v>46094</v>
      </c>
      <c r="C2289" s="280" t="s">
        <v>202</v>
      </c>
      <c r="D2289" s="21" t="s">
        <v>76</v>
      </c>
      <c r="E2289" s="20"/>
      <c r="F2289" s="22" t="s">
        <v>898</v>
      </c>
      <c r="G2289" s="252">
        <v>184.12</v>
      </c>
      <c r="I2289" s="1">
        <f>COUNTIF(Tabela1[NF],Tabela1[[#This Row],[NF]])</f>
        <v>0</v>
      </c>
      <c r="K2289" s="26">
        <v>46094</v>
      </c>
      <c r="N2289" s="14" t="str" cm="1">
        <f t="array" ref="N2289">_xlfn.XLOOKUP(TRIM(D2289),TRIM(DFC!A:A),DFC!A:A,"NÃO ESTÁ NA DFC")</f>
        <v xml:space="preserve">          COMPRA DE MÓVEIS E UTENSÍLIOS</v>
      </c>
    </row>
    <row r="2290" spans="1:137" ht="15" customHeight="1" x14ac:dyDescent="0.3">
      <c r="A2290" s="19"/>
      <c r="B2290" s="21">
        <v>46094</v>
      </c>
      <c r="C2290" s="280" t="s">
        <v>202</v>
      </c>
      <c r="D2290" s="21" t="s">
        <v>104</v>
      </c>
      <c r="E2290" s="20"/>
      <c r="F2290" s="22" t="s">
        <v>899</v>
      </c>
      <c r="G2290" s="252">
        <v>99.8</v>
      </c>
      <c r="I2290" s="1">
        <f>COUNTIF(Tabela1[NF],Tabela1[[#This Row],[NF]])</f>
        <v>0</v>
      </c>
      <c r="K2290" s="26">
        <v>46094</v>
      </c>
      <c r="N2290" s="14" t="str" cm="1">
        <f t="array" ref="N2290">_xlfn.XLOOKUP(TRIM(D2290),TRIM(DFC!A:A),DFC!A:A,"NÃO ESTÁ NA DFC")</f>
        <v xml:space="preserve">          OUTRAS DESPESAS ADMINISTRATIVAS</v>
      </c>
    </row>
    <row r="2291" spans="1:137" ht="15" customHeight="1" x14ac:dyDescent="0.3">
      <c r="A2291" s="19"/>
      <c r="B2291" s="21">
        <v>46094</v>
      </c>
      <c r="C2291" s="280" t="s">
        <v>202</v>
      </c>
      <c r="D2291" s="21" t="s">
        <v>18</v>
      </c>
      <c r="E2291" s="20"/>
      <c r="F2291" s="22" t="s">
        <v>900</v>
      </c>
      <c r="G2291" s="252">
        <v>35</v>
      </c>
      <c r="I2291" s="1">
        <f>COUNTIF(Tabela1[NF],Tabela1[[#This Row],[NF]])</f>
        <v>0</v>
      </c>
      <c r="K2291" s="26">
        <v>46094</v>
      </c>
      <c r="N2291" s="14" t="str" cm="1">
        <f t="array" ref="N2291">_xlfn.XLOOKUP(TRIM(D2291),TRIM(DFC!A:A),DFC!A:A,"NÃO ESTÁ NA DFC")</f>
        <v xml:space="preserve">     COMISSÕES E TAXAS DOS MARKETPLACES</v>
      </c>
    </row>
    <row r="2292" spans="1:137" ht="15" customHeight="1" x14ac:dyDescent="0.3">
      <c r="A2292" s="19"/>
      <c r="B2292" s="21">
        <v>46094</v>
      </c>
      <c r="C2292" s="280" t="s">
        <v>202</v>
      </c>
      <c r="D2292" s="21" t="s">
        <v>203</v>
      </c>
      <c r="E2292" s="20"/>
      <c r="F2292" s="22" t="s">
        <v>901</v>
      </c>
      <c r="G2292" s="252">
        <v>58.8</v>
      </c>
      <c r="I2292" s="1">
        <f>COUNTIF(Tabela1[NF],Tabela1[[#This Row],[NF]])</f>
        <v>0</v>
      </c>
      <c r="K2292" s="26">
        <v>46094</v>
      </c>
      <c r="N2292" s="14" t="str" cm="1">
        <f t="array" ref="N2292">_xlfn.XLOOKUP(TRIM(D2292),TRIM(DFC!A:A),DFC!A:A,"NÃO ESTÁ NA DFC")</f>
        <v xml:space="preserve">         ASSINATURAS</v>
      </c>
    </row>
    <row r="2293" spans="1:137" ht="15" customHeight="1" x14ac:dyDescent="0.3">
      <c r="A2293" s="19"/>
      <c r="B2293" s="21">
        <v>46094</v>
      </c>
      <c r="C2293" s="280" t="s">
        <v>202</v>
      </c>
      <c r="D2293" s="21" t="s">
        <v>203</v>
      </c>
      <c r="E2293" s="20"/>
      <c r="F2293" s="22" t="s">
        <v>902</v>
      </c>
      <c r="G2293" s="252">
        <v>269.99</v>
      </c>
      <c r="I2293" s="1">
        <f>COUNTIF(Tabela1[NF],Tabela1[[#This Row],[NF]])</f>
        <v>0</v>
      </c>
      <c r="K2293" s="26">
        <v>46094</v>
      </c>
      <c r="N2293" s="14" t="str" cm="1">
        <f t="array" ref="N2293">_xlfn.XLOOKUP(TRIM(D2293),TRIM(DFC!A:A),DFC!A:A,"NÃO ESTÁ NA DFC")</f>
        <v xml:space="preserve">         ASSINATURAS</v>
      </c>
    </row>
    <row r="2294" spans="1:137" s="22" customFormat="1" ht="15" customHeight="1" x14ac:dyDescent="0.3">
      <c r="A2294" s="19"/>
      <c r="B2294" s="419">
        <v>46122</v>
      </c>
      <c r="C2294" s="21" t="s">
        <v>15</v>
      </c>
      <c r="D2294" s="21" t="s">
        <v>123</v>
      </c>
      <c r="E2294" s="21"/>
      <c r="F2294" s="22" t="s">
        <v>338</v>
      </c>
      <c r="G2294" s="252">
        <v>170.61</v>
      </c>
      <c r="H2294" s="1"/>
      <c r="I2294" s="1">
        <f>COUNTIF(Tabela1[NF],Tabela1[[#This Row],[NF]])</f>
        <v>0</v>
      </c>
      <c r="J2294"/>
      <c r="K2294" s="26">
        <v>46122</v>
      </c>
      <c r="N2294" s="1" t="str" cm="1">
        <f t="array" ref="N2294">_xlfn.XLOOKUP(TRIM(D2294),TRIM(DFC!A:A),DFC!A:A,"NÃO ESTÁ NA DFC")</f>
        <v xml:space="preserve">          SEGURO DE VIDA</v>
      </c>
      <c r="O2294"/>
      <c r="P2294" s="303"/>
      <c r="Q2294" s="262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/>
      <c r="BK2294"/>
      <c r="BL2294"/>
      <c r="BM2294"/>
      <c r="BN2294"/>
      <c r="BO2294"/>
      <c r="BP2294"/>
      <c r="BQ2294"/>
      <c r="BR2294"/>
      <c r="BS2294"/>
      <c r="BT2294"/>
      <c r="BU2294"/>
      <c r="BV2294"/>
      <c r="BW2294"/>
      <c r="BX2294"/>
      <c r="BY2294"/>
      <c r="BZ2294"/>
      <c r="CA2294"/>
      <c r="CB2294"/>
      <c r="CC2294"/>
      <c r="CD2294"/>
      <c r="CE2294"/>
      <c r="CF2294"/>
      <c r="CG2294"/>
      <c r="CH2294"/>
      <c r="CI2294"/>
      <c r="CJ2294"/>
      <c r="CK2294"/>
      <c r="CL2294"/>
      <c r="CM2294"/>
      <c r="CN2294"/>
      <c r="CO2294"/>
      <c r="CP2294"/>
      <c r="CQ2294"/>
      <c r="CR2294"/>
      <c r="CS2294"/>
      <c r="CT2294"/>
      <c r="CU2294"/>
      <c r="CV2294"/>
      <c r="CW2294"/>
      <c r="CX2294"/>
      <c r="CY2294"/>
      <c r="CZ2294"/>
      <c r="DA2294"/>
      <c r="DB2294"/>
      <c r="DC2294"/>
      <c r="DD2294"/>
      <c r="DE2294"/>
      <c r="DF2294"/>
      <c r="DG2294"/>
      <c r="DH2294"/>
      <c r="DI2294"/>
      <c r="DJ2294"/>
      <c r="DK2294"/>
      <c r="DL2294"/>
      <c r="DM2294"/>
      <c r="DN2294"/>
      <c r="DO2294"/>
      <c r="DP2294"/>
      <c r="DQ2294"/>
      <c r="DR2294"/>
      <c r="DS2294"/>
      <c r="DT2294"/>
      <c r="DU2294"/>
      <c r="DV2294"/>
      <c r="DW2294"/>
      <c r="DX2294"/>
      <c r="DY2294"/>
      <c r="DZ2294"/>
      <c r="EA2294"/>
      <c r="EB2294"/>
      <c r="EC2294"/>
      <c r="ED2294"/>
      <c r="EE2294"/>
      <c r="EF2294"/>
      <c r="EG2294"/>
    </row>
    <row r="2295" spans="1:137" s="22" customFormat="1" ht="15" customHeight="1" x14ac:dyDescent="0.3">
      <c r="A2295" s="19"/>
      <c r="B2295" s="419">
        <v>46122</v>
      </c>
      <c r="C2295" s="21" t="s">
        <v>15</v>
      </c>
      <c r="D2295" s="91" t="s">
        <v>72</v>
      </c>
      <c r="E2295" s="21"/>
      <c r="F2295" s="22" t="s">
        <v>380</v>
      </c>
      <c r="G2295" s="252">
        <v>705.21</v>
      </c>
      <c r="H2295" s="1"/>
      <c r="I2295" s="1">
        <f>COUNTIF(Tabela1[NF],Tabela1[[#This Row],[NF]])</f>
        <v>0</v>
      </c>
      <c r="J2295"/>
      <c r="K2295" s="26">
        <v>46122</v>
      </c>
      <c r="N2295" s="1" t="str" cm="1">
        <f t="array" ref="N2295">_xlfn.XLOOKUP(TRIM(D2295),TRIM(DFC!A:A),DFC!A:A,"NÃO ESTÁ NA DFC")</f>
        <v xml:space="preserve">          COMBUSTÍVEL</v>
      </c>
      <c r="O2295"/>
      <c r="P2295" s="303"/>
      <c r="Q2295" s="262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  <c r="BK2295"/>
      <c r="BL2295"/>
      <c r="BM2295"/>
      <c r="BN2295"/>
      <c r="BO2295"/>
      <c r="BP2295"/>
      <c r="BQ2295"/>
      <c r="BR2295"/>
      <c r="BS2295"/>
      <c r="BT2295"/>
      <c r="BU2295"/>
      <c r="BV2295"/>
      <c r="BW2295"/>
      <c r="BX2295"/>
      <c r="BY2295"/>
      <c r="BZ2295"/>
      <c r="CA2295"/>
      <c r="CB2295"/>
      <c r="CC2295"/>
      <c r="CD2295"/>
      <c r="CE2295"/>
      <c r="CF2295"/>
      <c r="CG2295"/>
      <c r="CH2295"/>
      <c r="CI2295"/>
      <c r="CJ2295"/>
      <c r="CK2295"/>
      <c r="CL2295"/>
      <c r="CM2295"/>
      <c r="CN2295"/>
      <c r="CO2295"/>
      <c r="CP2295"/>
      <c r="CQ2295"/>
      <c r="CR2295"/>
      <c r="CS2295"/>
      <c r="CT2295"/>
      <c r="CU2295"/>
      <c r="CV2295"/>
      <c r="CW2295"/>
      <c r="CX2295"/>
      <c r="CY2295"/>
      <c r="CZ2295"/>
      <c r="DA2295"/>
      <c r="DB2295"/>
      <c r="DC2295"/>
      <c r="DD2295"/>
      <c r="DE2295"/>
      <c r="DF2295"/>
      <c r="DG2295"/>
      <c r="DH2295"/>
      <c r="DI2295"/>
      <c r="DJ2295"/>
      <c r="DK2295"/>
      <c r="DL2295"/>
      <c r="DM2295"/>
      <c r="DN2295"/>
      <c r="DO2295"/>
      <c r="DP2295"/>
      <c r="DQ2295"/>
      <c r="DR2295"/>
      <c r="DS2295"/>
      <c r="DT2295"/>
      <c r="DU2295"/>
      <c r="DV2295"/>
      <c r="DW2295"/>
      <c r="DX2295"/>
      <c r="DY2295"/>
      <c r="DZ2295"/>
      <c r="EA2295"/>
      <c r="EB2295"/>
      <c r="EC2295"/>
      <c r="ED2295"/>
      <c r="EE2295"/>
      <c r="EF2295"/>
      <c r="EG2295"/>
    </row>
    <row r="2296" spans="1:137" s="22" customFormat="1" ht="15" customHeight="1" x14ac:dyDescent="0.3">
      <c r="A2296" s="19"/>
      <c r="B2296" s="419">
        <v>46122</v>
      </c>
      <c r="C2296" s="21" t="s">
        <v>15</v>
      </c>
      <c r="D2296" s="91" t="s">
        <v>111</v>
      </c>
      <c r="E2296" s="21"/>
      <c r="F2296" s="22" t="s">
        <v>339</v>
      </c>
      <c r="G2296" s="252">
        <v>53.76</v>
      </c>
      <c r="H2296" s="1"/>
      <c r="I2296" s="1">
        <f>COUNTIF(Tabela1[NF],Tabela1[[#This Row],[NF]])</f>
        <v>0</v>
      </c>
      <c r="J2296"/>
      <c r="K2296" s="26">
        <v>46122</v>
      </c>
      <c r="N2296" s="1" t="str" cm="1">
        <f t="array" ref="N2296">_xlfn.XLOOKUP(TRIM(D2296),TRIM(DFC!A:A),DFC!A:A,"NÃO ESTÁ NA DFC")</f>
        <v xml:space="preserve">          TX. BANCÁRIA</v>
      </c>
      <c r="O2296"/>
      <c r="P2296" s="303"/>
      <c r="Q2296" s="262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  <c r="BK2296"/>
      <c r="BL2296"/>
      <c r="BM2296"/>
      <c r="BN2296"/>
      <c r="BO2296"/>
      <c r="BP2296"/>
      <c r="BQ2296"/>
      <c r="BR2296"/>
      <c r="BS2296"/>
      <c r="BT2296"/>
      <c r="BU2296"/>
      <c r="BV2296"/>
      <c r="BW2296"/>
      <c r="BX2296"/>
      <c r="BY2296"/>
      <c r="BZ2296"/>
      <c r="CA2296"/>
      <c r="CB2296"/>
      <c r="CC2296"/>
      <c r="CD2296"/>
      <c r="CE2296"/>
      <c r="CF2296"/>
      <c r="CG2296"/>
      <c r="CH2296"/>
      <c r="CI2296"/>
      <c r="CJ2296"/>
      <c r="CK2296"/>
      <c r="CL2296"/>
      <c r="CM2296"/>
      <c r="CN2296"/>
      <c r="CO2296"/>
      <c r="CP2296"/>
      <c r="CQ2296"/>
      <c r="CR2296"/>
      <c r="CS2296"/>
      <c r="CT2296"/>
      <c r="CU2296"/>
      <c r="CV2296"/>
      <c r="CW2296"/>
      <c r="CX2296"/>
      <c r="CY2296"/>
      <c r="CZ2296"/>
      <c r="DA2296"/>
      <c r="DB2296"/>
      <c r="DC2296"/>
      <c r="DD2296"/>
      <c r="DE2296"/>
      <c r="DF2296"/>
      <c r="DG2296"/>
      <c r="DH2296"/>
      <c r="DI2296"/>
      <c r="DJ2296"/>
      <c r="DK2296"/>
      <c r="DL2296"/>
      <c r="DM2296"/>
      <c r="DN2296"/>
      <c r="DO2296"/>
      <c r="DP2296"/>
      <c r="DQ2296"/>
      <c r="DR2296"/>
      <c r="DS2296"/>
      <c r="DT2296"/>
      <c r="DU2296"/>
      <c r="DV2296"/>
      <c r="DW2296"/>
      <c r="DX2296"/>
      <c r="DY2296"/>
      <c r="DZ2296"/>
      <c r="EA2296"/>
      <c r="EB2296"/>
      <c r="EC2296"/>
      <c r="ED2296"/>
      <c r="EE2296"/>
      <c r="EF2296"/>
      <c r="EG2296"/>
    </row>
    <row r="2297" spans="1:137" s="22" customFormat="1" ht="15" customHeight="1" x14ac:dyDescent="0.3">
      <c r="A2297" s="19"/>
      <c r="B2297" s="419">
        <v>46122</v>
      </c>
      <c r="C2297" s="21" t="s">
        <v>15</v>
      </c>
      <c r="D2297" s="21" t="s">
        <v>726</v>
      </c>
      <c r="E2297" s="280" t="s">
        <v>519</v>
      </c>
      <c r="F2297" s="22" t="s">
        <v>733</v>
      </c>
      <c r="G2297" s="252">
        <v>5128.9799999999996</v>
      </c>
      <c r="H2297" s="1"/>
      <c r="I2297" s="1">
        <f>COUNTIF(Tabela1[NF],Tabela1[[#This Row],[NF]])</f>
        <v>0</v>
      </c>
      <c r="J2297"/>
      <c r="K2297" s="26">
        <v>46122</v>
      </c>
      <c r="N2297" s="1" t="str" cm="1">
        <f t="array" ref="N2297">_xlfn.XLOOKUP(TRIM(D2297),TRIM(DFC!A:A),DFC!A:A,"NÃO ESTÁ NA DFC")</f>
        <v xml:space="preserve">     ICMS SC</v>
      </c>
      <c r="O2297"/>
      <c r="P2297" s="303"/>
      <c r="Q2297" s="262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/>
      <c r="BS2297"/>
      <c r="BT2297"/>
      <c r="BU2297"/>
      <c r="BV2297"/>
      <c r="BW2297"/>
      <c r="BX2297"/>
      <c r="BY2297"/>
      <c r="BZ2297"/>
      <c r="CA2297"/>
      <c r="CB2297"/>
      <c r="CC2297"/>
      <c r="CD2297"/>
      <c r="CE2297"/>
      <c r="CF2297"/>
      <c r="CG2297"/>
      <c r="CH2297"/>
      <c r="CI2297"/>
      <c r="CJ2297"/>
      <c r="CK2297"/>
      <c r="CL2297"/>
      <c r="CM2297"/>
      <c r="CN2297"/>
      <c r="CO2297"/>
      <c r="CP2297"/>
      <c r="CQ2297"/>
      <c r="CR2297"/>
      <c r="CS2297"/>
      <c r="CT2297"/>
      <c r="CU2297"/>
      <c r="CV2297"/>
      <c r="CW2297"/>
      <c r="CX2297"/>
      <c r="CY2297"/>
      <c r="CZ2297"/>
      <c r="DA2297"/>
      <c r="DB2297"/>
      <c r="DC2297"/>
      <c r="DD2297"/>
      <c r="DE2297"/>
      <c r="DF2297"/>
      <c r="DG2297"/>
      <c r="DH2297"/>
      <c r="DI2297"/>
      <c r="DJ2297"/>
      <c r="DK2297"/>
      <c r="DL2297"/>
      <c r="DM2297"/>
      <c r="DN2297"/>
      <c r="DO2297"/>
      <c r="DP2297"/>
      <c r="DQ2297"/>
      <c r="DR2297"/>
      <c r="DS2297"/>
      <c r="DT2297"/>
      <c r="DU2297"/>
      <c r="DV2297"/>
      <c r="DW2297"/>
      <c r="DX2297"/>
      <c r="DY2297"/>
      <c r="DZ2297"/>
      <c r="EA2297"/>
      <c r="EB2297"/>
      <c r="EC2297"/>
      <c r="ED2297"/>
      <c r="EE2297"/>
      <c r="EF2297"/>
      <c r="EG2297"/>
    </row>
    <row r="2298" spans="1:137" s="22" customFormat="1" ht="15" customHeight="1" x14ac:dyDescent="0.3">
      <c r="A2298" s="19"/>
      <c r="B2298" s="419">
        <v>46122</v>
      </c>
      <c r="C2298" s="21" t="s">
        <v>15</v>
      </c>
      <c r="D2298" s="91" t="s">
        <v>731</v>
      </c>
      <c r="E2298" s="280" t="s">
        <v>519</v>
      </c>
      <c r="F2298" s="22" t="s">
        <v>732</v>
      </c>
      <c r="G2298" s="252">
        <v>183.88</v>
      </c>
      <c r="H2298" s="1"/>
      <c r="I2298" s="1">
        <f>COUNTIF(Tabela1[NF],Tabela1[[#This Row],[NF]])</f>
        <v>0</v>
      </c>
      <c r="J2298"/>
      <c r="K2298" s="26">
        <v>46122</v>
      </c>
      <c r="N2298" s="1" t="str" cm="1">
        <f t="array" ref="N2298">_xlfn.XLOOKUP(TRIM(D2298),TRIM(DFC!A:A),DFC!A:A,"NÃO ESTÁ NA DFC")</f>
        <v xml:space="preserve">     DIFAL</v>
      </c>
      <c r="O2298"/>
      <c r="P2298" s="303"/>
      <c r="Q2298" s="262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  <c r="BV2298"/>
      <c r="BW2298"/>
      <c r="BX2298"/>
      <c r="BY2298"/>
      <c r="BZ2298"/>
      <c r="CA2298"/>
      <c r="CB2298"/>
      <c r="CC2298"/>
      <c r="CD2298"/>
      <c r="CE2298"/>
      <c r="CF2298"/>
      <c r="CG2298"/>
      <c r="CH2298"/>
      <c r="CI2298"/>
      <c r="CJ2298"/>
      <c r="CK2298"/>
      <c r="CL2298"/>
      <c r="CM2298"/>
      <c r="CN2298"/>
      <c r="CO2298"/>
      <c r="CP2298"/>
      <c r="CQ2298"/>
      <c r="CR2298"/>
      <c r="CS2298"/>
      <c r="CT2298"/>
      <c r="CU2298"/>
      <c r="CV2298"/>
      <c r="CW2298"/>
      <c r="CX2298"/>
      <c r="CY2298"/>
      <c r="CZ2298"/>
      <c r="DA2298"/>
      <c r="DB2298"/>
      <c r="DC2298"/>
      <c r="DD2298"/>
      <c r="DE2298"/>
      <c r="DF2298"/>
      <c r="DG2298"/>
      <c r="DH2298"/>
      <c r="DI2298"/>
      <c r="DJ2298"/>
      <c r="DK2298"/>
      <c r="DL2298"/>
      <c r="DM2298"/>
      <c r="DN2298"/>
      <c r="DO2298"/>
      <c r="DP2298"/>
      <c r="DQ2298"/>
      <c r="DR2298"/>
      <c r="DS2298"/>
      <c r="DT2298"/>
      <c r="DU2298"/>
      <c r="DV2298"/>
      <c r="DW2298"/>
      <c r="DX2298"/>
      <c r="DY2298"/>
      <c r="DZ2298"/>
      <c r="EA2298"/>
      <c r="EB2298"/>
      <c r="EC2298"/>
      <c r="ED2298"/>
      <c r="EE2298"/>
      <c r="EF2298"/>
      <c r="EG2298"/>
    </row>
    <row r="2299" spans="1:137" s="22" customFormat="1" ht="15" customHeight="1" x14ac:dyDescent="0.3">
      <c r="A2299" s="19"/>
      <c r="B2299" s="419">
        <v>46122</v>
      </c>
      <c r="C2299" s="21" t="s">
        <v>15</v>
      </c>
      <c r="D2299" s="21" t="s">
        <v>726</v>
      </c>
      <c r="E2299" s="280" t="s">
        <v>519</v>
      </c>
      <c r="F2299" s="22" t="s">
        <v>903</v>
      </c>
      <c r="G2299" s="252">
        <v>85.65</v>
      </c>
      <c r="H2299" s="1"/>
      <c r="I2299" s="1">
        <f>COUNTIF(Tabela1[NF],Tabela1[[#This Row],[NF]])</f>
        <v>0</v>
      </c>
      <c r="J2299"/>
      <c r="K2299" s="26">
        <v>46122</v>
      </c>
      <c r="N2299" s="1" t="str" cm="1">
        <f t="array" ref="N2299">_xlfn.XLOOKUP(TRIM(D2299),TRIM(DFC!A:A),DFC!A:A,"NÃO ESTÁ NA DFC")</f>
        <v xml:space="preserve">     ICMS SC</v>
      </c>
      <c r="O2299"/>
      <c r="P2299" s="303"/>
      <c r="Q2299" s="262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  <c r="CA2299"/>
      <c r="CB2299"/>
      <c r="CC2299"/>
      <c r="CD2299"/>
      <c r="CE2299"/>
      <c r="CF2299"/>
      <c r="CG2299"/>
      <c r="CH2299"/>
      <c r="CI2299"/>
      <c r="CJ2299"/>
      <c r="CK2299"/>
      <c r="CL2299"/>
      <c r="CM2299"/>
      <c r="CN2299"/>
      <c r="CO2299"/>
      <c r="CP2299"/>
      <c r="CQ2299"/>
      <c r="CR2299"/>
      <c r="CS2299"/>
      <c r="CT2299"/>
      <c r="CU2299"/>
      <c r="CV2299"/>
      <c r="CW2299"/>
      <c r="CX2299"/>
      <c r="CY2299"/>
      <c r="CZ2299"/>
      <c r="DA2299"/>
      <c r="DB2299"/>
      <c r="DC2299"/>
      <c r="DD2299"/>
      <c r="DE2299"/>
      <c r="DF2299"/>
      <c r="DG2299"/>
      <c r="DH2299"/>
      <c r="DI2299"/>
      <c r="DJ2299"/>
      <c r="DK2299"/>
      <c r="DL2299"/>
      <c r="DM2299"/>
      <c r="DN2299"/>
      <c r="DO2299"/>
      <c r="DP2299"/>
      <c r="DQ2299"/>
      <c r="DR2299"/>
      <c r="DS2299"/>
      <c r="DT2299"/>
      <c r="DU2299"/>
      <c r="DV2299"/>
      <c r="DW2299"/>
      <c r="DX2299"/>
      <c r="DY2299"/>
      <c r="DZ2299"/>
      <c r="EA2299"/>
      <c r="EB2299"/>
      <c r="EC2299"/>
      <c r="ED2299"/>
      <c r="EE2299"/>
      <c r="EF2299"/>
      <c r="EG2299"/>
    </row>
    <row r="2300" spans="1:137" s="22" customFormat="1" ht="15" customHeight="1" x14ac:dyDescent="0.3">
      <c r="A2300" s="19"/>
      <c r="B2300" s="419">
        <v>46122</v>
      </c>
      <c r="C2300" s="21" t="s">
        <v>15</v>
      </c>
      <c r="D2300" s="21" t="s">
        <v>731</v>
      </c>
      <c r="E2300" s="280" t="s">
        <v>519</v>
      </c>
      <c r="F2300" s="22" t="s">
        <v>903</v>
      </c>
      <c r="G2300" s="252">
        <v>67.77</v>
      </c>
      <c r="H2300" s="1"/>
      <c r="I2300" s="1">
        <f>COUNTIF(Tabela1[NF],Tabela1[[#This Row],[NF]])</f>
        <v>0</v>
      </c>
      <c r="J2300"/>
      <c r="K2300" s="26">
        <v>46122</v>
      </c>
      <c r="N2300" s="1" t="str" cm="1">
        <f t="array" ref="N2300">_xlfn.XLOOKUP(TRIM(D2300),TRIM(DFC!A:A),DFC!A:A,"NÃO ESTÁ NA DFC")</f>
        <v xml:space="preserve">     DIFAL</v>
      </c>
      <c r="O2300"/>
      <c r="P2300" s="303"/>
      <c r="Q2300" s="262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  <c r="BV2300"/>
      <c r="BW2300"/>
      <c r="BX2300"/>
      <c r="BY2300"/>
      <c r="BZ2300"/>
      <c r="CA2300"/>
      <c r="CB2300"/>
      <c r="CC2300"/>
      <c r="CD2300"/>
      <c r="CE2300"/>
      <c r="CF2300"/>
      <c r="CG2300"/>
      <c r="CH2300"/>
      <c r="CI2300"/>
      <c r="CJ2300"/>
      <c r="CK2300"/>
      <c r="CL2300"/>
      <c r="CM2300"/>
      <c r="CN2300"/>
      <c r="CO2300"/>
      <c r="CP2300"/>
      <c r="CQ2300"/>
      <c r="CR2300"/>
      <c r="CS2300"/>
      <c r="CT2300"/>
      <c r="CU2300"/>
      <c r="CV2300"/>
      <c r="CW2300"/>
      <c r="CX2300"/>
      <c r="CY2300"/>
      <c r="CZ2300"/>
      <c r="DA2300"/>
      <c r="DB2300"/>
      <c r="DC2300"/>
      <c r="DD2300"/>
      <c r="DE2300"/>
      <c r="DF2300"/>
      <c r="DG2300"/>
      <c r="DH2300"/>
      <c r="DI2300"/>
      <c r="DJ2300"/>
      <c r="DK2300"/>
      <c r="DL2300"/>
      <c r="DM2300"/>
      <c r="DN2300"/>
      <c r="DO2300"/>
      <c r="DP2300"/>
      <c r="DQ2300"/>
      <c r="DR2300"/>
      <c r="DS2300"/>
      <c r="DT2300"/>
      <c r="DU2300"/>
      <c r="DV2300"/>
      <c r="DW2300"/>
      <c r="DX2300"/>
      <c r="DY2300"/>
      <c r="DZ2300"/>
      <c r="EA2300"/>
      <c r="EB2300"/>
      <c r="EC2300"/>
      <c r="ED2300"/>
      <c r="EE2300"/>
      <c r="EF2300"/>
      <c r="EG2300"/>
    </row>
    <row r="2301" spans="1:137" s="22" customFormat="1" ht="15" customHeight="1" x14ac:dyDescent="0.3">
      <c r="A2301" s="19">
        <v>215</v>
      </c>
      <c r="B2301" s="419">
        <v>46122</v>
      </c>
      <c r="C2301" s="21" t="s">
        <v>15</v>
      </c>
      <c r="D2301" s="91" t="s">
        <v>19</v>
      </c>
      <c r="E2301" s="21"/>
      <c r="F2301" s="22" t="s">
        <v>702</v>
      </c>
      <c r="G2301" s="252">
        <v>3496</v>
      </c>
      <c r="H2301" s="1"/>
      <c r="I2301" s="1">
        <f>COUNTIF(Tabela1[NF],Tabela1[[#This Row],[NF]])</f>
        <v>1</v>
      </c>
      <c r="J2301"/>
      <c r="K2301" s="26">
        <v>46122</v>
      </c>
      <c r="N2301" s="1" t="str" cm="1">
        <f t="array" ref="N2301">_xlfn.XLOOKUP(TRIM(D2301),TRIM(DFC!A:A),DFC!A:A,"NÃO ESTÁ NA DFC")</f>
        <v xml:space="preserve">      PEÇAS</v>
      </c>
      <c r="O2301"/>
      <c r="P2301" s="303"/>
      <c r="Q2301" s="262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/>
      <c r="BP2301"/>
      <c r="BQ2301"/>
      <c r="BR2301"/>
      <c r="BS2301"/>
      <c r="BT2301"/>
      <c r="BU2301"/>
      <c r="BV2301"/>
      <c r="BW2301"/>
      <c r="BX2301"/>
      <c r="BY2301"/>
      <c r="BZ2301"/>
      <c r="CA2301"/>
      <c r="CB2301"/>
      <c r="CC2301"/>
      <c r="CD2301"/>
      <c r="CE2301"/>
      <c r="CF2301"/>
      <c r="CG2301"/>
      <c r="CH2301"/>
      <c r="CI2301"/>
      <c r="CJ2301"/>
      <c r="CK2301"/>
      <c r="CL2301"/>
      <c r="CM2301"/>
      <c r="CN2301"/>
      <c r="CO2301"/>
      <c r="CP2301"/>
      <c r="CQ2301"/>
      <c r="CR2301"/>
      <c r="CS2301"/>
      <c r="CT2301"/>
      <c r="CU2301"/>
      <c r="CV2301"/>
      <c r="CW2301"/>
      <c r="CX2301"/>
      <c r="CY2301"/>
      <c r="CZ2301"/>
      <c r="DA2301"/>
      <c r="DB2301"/>
      <c r="DC2301"/>
      <c r="DD2301"/>
      <c r="DE2301"/>
      <c r="DF2301"/>
      <c r="DG2301"/>
      <c r="DH2301"/>
      <c r="DI2301"/>
      <c r="DJ2301"/>
      <c r="DK2301"/>
      <c r="DL2301"/>
      <c r="DM2301"/>
      <c r="DN2301"/>
      <c r="DO2301"/>
      <c r="DP2301"/>
      <c r="DQ2301"/>
      <c r="DR2301"/>
      <c r="DS2301"/>
      <c r="DT2301"/>
      <c r="DU2301"/>
      <c r="DV2301"/>
      <c r="DW2301"/>
      <c r="DX2301"/>
      <c r="DY2301"/>
      <c r="DZ2301"/>
      <c r="EA2301"/>
      <c r="EB2301"/>
      <c r="EC2301"/>
      <c r="ED2301"/>
      <c r="EE2301"/>
      <c r="EF2301"/>
      <c r="EG2301"/>
    </row>
    <row r="2302" spans="1:137" s="22" customFormat="1" ht="15" customHeight="1" x14ac:dyDescent="0.3">
      <c r="A2302" s="19"/>
      <c r="B2302" s="419">
        <v>46122</v>
      </c>
      <c r="C2302" s="21" t="s">
        <v>15</v>
      </c>
      <c r="D2302" s="91" t="s">
        <v>19</v>
      </c>
      <c r="E2302" s="21"/>
      <c r="F2302" s="22" t="s">
        <v>342</v>
      </c>
      <c r="G2302" s="252">
        <v>144</v>
      </c>
      <c r="H2302" s="1"/>
      <c r="I2302" s="1">
        <f>COUNTIF(Tabela1[NF],Tabela1[[#This Row],[NF]])</f>
        <v>0</v>
      </c>
      <c r="J2302"/>
      <c r="K2302" s="26">
        <v>46122</v>
      </c>
      <c r="N2302" s="1" t="str" cm="1">
        <f t="array" ref="N2302">_xlfn.XLOOKUP(TRIM(D2302),TRIM(DFC!A:A),DFC!A:A,"NÃO ESTÁ NA DFC")</f>
        <v xml:space="preserve">      PEÇAS</v>
      </c>
      <c r="O2302"/>
      <c r="P2302" s="303"/>
      <c r="Q2302" s="26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/>
      <c r="BV2302"/>
      <c r="BW2302"/>
      <c r="BX2302"/>
      <c r="BY2302"/>
      <c r="BZ2302"/>
      <c r="CA2302"/>
      <c r="CB2302"/>
      <c r="CC2302"/>
      <c r="CD2302"/>
      <c r="CE2302"/>
      <c r="CF2302"/>
      <c r="CG2302"/>
      <c r="CH2302"/>
      <c r="CI2302"/>
      <c r="CJ2302"/>
      <c r="CK2302"/>
      <c r="CL2302"/>
      <c r="CM2302"/>
      <c r="CN2302"/>
      <c r="CO2302"/>
      <c r="CP2302"/>
      <c r="CQ2302"/>
      <c r="CR2302"/>
      <c r="CS2302"/>
      <c r="CT2302"/>
      <c r="CU2302"/>
      <c r="CV2302"/>
      <c r="CW2302"/>
      <c r="CX2302"/>
      <c r="CY2302"/>
      <c r="CZ2302"/>
      <c r="DA2302"/>
      <c r="DB2302"/>
      <c r="DC2302"/>
      <c r="DD2302"/>
      <c r="DE2302"/>
      <c r="DF2302"/>
      <c r="DG2302"/>
      <c r="DH2302"/>
      <c r="DI2302"/>
      <c r="DJ2302"/>
      <c r="DK2302"/>
      <c r="DL2302"/>
      <c r="DM2302"/>
      <c r="DN2302"/>
      <c r="DO2302"/>
      <c r="DP2302"/>
      <c r="DQ2302"/>
      <c r="DR2302"/>
      <c r="DS2302"/>
      <c r="DT2302"/>
      <c r="DU2302"/>
      <c r="DV2302"/>
      <c r="DW2302"/>
      <c r="DX2302"/>
      <c r="DY2302"/>
      <c r="DZ2302"/>
      <c r="EA2302"/>
      <c r="EB2302"/>
      <c r="EC2302"/>
      <c r="ED2302"/>
      <c r="EE2302"/>
      <c r="EF2302"/>
      <c r="EG2302"/>
    </row>
    <row r="2303" spans="1:137" s="22" customFormat="1" ht="15" customHeight="1" x14ac:dyDescent="0.3">
      <c r="A2303" s="19"/>
      <c r="B2303" s="419">
        <v>46122</v>
      </c>
      <c r="C2303" s="21" t="s">
        <v>15</v>
      </c>
      <c r="D2303" s="91" t="s">
        <v>29</v>
      </c>
      <c r="E2303" s="21" t="s">
        <v>716</v>
      </c>
      <c r="F2303" s="22" t="s">
        <v>467</v>
      </c>
      <c r="G2303" s="252">
        <v>123.62</v>
      </c>
      <c r="H2303" s="1"/>
      <c r="I2303" s="1">
        <f>COUNTIF(Tabela1[NF],Tabela1[[#This Row],[NF]])</f>
        <v>0</v>
      </c>
      <c r="J2303"/>
      <c r="K2303" s="26">
        <v>46122</v>
      </c>
      <c r="N2303" s="1" t="str" cm="1">
        <f t="array" ref="N2303">_xlfn.XLOOKUP(TRIM(D2303),TRIM(DFC!A:A),DFC!A:A,"NÃO ESTÁ NA DFC")</f>
        <v xml:space="preserve">      FRETE DE SAÍDA</v>
      </c>
      <c r="O2303"/>
      <c r="P2303" s="303"/>
      <c r="Q2303" s="262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/>
      <c r="BO2303"/>
      <c r="BP2303"/>
      <c r="BQ2303"/>
      <c r="BR2303"/>
      <c r="BS2303"/>
      <c r="BT2303"/>
      <c r="BU2303"/>
      <c r="BV2303"/>
      <c r="BW2303"/>
      <c r="BX2303"/>
      <c r="BY2303"/>
      <c r="BZ2303"/>
      <c r="CA2303"/>
      <c r="CB2303"/>
      <c r="CC2303"/>
      <c r="CD2303"/>
      <c r="CE2303"/>
      <c r="CF2303"/>
      <c r="CG2303"/>
      <c r="CH2303"/>
      <c r="CI2303"/>
      <c r="CJ2303"/>
      <c r="CK2303"/>
      <c r="CL2303"/>
      <c r="CM2303"/>
      <c r="CN2303"/>
      <c r="CO2303"/>
      <c r="CP2303"/>
      <c r="CQ2303"/>
      <c r="CR2303"/>
      <c r="CS2303"/>
      <c r="CT2303"/>
      <c r="CU2303"/>
      <c r="CV2303"/>
      <c r="CW2303"/>
      <c r="CX2303"/>
      <c r="CY2303"/>
      <c r="CZ2303"/>
      <c r="DA2303"/>
      <c r="DB2303"/>
      <c r="DC2303"/>
      <c r="DD2303"/>
      <c r="DE2303"/>
      <c r="DF2303"/>
      <c r="DG2303"/>
      <c r="DH2303"/>
      <c r="DI2303"/>
      <c r="DJ2303"/>
      <c r="DK2303"/>
      <c r="DL2303"/>
      <c r="DM2303"/>
      <c r="DN2303"/>
      <c r="DO2303"/>
      <c r="DP2303"/>
      <c r="DQ2303"/>
      <c r="DR2303"/>
      <c r="DS2303"/>
      <c r="DT2303"/>
      <c r="DU2303"/>
      <c r="DV2303"/>
      <c r="DW2303"/>
      <c r="DX2303"/>
      <c r="DY2303"/>
      <c r="DZ2303"/>
      <c r="EA2303"/>
      <c r="EB2303"/>
      <c r="EC2303"/>
      <c r="ED2303"/>
      <c r="EE2303"/>
      <c r="EF2303"/>
      <c r="EG2303"/>
    </row>
    <row r="2304" spans="1:137" ht="15" customHeight="1" x14ac:dyDescent="0.3">
      <c r="A2304" s="19"/>
      <c r="B2304" s="419">
        <v>46122</v>
      </c>
      <c r="C2304" s="21" t="s">
        <v>15</v>
      </c>
      <c r="D2304" s="91" t="s">
        <v>27</v>
      </c>
      <c r="E2304" s="21"/>
      <c r="F2304" s="22" t="s">
        <v>227</v>
      </c>
      <c r="G2304" s="252">
        <v>3432.87</v>
      </c>
      <c r="I2304" s="1">
        <f>COUNTIF(Tabela1[NF],Tabela1[[#This Row],[NF]])</f>
        <v>0</v>
      </c>
      <c r="K2304" s="26">
        <v>46122</v>
      </c>
      <c r="L2304" s="22"/>
      <c r="M2304" s="22"/>
      <c r="N2304" s="1" t="str" cm="1">
        <f t="array" ref="N2304">_xlfn.XLOOKUP(TRIM(D2304),TRIM(DFC!A:A),DFC!A:A,"NÃO ESTÁ NA DFC")</f>
        <v xml:space="preserve">         ERP</v>
      </c>
    </row>
    <row r="2305" spans="1:137" ht="15" customHeight="1" x14ac:dyDescent="0.3">
      <c r="A2305" s="19"/>
      <c r="B2305" s="419">
        <v>46122</v>
      </c>
      <c r="C2305" s="21" t="s">
        <v>15</v>
      </c>
      <c r="D2305" s="91" t="s">
        <v>29</v>
      </c>
      <c r="E2305" s="21"/>
      <c r="F2305" s="22" t="s">
        <v>195</v>
      </c>
      <c r="G2305" s="252">
        <v>728.25</v>
      </c>
      <c r="I2305" s="1">
        <f>COUNTIF(Tabela1[NF],Tabela1[[#This Row],[NF]])</f>
        <v>0</v>
      </c>
      <c r="K2305" s="26">
        <v>46122</v>
      </c>
      <c r="L2305" s="22"/>
      <c r="M2305" s="22"/>
      <c r="N2305" s="1" t="str" cm="1">
        <f t="array" ref="N2305">_xlfn.XLOOKUP(TRIM(D2305),TRIM(DFC!A:A),DFC!A:A,"NÃO ESTÁ NA DFC")</f>
        <v xml:space="preserve">      FRETE DE SAÍDA</v>
      </c>
    </row>
    <row r="2306" spans="1:137" ht="15" customHeight="1" x14ac:dyDescent="0.3">
      <c r="A2306" s="19"/>
      <c r="B2306" s="419">
        <v>46122</v>
      </c>
      <c r="C2306" s="21" t="s">
        <v>15</v>
      </c>
      <c r="D2306" s="91" t="s">
        <v>29</v>
      </c>
      <c r="E2306" s="21"/>
      <c r="F2306" s="22" t="s">
        <v>904</v>
      </c>
      <c r="G2306" s="252">
        <v>1200</v>
      </c>
      <c r="I2306" s="1">
        <f>COUNTIF(Tabela1[NF],Tabela1[[#This Row],[NF]])</f>
        <v>0</v>
      </c>
      <c r="K2306" s="26">
        <v>46122</v>
      </c>
      <c r="L2306" s="22"/>
      <c r="M2306" s="22"/>
      <c r="N2306" s="1" t="str" cm="1">
        <f t="array" ref="N2306">_xlfn.XLOOKUP(TRIM(D2306),TRIM(DFC!A:A),DFC!A:A,"NÃO ESTÁ NA DFC")</f>
        <v xml:space="preserve">      FRETE DE SAÍDA</v>
      </c>
    </row>
    <row r="2307" spans="1:137" ht="15" customHeight="1" x14ac:dyDescent="0.3">
      <c r="A2307" s="19"/>
      <c r="B2307" s="419">
        <v>46122</v>
      </c>
      <c r="C2307" s="21" t="s">
        <v>15</v>
      </c>
      <c r="D2307" s="91" t="s">
        <v>40</v>
      </c>
      <c r="E2307" s="21" t="s">
        <v>1998</v>
      </c>
      <c r="F2307" s="22" t="s">
        <v>827</v>
      </c>
      <c r="G2307" s="252">
        <v>400</v>
      </c>
      <c r="I2307" s="1">
        <f>COUNTIF(Tabela1[NF],Tabela1[[#This Row],[NF]])</f>
        <v>0</v>
      </c>
      <c r="K2307" s="26">
        <v>46122</v>
      </c>
      <c r="L2307" s="22"/>
      <c r="M2307" s="22"/>
      <c r="N2307" s="1" t="str" cm="1">
        <f t="array" ref="N2307">_xlfn.XLOOKUP(TRIM(D2307),TRIM(DFC!A:A),DFC!A:A,"NÃO ESTÁ NA DFC")</f>
        <v xml:space="preserve">         SERVIÇO TERCEIRIZADO</v>
      </c>
    </row>
    <row r="2308" spans="1:137" ht="15" customHeight="1" x14ac:dyDescent="0.3">
      <c r="A2308" s="19"/>
      <c r="B2308" s="419">
        <v>46122</v>
      </c>
      <c r="C2308" s="21" t="s">
        <v>15</v>
      </c>
      <c r="D2308" s="91" t="s">
        <v>82</v>
      </c>
      <c r="E2308" s="21"/>
      <c r="F2308" s="22" t="s">
        <v>905</v>
      </c>
      <c r="G2308" s="252">
        <v>520</v>
      </c>
      <c r="I2308" s="1">
        <f>COUNTIF(Tabela1[NF],Tabela1[[#This Row],[NF]])</f>
        <v>0</v>
      </c>
      <c r="K2308" s="26">
        <v>46122</v>
      </c>
      <c r="L2308" s="22"/>
      <c r="M2308" s="22"/>
      <c r="N2308" s="1" t="str" cm="1">
        <f t="array" ref="N2308">_xlfn.XLOOKUP(TRIM(D2308),TRIM(DFC!A:A),DFC!A:A,"NÃO ESTÁ NA DFC")</f>
        <v xml:space="preserve">          DIÁRIAS</v>
      </c>
    </row>
    <row r="2309" spans="1:137" ht="15" customHeight="1" x14ac:dyDescent="0.3">
      <c r="A2309" s="19"/>
      <c r="B2309" s="419">
        <v>46122</v>
      </c>
      <c r="C2309" s="21" t="s">
        <v>15</v>
      </c>
      <c r="D2309" s="91" t="s">
        <v>82</v>
      </c>
      <c r="E2309" s="21"/>
      <c r="F2309" s="22" t="s">
        <v>862</v>
      </c>
      <c r="G2309" s="252">
        <v>200</v>
      </c>
      <c r="I2309" s="1">
        <f>COUNTIF(Tabela1[NF],Tabela1[[#This Row],[NF]])</f>
        <v>0</v>
      </c>
      <c r="K2309" s="26">
        <v>46122</v>
      </c>
      <c r="L2309" s="22"/>
      <c r="M2309" s="22"/>
      <c r="N2309" s="1" t="str" cm="1">
        <f t="array" ref="N2309">_xlfn.XLOOKUP(TRIM(D2309),TRIM(DFC!A:A),DFC!A:A,"NÃO ESTÁ NA DFC")</f>
        <v xml:space="preserve">          DIÁRIAS</v>
      </c>
    </row>
    <row r="2310" spans="1:137" ht="15" customHeight="1" x14ac:dyDescent="0.3">
      <c r="A2310" s="19"/>
      <c r="B2310" s="419">
        <v>46122</v>
      </c>
      <c r="C2310" s="21" t="s">
        <v>15</v>
      </c>
      <c r="D2310" s="21" t="s">
        <v>40</v>
      </c>
      <c r="E2310" s="21" t="s">
        <v>906</v>
      </c>
      <c r="F2310" s="22" t="s">
        <v>907</v>
      </c>
      <c r="G2310" s="252">
        <v>440</v>
      </c>
      <c r="I2310" s="1">
        <f>COUNTIF(Tabela1[NF],Tabela1[[#This Row],[NF]])</f>
        <v>0</v>
      </c>
      <c r="K2310" s="26">
        <v>46122</v>
      </c>
      <c r="L2310" s="22"/>
      <c r="M2310" s="22"/>
      <c r="N2310" s="1" t="str" cm="1">
        <f t="array" ref="N2310">_xlfn.XLOOKUP(TRIM(D2310),TRIM(DFC!A:A),DFC!A:A,"NÃO ESTÁ NA DFC")</f>
        <v xml:space="preserve">         SERVIÇO TERCEIRIZADO</v>
      </c>
    </row>
    <row r="2311" spans="1:137" ht="15" customHeight="1" x14ac:dyDescent="0.3">
      <c r="A2311" s="19"/>
      <c r="B2311" s="419">
        <v>46122</v>
      </c>
      <c r="C2311" s="21" t="s">
        <v>15</v>
      </c>
      <c r="D2311" s="21" t="s">
        <v>115</v>
      </c>
      <c r="E2311" s="21" t="s">
        <v>908</v>
      </c>
      <c r="F2311" s="22" t="s">
        <v>326</v>
      </c>
      <c r="G2311" s="252">
        <v>3260.93</v>
      </c>
      <c r="I2311" s="1">
        <f>COUNTIF(Tabela1[NF],Tabela1[[#This Row],[NF]])</f>
        <v>0</v>
      </c>
      <c r="K2311" s="26">
        <v>46122</v>
      </c>
      <c r="L2311" s="22"/>
      <c r="M2311" s="22"/>
      <c r="N2311" s="1" t="str" cm="1">
        <f t="array" ref="N2311">_xlfn.XLOOKUP(TRIM(D2311),TRIM(DFC!A:A),DFC!A:A,"NÃO ESTÁ NA DFC")</f>
        <v xml:space="preserve">          RESCISÕES</v>
      </c>
    </row>
    <row r="2312" spans="1:137" ht="15" customHeight="1" x14ac:dyDescent="0.3">
      <c r="A2312" s="19"/>
      <c r="B2312" s="419"/>
      <c r="C2312" s="21"/>
      <c r="D2312" s="21"/>
      <c r="E2312" s="20"/>
      <c r="F2312" s="22"/>
      <c r="G2312" s="252"/>
      <c r="I2312" s="1">
        <f>COUNTIF(Tabela1[NF],Tabela1[[#This Row],[NF]])</f>
        <v>0</v>
      </c>
      <c r="K2312" s="26"/>
      <c r="L2312" s="22"/>
      <c r="M2312" s="22"/>
      <c r="N2312" s="14"/>
    </row>
    <row r="2313" spans="1:137" ht="15" customHeight="1" x14ac:dyDescent="0.3">
      <c r="A2313" s="19"/>
      <c r="B2313" s="21">
        <v>46125</v>
      </c>
      <c r="C2313" s="21" t="s">
        <v>15</v>
      </c>
      <c r="D2313" s="91" t="s">
        <v>104</v>
      </c>
      <c r="E2313" s="21" t="s">
        <v>202</v>
      </c>
      <c r="F2313" s="22" t="s">
        <v>201</v>
      </c>
      <c r="G2313" s="252">
        <v>36108.1</v>
      </c>
      <c r="I2313" s="1">
        <f>COUNTIF(Tabela1[NF],Tabela1[[#This Row],[NF]])</f>
        <v>0</v>
      </c>
      <c r="K2313" s="26">
        <v>46125</v>
      </c>
      <c r="L2313" s="22"/>
      <c r="M2313" s="22"/>
      <c r="N2313" s="1" t="str" cm="1">
        <f t="array" ref="N2313">_xlfn.XLOOKUP(TRIM(D2313),TRIM(DFC!A:A),DFC!A:A,"NÃO ESTÁ NA DFC")</f>
        <v xml:space="preserve">          OUTRAS DESPESAS ADMINISTRATIVAS</v>
      </c>
    </row>
    <row r="2314" spans="1:137" ht="15" customHeight="1" x14ac:dyDescent="0.3">
      <c r="A2314" s="19"/>
      <c r="B2314" s="21">
        <v>46125</v>
      </c>
      <c r="C2314" s="21" t="s">
        <v>15</v>
      </c>
      <c r="D2314" s="84" t="s">
        <v>19</v>
      </c>
      <c r="E2314" s="84" t="s">
        <v>864</v>
      </c>
      <c r="F2314" s="22" t="s">
        <v>103</v>
      </c>
      <c r="G2314" s="252">
        <v>2600</v>
      </c>
      <c r="I2314" s="1">
        <f>COUNTIF(Tabela1[NF],Tabela1[[#This Row],[NF]])</f>
        <v>0</v>
      </c>
      <c r="K2314" s="26">
        <v>46125</v>
      </c>
      <c r="L2314" s="22"/>
      <c r="M2314" s="22"/>
      <c r="N2314" s="1" t="str" cm="1">
        <f t="array" ref="N2314">_xlfn.XLOOKUP(TRIM(D2314),TRIM(DFC!A:A),DFC!A:A,"NÃO ESTÁ NA DFC")</f>
        <v xml:space="preserve">      PEÇAS</v>
      </c>
    </row>
    <row r="2315" spans="1:137" ht="15" customHeight="1" x14ac:dyDescent="0.3">
      <c r="A2315" s="19"/>
      <c r="B2315" s="21">
        <v>46125</v>
      </c>
      <c r="C2315" s="21" t="s">
        <v>15</v>
      </c>
      <c r="D2315" s="21" t="s">
        <v>19</v>
      </c>
      <c r="E2315" s="84" t="s">
        <v>864</v>
      </c>
      <c r="F2315" s="22" t="s">
        <v>103</v>
      </c>
      <c r="G2315" s="252">
        <v>6666.66</v>
      </c>
      <c r="I2315" s="1">
        <f>COUNTIF(Tabela1[NF],Tabela1[[#This Row],[NF]])</f>
        <v>0</v>
      </c>
      <c r="K2315" s="26">
        <v>46125</v>
      </c>
      <c r="L2315" s="22"/>
      <c r="M2315" s="22"/>
      <c r="N2315" s="1" t="str" cm="1">
        <f t="array" ref="N2315">_xlfn.XLOOKUP(TRIM(D2315),TRIM(DFC!A:A),DFC!A:A,"NÃO ESTÁ NA DFC")</f>
        <v xml:space="preserve">      PEÇAS</v>
      </c>
    </row>
    <row r="2316" spans="1:137" ht="15" customHeight="1" x14ac:dyDescent="0.3">
      <c r="A2316" s="19"/>
      <c r="B2316" s="21">
        <v>46126</v>
      </c>
      <c r="C2316" s="21" t="s">
        <v>15</v>
      </c>
      <c r="D2316" s="91" t="s">
        <v>111</v>
      </c>
      <c r="E2316" s="21"/>
      <c r="F2316" s="22" t="s">
        <v>114</v>
      </c>
      <c r="G2316" s="252">
        <v>6.67</v>
      </c>
      <c r="I2316" s="1">
        <f>COUNTIF(Tabela1[NF],Tabela1[[#This Row],[NF]])</f>
        <v>0</v>
      </c>
      <c r="K2316" s="26">
        <v>46126</v>
      </c>
      <c r="L2316" s="22"/>
      <c r="M2316" s="22"/>
      <c r="N2316" s="1" t="str" cm="1">
        <f t="array" ref="N2316">_xlfn.XLOOKUP(TRIM(D2316),TRIM(DFC!A:A),DFC!A:A,"NÃO ESTÁ NA DFC")</f>
        <v xml:space="preserve">          TX. BANCÁRIA</v>
      </c>
    </row>
    <row r="2317" spans="1:137" ht="15" customHeight="1" x14ac:dyDescent="0.3">
      <c r="A2317" s="19">
        <v>172403</v>
      </c>
      <c r="B2317" s="21">
        <v>46126</v>
      </c>
      <c r="C2317" s="21" t="s">
        <v>15</v>
      </c>
      <c r="D2317" s="91" t="s">
        <v>19</v>
      </c>
      <c r="E2317" s="21"/>
      <c r="F2317" s="22" t="s">
        <v>909</v>
      </c>
      <c r="G2317" s="252">
        <v>6350.16</v>
      </c>
      <c r="I2317" s="1">
        <f>COUNTIF(Tabela1[NF],Tabela1[[#This Row],[NF]])</f>
        <v>1</v>
      </c>
      <c r="K2317" s="26">
        <v>46126</v>
      </c>
      <c r="L2317" s="22"/>
      <c r="M2317" s="22"/>
      <c r="N2317" s="1" t="str" cm="1">
        <f t="array" ref="N2317">_xlfn.XLOOKUP(TRIM(D2317),TRIM(DFC!A:A),DFC!A:A,"NÃO ESTÁ NA DFC")</f>
        <v xml:space="preserve">      PEÇAS</v>
      </c>
    </row>
    <row r="2318" spans="1:137" ht="15" customHeight="1" x14ac:dyDescent="0.3">
      <c r="A2318" s="19">
        <v>173676</v>
      </c>
      <c r="B2318" s="21">
        <v>46126</v>
      </c>
      <c r="C2318" s="21" t="s">
        <v>15</v>
      </c>
      <c r="D2318" s="91" t="s">
        <v>19</v>
      </c>
      <c r="E2318" s="21"/>
      <c r="F2318" s="22" t="s">
        <v>301</v>
      </c>
      <c r="G2318" s="252">
        <v>14541.68</v>
      </c>
      <c r="I2318" s="1">
        <f>COUNTIF(Tabela1[NF],Tabela1[[#This Row],[NF]])</f>
        <v>1</v>
      </c>
      <c r="K2318" s="26">
        <v>46126</v>
      </c>
      <c r="L2318" s="22"/>
      <c r="M2318" s="22"/>
      <c r="N2318" s="1" t="str" cm="1">
        <f t="array" ref="N2318">_xlfn.XLOOKUP(TRIM(D2318),TRIM(DFC!A:A),DFC!A:A,"NÃO ESTÁ NA DFC")</f>
        <v xml:space="preserve">      PEÇAS</v>
      </c>
    </row>
    <row r="2319" spans="1:137" ht="15" customHeight="1" x14ac:dyDescent="0.3">
      <c r="A2319" s="19">
        <v>165650</v>
      </c>
      <c r="B2319" s="21">
        <v>46126</v>
      </c>
      <c r="C2319" s="21" t="s">
        <v>15</v>
      </c>
      <c r="D2319" s="91" t="s">
        <v>19</v>
      </c>
      <c r="E2319" s="21"/>
      <c r="F2319" s="22" t="s">
        <v>654</v>
      </c>
      <c r="G2319" s="252">
        <v>1555.62</v>
      </c>
      <c r="I2319" s="1">
        <f>COUNTIF(Tabela1[NF],Tabela1[[#This Row],[NF]])</f>
        <v>1</v>
      </c>
      <c r="K2319" s="26">
        <v>46126</v>
      </c>
      <c r="L2319" s="22"/>
      <c r="M2319" s="22"/>
      <c r="N2319" s="1" t="str" cm="1">
        <f t="array" ref="N2319">_xlfn.XLOOKUP(TRIM(D2319),TRIM(DFC!A:A),DFC!A:A,"NÃO ESTÁ NA DFC")</f>
        <v xml:space="preserve">      PEÇAS</v>
      </c>
    </row>
    <row r="2320" spans="1:137" s="22" customFormat="1" ht="15" customHeight="1" x14ac:dyDescent="0.3">
      <c r="A2320" s="19">
        <v>52295</v>
      </c>
      <c r="B2320" s="21">
        <v>46126</v>
      </c>
      <c r="C2320" s="21" t="s">
        <v>15</v>
      </c>
      <c r="D2320" s="91" t="s">
        <v>19</v>
      </c>
      <c r="E2320" s="21"/>
      <c r="F2320" s="22" t="s">
        <v>382</v>
      </c>
      <c r="G2320" s="252">
        <v>724.74</v>
      </c>
      <c r="H2320" s="19"/>
      <c r="I2320" s="19">
        <f>COUNTIF(Tabela1[NF],Tabela1[[#This Row],[NF]])</f>
        <v>1</v>
      </c>
      <c r="K2320" s="26">
        <v>46126</v>
      </c>
      <c r="N2320" s="1" t="str" cm="1">
        <f t="array" ref="N2320">_xlfn.XLOOKUP(TRIM(D2320),TRIM(DFC!A:A),DFC!A:A,"NÃO ESTÁ NA DFC")</f>
        <v xml:space="preserve">      PEÇAS</v>
      </c>
      <c r="O2320"/>
      <c r="P2320" s="303"/>
      <c r="Q2320" s="262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/>
      <c r="BV2320"/>
      <c r="BW2320"/>
      <c r="BX2320"/>
      <c r="BY2320"/>
      <c r="BZ2320"/>
      <c r="CA2320"/>
      <c r="CB2320"/>
      <c r="CC2320"/>
      <c r="CD2320"/>
      <c r="CE2320"/>
      <c r="CF2320"/>
      <c r="CG2320"/>
      <c r="CH2320"/>
      <c r="CI2320"/>
      <c r="CJ2320"/>
      <c r="CK2320"/>
      <c r="CL2320"/>
      <c r="CM2320"/>
      <c r="CN2320"/>
      <c r="CO2320"/>
      <c r="CP2320"/>
      <c r="CQ2320"/>
      <c r="CR2320"/>
      <c r="CS2320"/>
      <c r="CT2320"/>
      <c r="CU2320"/>
      <c r="CV2320"/>
      <c r="CW2320"/>
      <c r="CX2320"/>
      <c r="CY2320"/>
      <c r="CZ2320"/>
      <c r="DA2320"/>
      <c r="DB2320"/>
      <c r="DC2320"/>
      <c r="DD2320"/>
      <c r="DE2320"/>
      <c r="DF2320"/>
      <c r="DG2320"/>
      <c r="DH2320"/>
      <c r="DI2320"/>
      <c r="DJ2320"/>
      <c r="DK2320"/>
      <c r="DL2320"/>
      <c r="DM2320"/>
      <c r="DN2320"/>
      <c r="DO2320"/>
      <c r="DP2320"/>
      <c r="DQ2320"/>
      <c r="DR2320"/>
      <c r="DS2320"/>
      <c r="DT2320"/>
      <c r="DU2320"/>
      <c r="DV2320"/>
      <c r="DW2320"/>
      <c r="DX2320"/>
      <c r="DY2320"/>
      <c r="DZ2320"/>
      <c r="EA2320"/>
      <c r="EB2320"/>
      <c r="EC2320"/>
      <c r="ED2320"/>
      <c r="EE2320"/>
      <c r="EF2320"/>
      <c r="EG2320"/>
    </row>
    <row r="2321" spans="1:137" s="22" customFormat="1" ht="15" customHeight="1" x14ac:dyDescent="0.3">
      <c r="A2321" s="19">
        <v>84869</v>
      </c>
      <c r="B2321" s="21">
        <v>46126</v>
      </c>
      <c r="C2321" s="21" t="s">
        <v>15</v>
      </c>
      <c r="D2321" s="91" t="s">
        <v>22</v>
      </c>
      <c r="E2321" s="21"/>
      <c r="F2321" s="22" t="s">
        <v>695</v>
      </c>
      <c r="G2321" s="252">
        <v>2380.69</v>
      </c>
      <c r="H2321" s="19"/>
      <c r="I2321" s="19">
        <f>COUNTIF(Tabela1[NF],Tabela1[[#This Row],[NF]])</f>
        <v>1</v>
      </c>
      <c r="K2321" s="26">
        <v>46126</v>
      </c>
      <c r="N2321" s="1" t="str" cm="1">
        <f t="array" ref="N2321">_xlfn.XLOOKUP(TRIM(D2321),TRIM(DFC!A:A),DFC!A:A,"NÃO ESTÁ NA DFC")</f>
        <v xml:space="preserve">         CONSULTORIAS</v>
      </c>
      <c r="O2321"/>
      <c r="P2321" s="303"/>
      <c r="Q2321" s="262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/>
      <c r="BV2321"/>
      <c r="BW2321"/>
      <c r="BX2321"/>
      <c r="BY2321"/>
      <c r="BZ2321"/>
      <c r="CA2321"/>
      <c r="CB2321"/>
      <c r="CC2321"/>
      <c r="CD2321"/>
      <c r="CE2321"/>
      <c r="CF2321"/>
      <c r="CG2321"/>
      <c r="CH2321"/>
      <c r="CI2321"/>
      <c r="CJ2321"/>
      <c r="CK2321"/>
      <c r="CL2321"/>
      <c r="CM2321"/>
      <c r="CN2321"/>
      <c r="CO2321"/>
      <c r="CP2321"/>
      <c r="CQ2321"/>
      <c r="CR2321"/>
      <c r="CS2321"/>
      <c r="CT2321"/>
      <c r="CU2321"/>
      <c r="CV2321"/>
      <c r="CW2321"/>
      <c r="CX2321"/>
      <c r="CY2321"/>
      <c r="CZ2321"/>
      <c r="DA2321"/>
      <c r="DB2321"/>
      <c r="DC2321"/>
      <c r="DD2321"/>
      <c r="DE2321"/>
      <c r="DF2321"/>
      <c r="DG2321"/>
      <c r="DH2321"/>
      <c r="DI2321"/>
      <c r="DJ2321"/>
      <c r="DK2321"/>
      <c r="DL2321"/>
      <c r="DM2321"/>
      <c r="DN2321"/>
      <c r="DO2321"/>
      <c r="DP2321"/>
      <c r="DQ2321"/>
      <c r="DR2321"/>
      <c r="DS2321"/>
      <c r="DT2321"/>
      <c r="DU2321"/>
      <c r="DV2321"/>
      <c r="DW2321"/>
      <c r="DX2321"/>
      <c r="DY2321"/>
      <c r="DZ2321"/>
      <c r="EA2321"/>
      <c r="EB2321"/>
      <c r="EC2321"/>
      <c r="ED2321"/>
      <c r="EE2321"/>
      <c r="EF2321"/>
      <c r="EG2321"/>
    </row>
    <row r="2322" spans="1:137" s="22" customFormat="1" ht="15" customHeight="1" x14ac:dyDescent="0.3">
      <c r="A2322" s="19">
        <v>11370</v>
      </c>
      <c r="B2322" s="21">
        <v>46126</v>
      </c>
      <c r="C2322" s="21" t="s">
        <v>15</v>
      </c>
      <c r="D2322" s="91" t="s">
        <v>22</v>
      </c>
      <c r="E2322" s="21"/>
      <c r="F2322" s="22" t="s">
        <v>496</v>
      </c>
      <c r="G2322" s="252">
        <v>1089.33</v>
      </c>
      <c r="H2322" s="19"/>
      <c r="I2322" s="19">
        <f>COUNTIF(Tabela1[NF],Tabela1[[#This Row],[NF]])</f>
        <v>1</v>
      </c>
      <c r="K2322" s="26">
        <v>46126</v>
      </c>
      <c r="N2322" s="1" t="str" cm="1">
        <f t="array" ref="N2322">_xlfn.XLOOKUP(TRIM(D2322),TRIM(DFC!A:A),DFC!A:A,"NÃO ESTÁ NA DFC")</f>
        <v xml:space="preserve">         CONSULTORIAS</v>
      </c>
      <c r="O2322"/>
      <c r="P2322" s="303"/>
      <c r="Q2322" s="26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  <c r="BV2322"/>
      <c r="BW2322"/>
      <c r="BX2322"/>
      <c r="BY2322"/>
      <c r="BZ2322"/>
      <c r="CA2322"/>
      <c r="CB2322"/>
      <c r="CC2322"/>
      <c r="CD2322"/>
      <c r="CE2322"/>
      <c r="CF2322"/>
      <c r="CG2322"/>
      <c r="CH2322"/>
      <c r="CI2322"/>
      <c r="CJ2322"/>
      <c r="CK2322"/>
      <c r="CL2322"/>
      <c r="CM2322"/>
      <c r="CN2322"/>
      <c r="CO2322"/>
      <c r="CP2322"/>
      <c r="CQ2322"/>
      <c r="CR2322"/>
      <c r="CS2322"/>
      <c r="CT2322"/>
      <c r="CU2322"/>
      <c r="CV2322"/>
      <c r="CW2322"/>
      <c r="CX2322"/>
      <c r="CY2322"/>
      <c r="CZ2322"/>
      <c r="DA2322"/>
      <c r="DB2322"/>
      <c r="DC2322"/>
      <c r="DD2322"/>
      <c r="DE2322"/>
      <c r="DF2322"/>
      <c r="DG2322"/>
      <c r="DH2322"/>
      <c r="DI2322"/>
      <c r="DJ2322"/>
      <c r="DK2322"/>
      <c r="DL2322"/>
      <c r="DM2322"/>
      <c r="DN2322"/>
      <c r="DO2322"/>
      <c r="DP2322"/>
      <c r="DQ2322"/>
      <c r="DR2322"/>
      <c r="DS2322"/>
      <c r="DT2322"/>
      <c r="DU2322"/>
      <c r="DV2322"/>
      <c r="DW2322"/>
      <c r="DX2322"/>
      <c r="DY2322"/>
      <c r="DZ2322"/>
      <c r="EA2322"/>
      <c r="EB2322"/>
      <c r="EC2322"/>
      <c r="ED2322"/>
      <c r="EE2322"/>
      <c r="EF2322"/>
      <c r="EG2322"/>
    </row>
    <row r="2323" spans="1:137" s="22" customFormat="1" ht="15" customHeight="1" x14ac:dyDescent="0.3">
      <c r="A2323" s="19">
        <v>43369</v>
      </c>
      <c r="B2323" s="21">
        <v>46126</v>
      </c>
      <c r="C2323" s="21" t="s">
        <v>15</v>
      </c>
      <c r="D2323" s="91" t="s">
        <v>27</v>
      </c>
      <c r="E2323" s="21" t="s">
        <v>910</v>
      </c>
      <c r="F2323" s="22" t="s">
        <v>227</v>
      </c>
      <c r="G2323" s="252">
        <v>3525.83</v>
      </c>
      <c r="H2323" s="19"/>
      <c r="I2323" s="19">
        <f>COUNTIF(Tabela1[NF],Tabela1[[#This Row],[NF]])</f>
        <v>1</v>
      </c>
      <c r="K2323" s="26">
        <v>46126</v>
      </c>
      <c r="N2323" s="1" t="str" cm="1">
        <f t="array" ref="N2323">_xlfn.XLOOKUP(TRIM(D2323),TRIM(DFC!A:A),DFC!A:A,"NÃO ESTÁ NA DFC")</f>
        <v xml:space="preserve">         ERP</v>
      </c>
      <c r="O2323"/>
      <c r="P2323" s="303"/>
      <c r="Q2323" s="262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/>
      <c r="BV2323"/>
      <c r="BW2323"/>
      <c r="BX2323"/>
      <c r="BY2323"/>
      <c r="BZ2323"/>
      <c r="CA2323"/>
      <c r="CB2323"/>
      <c r="CC2323"/>
      <c r="CD2323"/>
      <c r="CE2323"/>
      <c r="CF2323"/>
      <c r="CG2323"/>
      <c r="CH2323"/>
      <c r="CI2323"/>
      <c r="CJ2323"/>
      <c r="CK2323"/>
      <c r="CL2323"/>
      <c r="CM2323"/>
      <c r="CN2323"/>
      <c r="CO2323"/>
      <c r="CP2323"/>
      <c r="CQ2323"/>
      <c r="CR2323"/>
      <c r="CS2323"/>
      <c r="CT2323"/>
      <c r="CU2323"/>
      <c r="CV2323"/>
      <c r="CW2323"/>
      <c r="CX2323"/>
      <c r="CY2323"/>
      <c r="CZ2323"/>
      <c r="DA2323"/>
      <c r="DB2323"/>
      <c r="DC2323"/>
      <c r="DD2323"/>
      <c r="DE2323"/>
      <c r="DF2323"/>
      <c r="DG2323"/>
      <c r="DH2323"/>
      <c r="DI2323"/>
      <c r="DJ2323"/>
      <c r="DK2323"/>
      <c r="DL2323"/>
      <c r="DM2323"/>
      <c r="DN2323"/>
      <c r="DO2323"/>
      <c r="DP2323"/>
      <c r="DQ2323"/>
      <c r="DR2323"/>
      <c r="DS2323"/>
      <c r="DT2323"/>
      <c r="DU2323"/>
      <c r="DV2323"/>
      <c r="DW2323"/>
      <c r="DX2323"/>
      <c r="DY2323"/>
      <c r="DZ2323"/>
      <c r="EA2323"/>
      <c r="EB2323"/>
      <c r="EC2323"/>
      <c r="ED2323"/>
      <c r="EE2323"/>
      <c r="EF2323"/>
      <c r="EG2323"/>
    </row>
    <row r="2324" spans="1:137" s="22" customFormat="1" ht="15" customHeight="1" x14ac:dyDescent="0.3">
      <c r="A2324" s="19">
        <v>2758</v>
      </c>
      <c r="B2324" s="21">
        <v>46126</v>
      </c>
      <c r="C2324" s="21" t="s">
        <v>15</v>
      </c>
      <c r="D2324" s="91" t="s">
        <v>19</v>
      </c>
      <c r="E2324" s="21"/>
      <c r="F2324" s="22" t="s">
        <v>911</v>
      </c>
      <c r="G2324" s="252">
        <v>1801.21</v>
      </c>
      <c r="H2324" s="19"/>
      <c r="I2324" s="19">
        <f>COUNTIF(Tabela1[NF],Tabela1[[#This Row],[NF]])</f>
        <v>1</v>
      </c>
      <c r="K2324" s="26">
        <v>46126</v>
      </c>
      <c r="N2324" s="1" t="str" cm="1">
        <f t="array" ref="N2324">_xlfn.XLOOKUP(TRIM(D2324),TRIM(DFC!A:A),DFC!A:A,"NÃO ESTÁ NA DFC")</f>
        <v xml:space="preserve">      PEÇAS</v>
      </c>
      <c r="O2324"/>
      <c r="P2324" s="303"/>
      <c r="Q2324" s="262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/>
      <c r="BV2324"/>
      <c r="BW2324"/>
      <c r="BX2324"/>
      <c r="BY2324"/>
      <c r="BZ2324"/>
      <c r="CA2324"/>
      <c r="CB2324"/>
      <c r="CC2324"/>
      <c r="CD2324"/>
      <c r="CE2324"/>
      <c r="CF2324"/>
      <c r="CG2324"/>
      <c r="CH2324"/>
      <c r="CI2324"/>
      <c r="CJ2324"/>
      <c r="CK2324"/>
      <c r="CL2324"/>
      <c r="CM2324"/>
      <c r="CN2324"/>
      <c r="CO2324"/>
      <c r="CP2324"/>
      <c r="CQ2324"/>
      <c r="CR2324"/>
      <c r="CS2324"/>
      <c r="CT2324"/>
      <c r="CU2324"/>
      <c r="CV2324"/>
      <c r="CW2324"/>
      <c r="CX2324"/>
      <c r="CY2324"/>
      <c r="CZ2324"/>
      <c r="DA2324"/>
      <c r="DB2324"/>
      <c r="DC2324"/>
      <c r="DD2324"/>
      <c r="DE2324"/>
      <c r="DF2324"/>
      <c r="DG2324"/>
      <c r="DH2324"/>
      <c r="DI2324"/>
      <c r="DJ2324"/>
      <c r="DK2324"/>
      <c r="DL2324"/>
      <c r="DM2324"/>
      <c r="DN2324"/>
      <c r="DO2324"/>
      <c r="DP2324"/>
      <c r="DQ2324"/>
      <c r="DR2324"/>
      <c r="DS2324"/>
      <c r="DT2324"/>
      <c r="DU2324"/>
      <c r="DV2324"/>
      <c r="DW2324"/>
      <c r="DX2324"/>
      <c r="DY2324"/>
      <c r="DZ2324"/>
      <c r="EA2324"/>
      <c r="EB2324"/>
      <c r="EC2324"/>
      <c r="ED2324"/>
      <c r="EE2324"/>
      <c r="EF2324"/>
      <c r="EG2324"/>
    </row>
    <row r="2325" spans="1:137" s="22" customFormat="1" ht="15" customHeight="1" x14ac:dyDescent="0.3">
      <c r="A2325" s="19">
        <v>467975</v>
      </c>
      <c r="B2325" s="21">
        <v>46126</v>
      </c>
      <c r="C2325" s="21" t="s">
        <v>15</v>
      </c>
      <c r="D2325" s="91" t="s">
        <v>19</v>
      </c>
      <c r="E2325" s="21"/>
      <c r="F2325" s="22" t="s">
        <v>24</v>
      </c>
      <c r="G2325" s="252">
        <v>3647.54</v>
      </c>
      <c r="H2325" s="19"/>
      <c r="I2325" s="19">
        <f>COUNTIF(Tabela1[NF],Tabela1[[#This Row],[NF]])</f>
        <v>1</v>
      </c>
      <c r="K2325" s="26">
        <v>46126</v>
      </c>
      <c r="N2325" s="1" t="str" cm="1">
        <f t="array" ref="N2325">_xlfn.XLOOKUP(TRIM(D2325),TRIM(DFC!A:A),DFC!A:A,"NÃO ESTÁ NA DFC")</f>
        <v xml:space="preserve">      PEÇAS</v>
      </c>
      <c r="O2325"/>
      <c r="P2325" s="303"/>
      <c r="Q2325" s="262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/>
      <c r="BV2325"/>
      <c r="BW2325"/>
      <c r="BX2325"/>
      <c r="BY2325"/>
      <c r="BZ2325"/>
      <c r="CA2325"/>
      <c r="CB2325"/>
      <c r="CC2325"/>
      <c r="CD2325"/>
      <c r="CE2325"/>
      <c r="CF2325"/>
      <c r="CG2325"/>
      <c r="CH2325"/>
      <c r="CI2325"/>
      <c r="CJ2325"/>
      <c r="CK2325"/>
      <c r="CL2325"/>
      <c r="CM2325"/>
      <c r="CN2325"/>
      <c r="CO2325"/>
      <c r="CP2325"/>
      <c r="CQ2325"/>
      <c r="CR2325"/>
      <c r="CS2325"/>
      <c r="CT2325"/>
      <c r="CU2325"/>
      <c r="CV2325"/>
      <c r="CW2325"/>
      <c r="CX2325"/>
      <c r="CY2325"/>
      <c r="CZ2325"/>
      <c r="DA2325"/>
      <c r="DB2325"/>
      <c r="DC2325"/>
      <c r="DD2325"/>
      <c r="DE2325"/>
      <c r="DF2325"/>
      <c r="DG2325"/>
      <c r="DH2325"/>
      <c r="DI2325"/>
      <c r="DJ2325"/>
      <c r="DK2325"/>
      <c r="DL2325"/>
      <c r="DM2325"/>
      <c r="DN2325"/>
      <c r="DO2325"/>
      <c r="DP2325"/>
      <c r="DQ2325"/>
      <c r="DR2325"/>
      <c r="DS2325"/>
      <c r="DT2325"/>
      <c r="DU2325"/>
      <c r="DV2325"/>
      <c r="DW2325"/>
      <c r="DX2325"/>
      <c r="DY2325"/>
      <c r="DZ2325"/>
      <c r="EA2325"/>
      <c r="EB2325"/>
      <c r="EC2325"/>
      <c r="ED2325"/>
      <c r="EE2325"/>
      <c r="EF2325"/>
      <c r="EG2325"/>
    </row>
    <row r="2326" spans="1:137" s="22" customFormat="1" ht="15" customHeight="1" x14ac:dyDescent="0.3">
      <c r="A2326" s="19">
        <v>468105</v>
      </c>
      <c r="B2326" s="21">
        <v>46126</v>
      </c>
      <c r="C2326" s="21" t="s">
        <v>15</v>
      </c>
      <c r="D2326" s="91" t="s">
        <v>19</v>
      </c>
      <c r="E2326" s="21"/>
      <c r="F2326" s="22" t="s">
        <v>24</v>
      </c>
      <c r="G2326" s="252">
        <v>5131.4399999999996</v>
      </c>
      <c r="H2326" s="19"/>
      <c r="I2326" s="19">
        <f>COUNTIF(Tabela1[NF],Tabela1[[#This Row],[NF]])</f>
        <v>1</v>
      </c>
      <c r="K2326" s="26">
        <v>46126</v>
      </c>
      <c r="N2326" s="1" t="str" cm="1">
        <f t="array" ref="N2326">_xlfn.XLOOKUP(TRIM(D2326),TRIM(DFC!A:A),DFC!A:A,"NÃO ESTÁ NA DFC")</f>
        <v xml:space="preserve">      PEÇAS</v>
      </c>
      <c r="O2326"/>
      <c r="P2326" s="303"/>
      <c r="Q2326" s="262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/>
      <c r="BV2326"/>
      <c r="BW2326"/>
      <c r="BX2326"/>
      <c r="BY2326"/>
      <c r="BZ2326"/>
      <c r="CA2326"/>
      <c r="CB2326"/>
      <c r="CC2326"/>
      <c r="CD2326"/>
      <c r="CE2326"/>
      <c r="CF2326"/>
      <c r="CG2326"/>
      <c r="CH2326"/>
      <c r="CI2326"/>
      <c r="CJ2326"/>
      <c r="CK2326"/>
      <c r="CL2326"/>
      <c r="CM2326"/>
      <c r="CN2326"/>
      <c r="CO2326"/>
      <c r="CP2326"/>
      <c r="CQ2326"/>
      <c r="CR2326"/>
      <c r="CS2326"/>
      <c r="CT2326"/>
      <c r="CU2326"/>
      <c r="CV2326"/>
      <c r="CW2326"/>
      <c r="CX2326"/>
      <c r="CY2326"/>
      <c r="CZ2326"/>
      <c r="DA2326"/>
      <c r="DB2326"/>
      <c r="DC2326"/>
      <c r="DD2326"/>
      <c r="DE2326"/>
      <c r="DF2326"/>
      <c r="DG2326"/>
      <c r="DH2326"/>
      <c r="DI2326"/>
      <c r="DJ2326"/>
      <c r="DK2326"/>
      <c r="DL2326"/>
      <c r="DM2326"/>
      <c r="DN2326"/>
      <c r="DO2326"/>
      <c r="DP2326"/>
      <c r="DQ2326"/>
      <c r="DR2326"/>
      <c r="DS2326"/>
      <c r="DT2326"/>
      <c r="DU2326"/>
      <c r="DV2326"/>
      <c r="DW2326"/>
      <c r="DX2326"/>
      <c r="DY2326"/>
      <c r="DZ2326"/>
      <c r="EA2326"/>
      <c r="EB2326"/>
      <c r="EC2326"/>
      <c r="ED2326"/>
      <c r="EE2326"/>
      <c r="EF2326"/>
      <c r="EG2326"/>
    </row>
    <row r="2327" spans="1:137" s="22" customFormat="1" ht="15" customHeight="1" x14ac:dyDescent="0.3">
      <c r="A2327" s="19">
        <v>30530</v>
      </c>
      <c r="B2327" s="21">
        <v>46126</v>
      </c>
      <c r="C2327" s="21" t="s">
        <v>15</v>
      </c>
      <c r="D2327" s="91" t="s">
        <v>154</v>
      </c>
      <c r="E2327" s="21"/>
      <c r="F2327" s="22" t="s">
        <v>302</v>
      </c>
      <c r="G2327" s="252">
        <v>3030.85</v>
      </c>
      <c r="H2327" s="19"/>
      <c r="I2327" s="19">
        <f>COUNTIF(Tabela1[NF],Tabela1[[#This Row],[NF]])</f>
        <v>1</v>
      </c>
      <c r="K2327" s="26">
        <v>46126</v>
      </c>
      <c r="N2327" s="1" t="str" cm="1">
        <f t="array" ref="N2327">_xlfn.XLOOKUP(TRIM(D2327),TRIM(DFC!A:A),DFC!A:A,"NÃO ESTÁ NA DFC")</f>
        <v xml:space="preserve">      EMBALAGENS</v>
      </c>
      <c r="O2327"/>
      <c r="P2327" s="303"/>
      <c r="Q2327" s="262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/>
      <c r="BV2327"/>
      <c r="BW2327"/>
      <c r="BX2327"/>
      <c r="BY2327"/>
      <c r="BZ2327"/>
      <c r="CA2327"/>
      <c r="CB2327"/>
      <c r="CC2327"/>
      <c r="CD2327"/>
      <c r="CE2327"/>
      <c r="CF2327"/>
      <c r="CG2327"/>
      <c r="CH2327"/>
      <c r="CI2327"/>
      <c r="CJ2327"/>
      <c r="CK2327"/>
      <c r="CL2327"/>
      <c r="CM2327"/>
      <c r="CN2327"/>
      <c r="CO2327"/>
      <c r="CP2327"/>
      <c r="CQ2327"/>
      <c r="CR2327"/>
      <c r="CS2327"/>
      <c r="CT2327"/>
      <c r="CU2327"/>
      <c r="CV2327"/>
      <c r="CW2327"/>
      <c r="CX2327"/>
      <c r="CY2327"/>
      <c r="CZ2327"/>
      <c r="DA2327"/>
      <c r="DB2327"/>
      <c r="DC2327"/>
      <c r="DD2327"/>
      <c r="DE2327"/>
      <c r="DF2327"/>
      <c r="DG2327"/>
      <c r="DH2327"/>
      <c r="DI2327"/>
      <c r="DJ2327"/>
      <c r="DK2327"/>
      <c r="DL2327"/>
      <c r="DM2327"/>
      <c r="DN2327"/>
      <c r="DO2327"/>
      <c r="DP2327"/>
      <c r="DQ2327"/>
      <c r="DR2327"/>
      <c r="DS2327"/>
      <c r="DT2327"/>
      <c r="DU2327"/>
      <c r="DV2327"/>
      <c r="DW2327"/>
      <c r="DX2327"/>
      <c r="DY2327"/>
      <c r="DZ2327"/>
      <c r="EA2327"/>
      <c r="EB2327"/>
      <c r="EC2327"/>
      <c r="ED2327"/>
      <c r="EE2327"/>
      <c r="EF2327"/>
      <c r="EG2327"/>
    </row>
    <row r="2328" spans="1:137" s="22" customFormat="1" ht="15" customHeight="1" x14ac:dyDescent="0.3">
      <c r="A2328" s="19">
        <v>16345</v>
      </c>
      <c r="B2328" s="21">
        <v>46126</v>
      </c>
      <c r="C2328" s="21" t="s">
        <v>15</v>
      </c>
      <c r="D2328" s="91" t="s">
        <v>19</v>
      </c>
      <c r="E2328" s="21"/>
      <c r="F2328" s="22" t="s">
        <v>297</v>
      </c>
      <c r="G2328" s="252">
        <v>2445.6999999999998</v>
      </c>
      <c r="H2328" s="19"/>
      <c r="I2328" s="19">
        <f>COUNTIF(Tabela1[NF],Tabela1[[#This Row],[NF]])</f>
        <v>1</v>
      </c>
      <c r="K2328" s="26">
        <v>46126</v>
      </c>
      <c r="N2328" s="1" t="str" cm="1">
        <f t="array" ref="N2328">_xlfn.XLOOKUP(TRIM(D2328),TRIM(DFC!A:A),DFC!A:A,"NÃO ESTÁ NA DFC")</f>
        <v xml:space="preserve">      PEÇAS</v>
      </c>
      <c r="O2328"/>
      <c r="P2328" s="303"/>
      <c r="Q2328" s="262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/>
      <c r="BP2328"/>
      <c r="BQ2328"/>
      <c r="BR2328"/>
      <c r="BS2328"/>
      <c r="BT2328"/>
      <c r="BU2328"/>
      <c r="BV2328"/>
      <c r="BW2328"/>
      <c r="BX2328"/>
      <c r="BY2328"/>
      <c r="BZ2328"/>
      <c r="CA2328"/>
      <c r="CB2328"/>
      <c r="CC2328"/>
      <c r="CD2328"/>
      <c r="CE2328"/>
      <c r="CF2328"/>
      <c r="CG2328"/>
      <c r="CH2328"/>
      <c r="CI2328"/>
      <c r="CJ2328"/>
      <c r="CK2328"/>
      <c r="CL2328"/>
      <c r="CM2328"/>
      <c r="CN2328"/>
      <c r="CO2328"/>
      <c r="CP2328"/>
      <c r="CQ2328"/>
      <c r="CR2328"/>
      <c r="CS2328"/>
      <c r="CT2328"/>
      <c r="CU2328"/>
      <c r="CV2328"/>
      <c r="CW2328"/>
      <c r="CX2328"/>
      <c r="CY2328"/>
      <c r="CZ2328"/>
      <c r="DA2328"/>
      <c r="DB2328"/>
      <c r="DC2328"/>
      <c r="DD2328"/>
      <c r="DE2328"/>
      <c r="DF2328"/>
      <c r="DG2328"/>
      <c r="DH2328"/>
      <c r="DI2328"/>
      <c r="DJ2328"/>
      <c r="DK2328"/>
      <c r="DL2328"/>
      <c r="DM2328"/>
      <c r="DN2328"/>
      <c r="DO2328"/>
      <c r="DP2328"/>
      <c r="DQ2328"/>
      <c r="DR2328"/>
      <c r="DS2328"/>
      <c r="DT2328"/>
      <c r="DU2328"/>
      <c r="DV2328"/>
      <c r="DW2328"/>
      <c r="DX2328"/>
      <c r="DY2328"/>
      <c r="DZ2328"/>
      <c r="EA2328"/>
      <c r="EB2328"/>
      <c r="EC2328"/>
      <c r="ED2328"/>
      <c r="EE2328"/>
      <c r="EF2328"/>
      <c r="EG2328"/>
    </row>
    <row r="2329" spans="1:137" s="22" customFormat="1" ht="15" customHeight="1" x14ac:dyDescent="0.3">
      <c r="A2329" s="19">
        <v>29015</v>
      </c>
      <c r="B2329" s="21">
        <v>46126</v>
      </c>
      <c r="C2329" s="21" t="s">
        <v>15</v>
      </c>
      <c r="D2329" s="91" t="s">
        <v>19</v>
      </c>
      <c r="E2329" s="21"/>
      <c r="F2329" s="22" t="s">
        <v>132</v>
      </c>
      <c r="G2329" s="252">
        <v>1260.79</v>
      </c>
      <c r="H2329" s="19"/>
      <c r="I2329" s="19">
        <f>COUNTIF(Tabela1[NF],Tabela1[[#This Row],[NF]])</f>
        <v>1</v>
      </c>
      <c r="K2329" s="26">
        <v>46126</v>
      </c>
      <c r="N2329" s="1" t="str" cm="1">
        <f t="array" ref="N2329">_xlfn.XLOOKUP(TRIM(D2329),TRIM(DFC!A:A),DFC!A:A,"NÃO ESTÁ NA DFC")</f>
        <v xml:space="preserve">      PEÇAS</v>
      </c>
      <c r="O2329"/>
      <c r="P2329" s="303"/>
      <c r="Q2329" s="262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  <c r="BV2329"/>
      <c r="BW2329"/>
      <c r="BX2329"/>
      <c r="BY2329"/>
      <c r="BZ2329"/>
      <c r="CA2329"/>
      <c r="CB2329"/>
      <c r="CC2329"/>
      <c r="CD2329"/>
      <c r="CE2329"/>
      <c r="CF2329"/>
      <c r="CG2329"/>
      <c r="CH2329"/>
      <c r="CI2329"/>
      <c r="CJ2329"/>
      <c r="CK2329"/>
      <c r="CL2329"/>
      <c r="CM2329"/>
      <c r="CN2329"/>
      <c r="CO2329"/>
      <c r="CP2329"/>
      <c r="CQ2329"/>
      <c r="CR2329"/>
      <c r="CS2329"/>
      <c r="CT2329"/>
      <c r="CU2329"/>
      <c r="CV2329"/>
      <c r="CW2329"/>
      <c r="CX2329"/>
      <c r="CY2329"/>
      <c r="CZ2329"/>
      <c r="DA2329"/>
      <c r="DB2329"/>
      <c r="DC2329"/>
      <c r="DD2329"/>
      <c r="DE2329"/>
      <c r="DF2329"/>
      <c r="DG2329"/>
      <c r="DH2329"/>
      <c r="DI2329"/>
      <c r="DJ2329"/>
      <c r="DK2329"/>
      <c r="DL2329"/>
      <c r="DM2329"/>
      <c r="DN2329"/>
      <c r="DO2329"/>
      <c r="DP2329"/>
      <c r="DQ2329"/>
      <c r="DR2329"/>
      <c r="DS2329"/>
      <c r="DT2329"/>
      <c r="DU2329"/>
      <c r="DV2329"/>
      <c r="DW2329"/>
      <c r="DX2329"/>
      <c r="DY2329"/>
      <c r="DZ2329"/>
      <c r="EA2329"/>
      <c r="EB2329"/>
      <c r="EC2329"/>
      <c r="ED2329"/>
      <c r="EE2329"/>
      <c r="EF2329"/>
      <c r="EG2329"/>
    </row>
    <row r="2330" spans="1:137" s="22" customFormat="1" ht="15" customHeight="1" x14ac:dyDescent="0.3">
      <c r="A2330" s="19">
        <v>165629</v>
      </c>
      <c r="B2330" s="21">
        <v>46126</v>
      </c>
      <c r="C2330" s="21" t="s">
        <v>15</v>
      </c>
      <c r="D2330" s="91" t="s">
        <v>19</v>
      </c>
      <c r="E2330" s="21"/>
      <c r="F2330" s="22" t="s">
        <v>654</v>
      </c>
      <c r="G2330" s="252">
        <v>449.98</v>
      </c>
      <c r="H2330" s="19"/>
      <c r="I2330" s="19">
        <f>COUNTIF(Tabela1[NF],Tabela1[[#This Row],[NF]])</f>
        <v>1</v>
      </c>
      <c r="K2330" s="26">
        <v>46126</v>
      </c>
      <c r="N2330" s="1" t="str" cm="1">
        <f t="array" ref="N2330">_xlfn.XLOOKUP(TRIM(D2330),TRIM(DFC!A:A),DFC!A:A,"NÃO ESTÁ NA DFC")</f>
        <v xml:space="preserve">      PEÇAS</v>
      </c>
      <c r="O2330"/>
      <c r="P2330" s="303"/>
      <c r="Q2330" s="262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/>
      <c r="BS2330"/>
      <c r="BT2330"/>
      <c r="BU2330"/>
      <c r="BV2330"/>
      <c r="BW2330"/>
      <c r="BX2330"/>
      <c r="BY2330"/>
      <c r="BZ2330"/>
      <c r="CA2330"/>
      <c r="CB2330"/>
      <c r="CC2330"/>
      <c r="CD2330"/>
      <c r="CE2330"/>
      <c r="CF2330"/>
      <c r="CG2330"/>
      <c r="CH2330"/>
      <c r="CI2330"/>
      <c r="CJ2330"/>
      <c r="CK2330"/>
      <c r="CL2330"/>
      <c r="CM2330"/>
      <c r="CN2330"/>
      <c r="CO2330"/>
      <c r="CP2330"/>
      <c r="CQ2330"/>
      <c r="CR2330"/>
      <c r="CS2330"/>
      <c r="CT2330"/>
      <c r="CU2330"/>
      <c r="CV2330"/>
      <c r="CW2330"/>
      <c r="CX2330"/>
      <c r="CY2330"/>
      <c r="CZ2330"/>
      <c r="DA2330"/>
      <c r="DB2330"/>
      <c r="DC2330"/>
      <c r="DD2330"/>
      <c r="DE2330"/>
      <c r="DF2330"/>
      <c r="DG2330"/>
      <c r="DH2330"/>
      <c r="DI2330"/>
      <c r="DJ2330"/>
      <c r="DK2330"/>
      <c r="DL2330"/>
      <c r="DM2330"/>
      <c r="DN2330"/>
      <c r="DO2330"/>
      <c r="DP2330"/>
      <c r="DQ2330"/>
      <c r="DR2330"/>
      <c r="DS2330"/>
      <c r="DT2330"/>
      <c r="DU2330"/>
      <c r="DV2330"/>
      <c r="DW2330"/>
      <c r="DX2330"/>
      <c r="DY2330"/>
      <c r="DZ2330"/>
      <c r="EA2330"/>
      <c r="EB2330"/>
      <c r="EC2330"/>
      <c r="ED2330"/>
      <c r="EE2330"/>
      <c r="EF2330"/>
      <c r="EG2330"/>
    </row>
    <row r="2331" spans="1:137" s="22" customFormat="1" ht="15" customHeight="1" x14ac:dyDescent="0.3">
      <c r="A2331" s="19">
        <v>52654</v>
      </c>
      <c r="B2331" s="21">
        <v>46126</v>
      </c>
      <c r="C2331" s="21" t="s">
        <v>15</v>
      </c>
      <c r="D2331" s="91" t="s">
        <v>19</v>
      </c>
      <c r="E2331" s="21"/>
      <c r="F2331" s="22" t="s">
        <v>912</v>
      </c>
      <c r="G2331" s="252">
        <v>2683.05</v>
      </c>
      <c r="H2331" s="19"/>
      <c r="I2331" s="19">
        <f>COUNTIF(Tabela1[NF],Tabela1[[#This Row],[NF]])</f>
        <v>1</v>
      </c>
      <c r="K2331" s="26">
        <v>46126</v>
      </c>
      <c r="N2331" s="1" t="str" cm="1">
        <f t="array" ref="N2331">_xlfn.XLOOKUP(TRIM(D2331),TRIM(DFC!A:A),DFC!A:A,"NÃO ESTÁ NA DFC")</f>
        <v xml:space="preserve">      PEÇAS</v>
      </c>
      <c r="O2331"/>
      <c r="P2331" s="303"/>
      <c r="Q2331" s="262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/>
      <c r="BP2331"/>
      <c r="BQ2331"/>
      <c r="BR2331"/>
      <c r="BS2331"/>
      <c r="BT2331"/>
      <c r="BU2331"/>
      <c r="BV2331"/>
      <c r="BW2331"/>
      <c r="BX2331"/>
      <c r="BY2331"/>
      <c r="BZ2331"/>
      <c r="CA2331"/>
      <c r="CB2331"/>
      <c r="CC2331"/>
      <c r="CD2331"/>
      <c r="CE2331"/>
      <c r="CF2331"/>
      <c r="CG2331"/>
      <c r="CH2331"/>
      <c r="CI2331"/>
      <c r="CJ2331"/>
      <c r="CK2331"/>
      <c r="CL2331"/>
      <c r="CM2331"/>
      <c r="CN2331"/>
      <c r="CO2331"/>
      <c r="CP2331"/>
      <c r="CQ2331"/>
      <c r="CR2331"/>
      <c r="CS2331"/>
      <c r="CT2331"/>
      <c r="CU2331"/>
      <c r="CV2331"/>
      <c r="CW2331"/>
      <c r="CX2331"/>
      <c r="CY2331"/>
      <c r="CZ2331"/>
      <c r="DA2331"/>
      <c r="DB2331"/>
      <c r="DC2331"/>
      <c r="DD2331"/>
      <c r="DE2331"/>
      <c r="DF2331"/>
      <c r="DG2331"/>
      <c r="DH2331"/>
      <c r="DI2331"/>
      <c r="DJ2331"/>
      <c r="DK2331"/>
      <c r="DL2331"/>
      <c r="DM2331"/>
      <c r="DN2331"/>
      <c r="DO2331"/>
      <c r="DP2331"/>
      <c r="DQ2331"/>
      <c r="DR2331"/>
      <c r="DS2331"/>
      <c r="DT2331"/>
      <c r="DU2331"/>
      <c r="DV2331"/>
      <c r="DW2331"/>
      <c r="DX2331"/>
      <c r="DY2331"/>
      <c r="DZ2331"/>
      <c r="EA2331"/>
      <c r="EB2331"/>
      <c r="EC2331"/>
      <c r="ED2331"/>
      <c r="EE2331"/>
      <c r="EF2331"/>
      <c r="EG2331"/>
    </row>
    <row r="2332" spans="1:137" s="22" customFormat="1" ht="15" customHeight="1" x14ac:dyDescent="0.3">
      <c r="A2332" s="19">
        <v>5126</v>
      </c>
      <c r="B2332" s="21">
        <v>46126</v>
      </c>
      <c r="C2332" s="21" t="s">
        <v>15</v>
      </c>
      <c r="D2332" s="91" t="s">
        <v>19</v>
      </c>
      <c r="E2332" s="21"/>
      <c r="F2332" s="22" t="s">
        <v>300</v>
      </c>
      <c r="G2332" s="252">
        <v>2504.25</v>
      </c>
      <c r="H2332" s="19"/>
      <c r="I2332" s="19">
        <f>COUNTIF(Tabela1[NF],Tabela1[[#This Row],[NF]])</f>
        <v>1</v>
      </c>
      <c r="K2332" s="26">
        <v>46126</v>
      </c>
      <c r="N2332" s="1" t="str" cm="1">
        <f t="array" ref="N2332">_xlfn.XLOOKUP(TRIM(D2332),TRIM(DFC!A:A),DFC!A:A,"NÃO ESTÁ NA DFC")</f>
        <v xml:space="preserve">      PEÇAS</v>
      </c>
      <c r="O2332"/>
      <c r="P2332" s="303"/>
      <c r="Q2332" s="26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/>
      <c r="BV2332"/>
      <c r="BW2332"/>
      <c r="BX2332"/>
      <c r="BY2332"/>
      <c r="BZ2332"/>
      <c r="CA2332"/>
      <c r="CB2332"/>
      <c r="CC2332"/>
      <c r="CD2332"/>
      <c r="CE2332"/>
      <c r="CF2332"/>
      <c r="CG2332"/>
      <c r="CH2332"/>
      <c r="CI2332"/>
      <c r="CJ2332"/>
      <c r="CK2332"/>
      <c r="CL2332"/>
      <c r="CM2332"/>
      <c r="CN2332"/>
      <c r="CO2332"/>
      <c r="CP2332"/>
      <c r="CQ2332"/>
      <c r="CR2332"/>
      <c r="CS2332"/>
      <c r="CT2332"/>
      <c r="CU2332"/>
      <c r="CV2332"/>
      <c r="CW2332"/>
      <c r="CX2332"/>
      <c r="CY2332"/>
      <c r="CZ2332"/>
      <c r="DA2332"/>
      <c r="DB2332"/>
      <c r="DC2332"/>
      <c r="DD2332"/>
      <c r="DE2332"/>
      <c r="DF2332"/>
      <c r="DG2332"/>
      <c r="DH2332"/>
      <c r="DI2332"/>
      <c r="DJ2332"/>
      <c r="DK2332"/>
      <c r="DL2332"/>
      <c r="DM2332"/>
      <c r="DN2332"/>
      <c r="DO2332"/>
      <c r="DP2332"/>
      <c r="DQ2332"/>
      <c r="DR2332"/>
      <c r="DS2332"/>
      <c r="DT2332"/>
      <c r="DU2332"/>
      <c r="DV2332"/>
      <c r="DW2332"/>
      <c r="DX2332"/>
      <c r="DY2332"/>
      <c r="DZ2332"/>
      <c r="EA2332"/>
      <c r="EB2332"/>
      <c r="EC2332"/>
      <c r="ED2332"/>
      <c r="EE2332"/>
      <c r="EF2332"/>
      <c r="EG2332"/>
    </row>
    <row r="2333" spans="1:137" s="22" customFormat="1" ht="15" customHeight="1" x14ac:dyDescent="0.3">
      <c r="A2333" s="19"/>
      <c r="B2333" s="21">
        <v>46126</v>
      </c>
      <c r="C2333" s="21" t="s">
        <v>15</v>
      </c>
      <c r="D2333" s="21" t="s">
        <v>156</v>
      </c>
      <c r="E2333" s="21"/>
      <c r="F2333" s="22" t="s">
        <v>314</v>
      </c>
      <c r="G2333" s="252">
        <v>4470</v>
      </c>
      <c r="H2333" s="19"/>
      <c r="I2333" s="19">
        <f>COUNTIF(Tabela1[NF],Tabela1[[#This Row],[NF]])</f>
        <v>0</v>
      </c>
      <c r="K2333" s="26">
        <v>46126</v>
      </c>
      <c r="N2333" s="1" t="str" cm="1">
        <f t="array" ref="N2333">_xlfn.XLOOKUP(TRIM(D2333),TRIM(DFC!A:A),DFC!A:A,"NÃO ESTÁ NA DFC")</f>
        <v xml:space="preserve">      MONTAGEM DE RODAS</v>
      </c>
      <c r="O2333"/>
      <c r="P2333" s="303"/>
      <c r="Q2333" s="262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  <c r="BN2333"/>
      <c r="BO2333"/>
      <c r="BP2333"/>
      <c r="BQ2333"/>
      <c r="BR2333"/>
      <c r="BS2333"/>
      <c r="BT2333"/>
      <c r="BU2333"/>
      <c r="BV2333"/>
      <c r="BW2333"/>
      <c r="BX2333"/>
      <c r="BY2333"/>
      <c r="BZ2333"/>
      <c r="CA2333"/>
      <c r="CB2333"/>
      <c r="CC2333"/>
      <c r="CD2333"/>
      <c r="CE2333"/>
      <c r="CF2333"/>
      <c r="CG2333"/>
      <c r="CH2333"/>
      <c r="CI2333"/>
      <c r="CJ2333"/>
      <c r="CK2333"/>
      <c r="CL2333"/>
      <c r="CM2333"/>
      <c r="CN2333"/>
      <c r="CO2333"/>
      <c r="CP2333"/>
      <c r="CQ2333"/>
      <c r="CR2333"/>
      <c r="CS2333"/>
      <c r="CT2333"/>
      <c r="CU2333"/>
      <c r="CV2333"/>
      <c r="CW2333"/>
      <c r="CX2333"/>
      <c r="CY2333"/>
      <c r="CZ2333"/>
      <c r="DA2333"/>
      <c r="DB2333"/>
      <c r="DC2333"/>
      <c r="DD2333"/>
      <c r="DE2333"/>
      <c r="DF2333"/>
      <c r="DG2333"/>
      <c r="DH2333"/>
      <c r="DI2333"/>
      <c r="DJ2333"/>
      <c r="DK2333"/>
      <c r="DL2333"/>
      <c r="DM2333"/>
      <c r="DN2333"/>
      <c r="DO2333"/>
      <c r="DP2333"/>
      <c r="DQ2333"/>
      <c r="DR2333"/>
      <c r="DS2333"/>
      <c r="DT2333"/>
      <c r="DU2333"/>
      <c r="DV2333"/>
      <c r="DW2333"/>
      <c r="DX2333"/>
      <c r="DY2333"/>
      <c r="DZ2333"/>
      <c r="EA2333"/>
      <c r="EB2333"/>
      <c r="EC2333"/>
      <c r="ED2333"/>
      <c r="EE2333"/>
      <c r="EF2333"/>
      <c r="EG2333"/>
    </row>
    <row r="2334" spans="1:137" s="22" customFormat="1" ht="15" customHeight="1" x14ac:dyDescent="0.3">
      <c r="A2334" s="19">
        <v>127631</v>
      </c>
      <c r="B2334" s="21">
        <v>46126</v>
      </c>
      <c r="C2334" s="21" t="s">
        <v>15</v>
      </c>
      <c r="D2334" s="91" t="s">
        <v>19</v>
      </c>
      <c r="E2334" s="21"/>
      <c r="F2334" s="22" t="s">
        <v>457</v>
      </c>
      <c r="G2334" s="252">
        <v>394.3</v>
      </c>
      <c r="H2334" s="19"/>
      <c r="I2334" s="19">
        <f>COUNTIF(Tabela1[NF],Tabela1[[#This Row],[NF]])</f>
        <v>1</v>
      </c>
      <c r="K2334" s="26">
        <v>46126</v>
      </c>
      <c r="N2334" s="1" t="str" cm="1">
        <f t="array" ref="N2334">_xlfn.XLOOKUP(TRIM(D2334),TRIM(DFC!A:A),DFC!A:A,"NÃO ESTÁ NA DFC")</f>
        <v xml:space="preserve">      PEÇAS</v>
      </c>
      <c r="O2334"/>
      <c r="P2334" s="303"/>
      <c r="Q2334" s="262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/>
      <c r="BV2334"/>
      <c r="BW2334"/>
      <c r="BX2334"/>
      <c r="BY2334"/>
      <c r="BZ2334"/>
      <c r="CA2334"/>
      <c r="CB2334"/>
      <c r="CC2334"/>
      <c r="CD2334"/>
      <c r="CE2334"/>
      <c r="CF2334"/>
      <c r="CG2334"/>
      <c r="CH2334"/>
      <c r="CI2334"/>
      <c r="CJ2334"/>
      <c r="CK2334"/>
      <c r="CL2334"/>
      <c r="CM2334"/>
      <c r="CN2334"/>
      <c r="CO2334"/>
      <c r="CP2334"/>
      <c r="CQ2334"/>
      <c r="CR2334"/>
      <c r="CS2334"/>
      <c r="CT2334"/>
      <c r="CU2334"/>
      <c r="CV2334"/>
      <c r="CW2334"/>
      <c r="CX2334"/>
      <c r="CY2334"/>
      <c r="CZ2334"/>
      <c r="DA2334"/>
      <c r="DB2334"/>
      <c r="DC2334"/>
      <c r="DD2334"/>
      <c r="DE2334"/>
      <c r="DF2334"/>
      <c r="DG2334"/>
      <c r="DH2334"/>
      <c r="DI2334"/>
      <c r="DJ2334"/>
      <c r="DK2334"/>
      <c r="DL2334"/>
      <c r="DM2334"/>
      <c r="DN2334"/>
      <c r="DO2334"/>
      <c r="DP2334"/>
      <c r="DQ2334"/>
      <c r="DR2334"/>
      <c r="DS2334"/>
      <c r="DT2334"/>
      <c r="DU2334"/>
      <c r="DV2334"/>
      <c r="DW2334"/>
      <c r="DX2334"/>
      <c r="DY2334"/>
      <c r="DZ2334"/>
      <c r="EA2334"/>
      <c r="EB2334"/>
      <c r="EC2334"/>
      <c r="ED2334"/>
      <c r="EE2334"/>
      <c r="EF2334"/>
      <c r="EG2334"/>
    </row>
    <row r="2335" spans="1:137" s="22" customFormat="1" ht="15" customHeight="1" x14ac:dyDescent="0.3">
      <c r="A2335" s="19"/>
      <c r="B2335" s="21">
        <v>46126</v>
      </c>
      <c r="C2335" s="21" t="s">
        <v>15</v>
      </c>
      <c r="D2335" s="91" t="s">
        <v>43</v>
      </c>
      <c r="E2335" s="21"/>
      <c r="F2335" s="22" t="s">
        <v>728</v>
      </c>
      <c r="G2335" s="252">
        <v>1300</v>
      </c>
      <c r="H2335" s="19"/>
      <c r="I2335" s="19">
        <f>COUNTIF(Tabela1[NF],Tabela1[[#This Row],[NF]])</f>
        <v>0</v>
      </c>
      <c r="K2335" s="26">
        <v>46126</v>
      </c>
      <c r="N2335" s="1" t="str" cm="1">
        <f t="array" ref="N2335">_xlfn.XLOOKUP(TRIM(D2335),TRIM(DFC!A:A),DFC!A:A,"NÃO ESTÁ NA DFC")</f>
        <v xml:space="preserve">          TRABALHISTA</v>
      </c>
      <c r="O2335"/>
      <c r="P2335" s="303"/>
      <c r="Q2335" s="262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/>
      <c r="BV2335"/>
      <c r="BW2335"/>
      <c r="BX2335"/>
      <c r="BY2335"/>
      <c r="BZ2335"/>
      <c r="CA2335"/>
      <c r="CB2335"/>
      <c r="CC2335"/>
      <c r="CD2335"/>
      <c r="CE2335"/>
      <c r="CF2335"/>
      <c r="CG2335"/>
      <c r="CH2335"/>
      <c r="CI2335"/>
      <c r="CJ2335"/>
      <c r="CK2335"/>
      <c r="CL2335"/>
      <c r="CM2335"/>
      <c r="CN2335"/>
      <c r="CO2335"/>
      <c r="CP2335"/>
      <c r="CQ2335"/>
      <c r="CR2335"/>
      <c r="CS2335"/>
      <c r="CT2335"/>
      <c r="CU2335"/>
      <c r="CV2335"/>
      <c r="CW2335"/>
      <c r="CX2335"/>
      <c r="CY2335"/>
      <c r="CZ2335"/>
      <c r="DA2335"/>
      <c r="DB2335"/>
      <c r="DC2335"/>
      <c r="DD2335"/>
      <c r="DE2335"/>
      <c r="DF2335"/>
      <c r="DG2335"/>
      <c r="DH2335"/>
      <c r="DI2335"/>
      <c r="DJ2335"/>
      <c r="DK2335"/>
      <c r="DL2335"/>
      <c r="DM2335"/>
      <c r="DN2335"/>
      <c r="DO2335"/>
      <c r="DP2335"/>
      <c r="DQ2335"/>
      <c r="DR2335"/>
      <c r="DS2335"/>
      <c r="DT2335"/>
      <c r="DU2335"/>
      <c r="DV2335"/>
      <c r="DW2335"/>
      <c r="DX2335"/>
      <c r="DY2335"/>
      <c r="DZ2335"/>
      <c r="EA2335"/>
      <c r="EB2335"/>
      <c r="EC2335"/>
      <c r="ED2335"/>
      <c r="EE2335"/>
      <c r="EF2335"/>
      <c r="EG2335"/>
    </row>
    <row r="2336" spans="1:137" s="22" customFormat="1" ht="15" customHeight="1" x14ac:dyDescent="0.3">
      <c r="A2336" s="19">
        <v>175877</v>
      </c>
      <c r="B2336" s="21">
        <v>46126</v>
      </c>
      <c r="C2336" s="21" t="s">
        <v>15</v>
      </c>
      <c r="D2336" s="21" t="s">
        <v>19</v>
      </c>
      <c r="E2336" s="21"/>
      <c r="F2336" s="424" t="s">
        <v>457</v>
      </c>
      <c r="G2336" s="252">
        <v>394.3</v>
      </c>
      <c r="H2336" s="19"/>
      <c r="I2336" s="19">
        <f>COUNTIF(Tabela1[NF],Tabela1[[#This Row],[NF]])</f>
        <v>1</v>
      </c>
      <c r="K2336" s="26">
        <v>46126</v>
      </c>
      <c r="N2336" s="1" t="str" cm="1">
        <f t="array" ref="N2336">_xlfn.XLOOKUP(TRIM(D2336),TRIM(DFC!A:A),DFC!A:A,"NÃO ESTÁ NA DFC")</f>
        <v xml:space="preserve">      PEÇAS</v>
      </c>
      <c r="O2336"/>
      <c r="P2336" s="303"/>
      <c r="Q2336" s="262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  <c r="BV2336"/>
      <c r="BW2336"/>
      <c r="BX2336"/>
      <c r="BY2336"/>
      <c r="BZ2336"/>
      <c r="CA2336"/>
      <c r="CB2336"/>
      <c r="CC2336"/>
      <c r="CD2336"/>
      <c r="CE2336"/>
      <c r="CF2336"/>
      <c r="CG2336"/>
      <c r="CH2336"/>
      <c r="CI2336"/>
      <c r="CJ2336"/>
      <c r="CK2336"/>
      <c r="CL2336"/>
      <c r="CM2336"/>
      <c r="CN2336"/>
      <c r="CO2336"/>
      <c r="CP2336"/>
      <c r="CQ2336"/>
      <c r="CR2336"/>
      <c r="CS2336"/>
      <c r="CT2336"/>
      <c r="CU2336"/>
      <c r="CV2336"/>
      <c r="CW2336"/>
      <c r="CX2336"/>
      <c r="CY2336"/>
      <c r="CZ2336"/>
      <c r="DA2336"/>
      <c r="DB2336"/>
      <c r="DC2336"/>
      <c r="DD2336"/>
      <c r="DE2336"/>
      <c r="DF2336"/>
      <c r="DG2336"/>
      <c r="DH2336"/>
      <c r="DI2336"/>
      <c r="DJ2336"/>
      <c r="DK2336"/>
      <c r="DL2336"/>
      <c r="DM2336"/>
      <c r="DN2336"/>
      <c r="DO2336"/>
      <c r="DP2336"/>
      <c r="DQ2336"/>
      <c r="DR2336"/>
      <c r="DS2336"/>
      <c r="DT2336"/>
      <c r="DU2336"/>
      <c r="DV2336"/>
      <c r="DW2336"/>
      <c r="DX2336"/>
      <c r="DY2336"/>
      <c r="DZ2336"/>
      <c r="EA2336"/>
      <c r="EB2336"/>
      <c r="EC2336"/>
      <c r="ED2336"/>
      <c r="EE2336"/>
      <c r="EF2336"/>
      <c r="EG2336"/>
    </row>
    <row r="2337" spans="1:137" s="22" customFormat="1" ht="15" customHeight="1" x14ac:dyDescent="0.3">
      <c r="A2337" s="19"/>
      <c r="B2337" s="21">
        <v>46126</v>
      </c>
      <c r="C2337" s="21" t="s">
        <v>15</v>
      </c>
      <c r="D2337" s="84" t="s">
        <v>19</v>
      </c>
      <c r="E2337" s="21"/>
      <c r="F2337" s="424" t="s">
        <v>356</v>
      </c>
      <c r="G2337" s="252">
        <v>12</v>
      </c>
      <c r="H2337" s="19"/>
      <c r="I2337" s="19">
        <f>COUNTIF(Tabela1[NF],Tabela1[[#This Row],[NF]])</f>
        <v>0</v>
      </c>
      <c r="K2337" s="26">
        <v>46126</v>
      </c>
      <c r="N2337" s="1" t="str" cm="1">
        <f t="array" ref="N2337">_xlfn.XLOOKUP(TRIM(D2337),TRIM(DFC!A:A),DFC!A:A,"NÃO ESTÁ NA DFC")</f>
        <v xml:space="preserve">      PEÇAS</v>
      </c>
      <c r="O2337"/>
      <c r="P2337" s="303"/>
      <c r="Q2337" s="262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/>
      <c r="BV2337"/>
      <c r="BW2337"/>
      <c r="BX2337"/>
      <c r="BY2337"/>
      <c r="BZ2337"/>
      <c r="CA2337"/>
      <c r="CB2337"/>
      <c r="CC2337"/>
      <c r="CD2337"/>
      <c r="CE2337"/>
      <c r="CF2337"/>
      <c r="CG2337"/>
      <c r="CH2337"/>
      <c r="CI2337"/>
      <c r="CJ2337"/>
      <c r="CK2337"/>
      <c r="CL2337"/>
      <c r="CM2337"/>
      <c r="CN2337"/>
      <c r="CO2337"/>
      <c r="CP2337"/>
      <c r="CQ2337"/>
      <c r="CR2337"/>
      <c r="CS2337"/>
      <c r="CT2337"/>
      <c r="CU2337"/>
      <c r="CV2337"/>
      <c r="CW2337"/>
      <c r="CX2337"/>
      <c r="CY2337"/>
      <c r="CZ2337"/>
      <c r="DA2337"/>
      <c r="DB2337"/>
      <c r="DC2337"/>
      <c r="DD2337"/>
      <c r="DE2337"/>
      <c r="DF2337"/>
      <c r="DG2337"/>
      <c r="DH2337"/>
      <c r="DI2337"/>
      <c r="DJ2337"/>
      <c r="DK2337"/>
      <c r="DL2337"/>
      <c r="DM2337"/>
      <c r="DN2337"/>
      <c r="DO2337"/>
      <c r="DP2337"/>
      <c r="DQ2337"/>
      <c r="DR2337"/>
      <c r="DS2337"/>
      <c r="DT2337"/>
      <c r="DU2337"/>
      <c r="DV2337"/>
      <c r="DW2337"/>
      <c r="DX2337"/>
      <c r="DY2337"/>
      <c r="DZ2337"/>
      <c r="EA2337"/>
      <c r="EB2337"/>
      <c r="EC2337"/>
      <c r="ED2337"/>
      <c r="EE2337"/>
      <c r="EF2337"/>
      <c r="EG2337"/>
    </row>
    <row r="2338" spans="1:137" s="22" customFormat="1" ht="15" customHeight="1" x14ac:dyDescent="0.3">
      <c r="A2338" s="19"/>
      <c r="B2338" s="21">
        <v>46126</v>
      </c>
      <c r="C2338" s="21" t="s">
        <v>15</v>
      </c>
      <c r="D2338" s="425" t="s">
        <v>57</v>
      </c>
      <c r="E2338" s="21"/>
      <c r="F2338" s="424" t="s">
        <v>358</v>
      </c>
      <c r="G2338" s="252">
        <v>145.99</v>
      </c>
      <c r="H2338" s="19"/>
      <c r="I2338" s="19">
        <f>COUNTIF(Tabela1[NF],Tabela1[[#This Row],[NF]])</f>
        <v>0</v>
      </c>
      <c r="K2338" s="26">
        <v>46126</v>
      </c>
      <c r="N2338" s="1" t="str" cm="1">
        <f t="array" ref="N2338">_xlfn.XLOOKUP(TRIM(D2338),TRIM(DFC!A:A),DFC!A:A,"NÃO ESTÁ NA DFC")</f>
        <v xml:space="preserve">          ALIMENTAÇÃO</v>
      </c>
      <c r="O2338"/>
      <c r="P2338" s="303"/>
      <c r="Q2338" s="262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/>
      <c r="BV2338"/>
      <c r="BW2338"/>
      <c r="BX2338"/>
      <c r="BY2338"/>
      <c r="BZ2338"/>
      <c r="CA2338"/>
      <c r="CB2338"/>
      <c r="CC2338"/>
      <c r="CD2338"/>
      <c r="CE2338"/>
      <c r="CF2338"/>
      <c r="CG2338"/>
      <c r="CH2338"/>
      <c r="CI2338"/>
      <c r="CJ2338"/>
      <c r="CK2338"/>
      <c r="CL2338"/>
      <c r="CM2338"/>
      <c r="CN2338"/>
      <c r="CO2338"/>
      <c r="CP2338"/>
      <c r="CQ2338"/>
      <c r="CR2338"/>
      <c r="CS2338"/>
      <c r="CT2338"/>
      <c r="CU2338"/>
      <c r="CV2338"/>
      <c r="CW2338"/>
      <c r="CX2338"/>
      <c r="CY2338"/>
      <c r="CZ2338"/>
      <c r="DA2338"/>
      <c r="DB2338"/>
      <c r="DC2338"/>
      <c r="DD2338"/>
      <c r="DE2338"/>
      <c r="DF2338"/>
      <c r="DG2338"/>
      <c r="DH2338"/>
      <c r="DI2338"/>
      <c r="DJ2338"/>
      <c r="DK2338"/>
      <c r="DL2338"/>
      <c r="DM2338"/>
      <c r="DN2338"/>
      <c r="DO2338"/>
      <c r="DP2338"/>
      <c r="DQ2338"/>
      <c r="DR2338"/>
      <c r="DS2338"/>
      <c r="DT2338"/>
      <c r="DU2338"/>
      <c r="DV2338"/>
      <c r="DW2338"/>
      <c r="DX2338"/>
      <c r="DY2338"/>
      <c r="DZ2338"/>
      <c r="EA2338"/>
      <c r="EB2338"/>
      <c r="EC2338"/>
      <c r="ED2338"/>
      <c r="EE2338"/>
      <c r="EF2338"/>
      <c r="EG2338"/>
    </row>
    <row r="2339" spans="1:137" s="22" customFormat="1" ht="15" customHeight="1" x14ac:dyDescent="0.3">
      <c r="A2339" s="19"/>
      <c r="B2339" s="21">
        <v>46126</v>
      </c>
      <c r="C2339" s="21" t="s">
        <v>15</v>
      </c>
      <c r="D2339" s="84" t="s">
        <v>18</v>
      </c>
      <c r="E2339" s="21"/>
      <c r="F2339" s="424" t="s">
        <v>578</v>
      </c>
      <c r="G2339" s="252">
        <v>621.67999999999995</v>
      </c>
      <c r="H2339" s="19"/>
      <c r="I2339" s="19">
        <f>COUNTIF(Tabela1[NF],Tabela1[[#This Row],[NF]])</f>
        <v>0</v>
      </c>
      <c r="K2339" s="26">
        <v>46126</v>
      </c>
      <c r="N2339" s="1" t="str" cm="1">
        <f t="array" ref="N2339">_xlfn.XLOOKUP(TRIM(D2339),TRIM(DFC!A:A),DFC!A:A,"NÃO ESTÁ NA DFC")</f>
        <v xml:space="preserve">     COMISSÕES E TAXAS DOS MARKETPLACES</v>
      </c>
      <c r="O2339"/>
      <c r="P2339" s="303"/>
      <c r="Q2339" s="262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/>
      <c r="BV2339"/>
      <c r="BW2339"/>
      <c r="BX2339"/>
      <c r="BY2339"/>
      <c r="BZ2339"/>
      <c r="CA2339"/>
      <c r="CB2339"/>
      <c r="CC2339"/>
      <c r="CD2339"/>
      <c r="CE2339"/>
      <c r="CF2339"/>
      <c r="CG2339"/>
      <c r="CH2339"/>
      <c r="CI2339"/>
      <c r="CJ2339"/>
      <c r="CK2339"/>
      <c r="CL2339"/>
      <c r="CM2339"/>
      <c r="CN2339"/>
      <c r="CO2339"/>
      <c r="CP2339"/>
      <c r="CQ2339"/>
      <c r="CR2339"/>
      <c r="CS2339"/>
      <c r="CT2339"/>
      <c r="CU2339"/>
      <c r="CV2339"/>
      <c r="CW2339"/>
      <c r="CX2339"/>
      <c r="CY2339"/>
      <c r="CZ2339"/>
      <c r="DA2339"/>
      <c r="DB2339"/>
      <c r="DC2339"/>
      <c r="DD2339"/>
      <c r="DE2339"/>
      <c r="DF2339"/>
      <c r="DG2339"/>
      <c r="DH2339"/>
      <c r="DI2339"/>
      <c r="DJ2339"/>
      <c r="DK2339"/>
      <c r="DL2339"/>
      <c r="DM2339"/>
      <c r="DN2339"/>
      <c r="DO2339"/>
      <c r="DP2339"/>
      <c r="DQ2339"/>
      <c r="DR2339"/>
      <c r="DS2339"/>
      <c r="DT2339"/>
      <c r="DU2339"/>
      <c r="DV2339"/>
      <c r="DW2339"/>
      <c r="DX2339"/>
      <c r="DY2339"/>
      <c r="DZ2339"/>
      <c r="EA2339"/>
      <c r="EB2339"/>
      <c r="EC2339"/>
      <c r="ED2339"/>
      <c r="EE2339"/>
      <c r="EF2339"/>
      <c r="EG2339"/>
    </row>
    <row r="2340" spans="1:137" ht="15" customHeight="1" x14ac:dyDescent="0.3">
      <c r="A2340" s="19">
        <v>10017150</v>
      </c>
      <c r="B2340" s="21">
        <v>46127</v>
      </c>
      <c r="C2340" s="21" t="s">
        <v>15</v>
      </c>
      <c r="D2340" s="21" t="s">
        <v>402</v>
      </c>
      <c r="E2340" s="280" t="s">
        <v>519</v>
      </c>
      <c r="F2340" s="22" t="s">
        <v>913</v>
      </c>
      <c r="G2340" s="252">
        <v>222.23</v>
      </c>
      <c r="H2340" s="19"/>
      <c r="I2340" s="19">
        <f>COUNTIF(Tabela1[NF],Tabela1[[#This Row],[NF]])</f>
        <v>1</v>
      </c>
      <c r="J2340" s="22"/>
      <c r="K2340" s="26">
        <v>46127</v>
      </c>
      <c r="L2340" s="22"/>
      <c r="M2340" s="22"/>
      <c r="N2340" s="1" t="str" cm="1">
        <f t="array" ref="N2340">_xlfn.XLOOKUP(TRIM(D2340),TRIM(DFC!A:A),DFC!A:A,"NÃO ESTÁ NA DFC")</f>
        <v xml:space="preserve">          IMPOSTOS E TAXAS</v>
      </c>
    </row>
    <row r="2341" spans="1:137" ht="15" customHeight="1" x14ac:dyDescent="0.3">
      <c r="A2341" s="19">
        <v>6223714</v>
      </c>
      <c r="B2341" s="21">
        <v>46127</v>
      </c>
      <c r="C2341" s="21" t="s">
        <v>15</v>
      </c>
      <c r="D2341" s="21" t="s">
        <v>29</v>
      </c>
      <c r="E2341" s="21"/>
      <c r="F2341" s="22" t="s">
        <v>420</v>
      </c>
      <c r="G2341" s="252">
        <v>1320.66</v>
      </c>
      <c r="H2341" s="19"/>
      <c r="I2341" s="19">
        <f>COUNTIF(Tabela1[NF],Tabela1[[#This Row],[NF]])</f>
        <v>1</v>
      </c>
      <c r="J2341" s="22"/>
      <c r="K2341" s="26">
        <v>46127</v>
      </c>
      <c r="L2341" s="22"/>
      <c r="M2341" s="22">
        <v>18.48</v>
      </c>
      <c r="N2341" s="1" t="str" cm="1">
        <f t="array" ref="N2341">_xlfn.XLOOKUP(TRIM(D2341),TRIM(DFC!A:A),DFC!A:A,"NÃO ESTÁ NA DFC")</f>
        <v xml:space="preserve">      FRETE DE SAÍDA</v>
      </c>
    </row>
    <row r="2342" spans="1:137" ht="15" customHeight="1" x14ac:dyDescent="0.3">
      <c r="A2342" s="19"/>
      <c r="B2342" s="21">
        <v>46127</v>
      </c>
      <c r="C2342" s="21" t="s">
        <v>15</v>
      </c>
      <c r="D2342" s="21" t="s">
        <v>79</v>
      </c>
      <c r="E2342" s="21"/>
      <c r="F2342" s="22" t="s">
        <v>161</v>
      </c>
      <c r="G2342" s="252">
        <v>1680</v>
      </c>
      <c r="H2342" s="19"/>
      <c r="I2342" s="19">
        <f>COUNTIF(Tabela1[NF],Tabela1[[#This Row],[NF]])</f>
        <v>0</v>
      </c>
      <c r="J2342" s="22"/>
      <c r="K2342" s="26">
        <v>46127</v>
      </c>
      <c r="L2342" s="22"/>
      <c r="M2342" s="22"/>
      <c r="N2342" s="1" t="str" cm="1">
        <f t="array" ref="N2342">_xlfn.XLOOKUP(TRIM(D2342),TRIM(DFC!A:A),DFC!A:A,"NÃO ESTÁ NA DFC")</f>
        <v xml:space="preserve">     DESP DE MARKETING E PROPAGANDA</v>
      </c>
    </row>
    <row r="2343" spans="1:137" ht="15" customHeight="1" x14ac:dyDescent="0.3">
      <c r="A2343" s="19"/>
      <c r="B2343" s="21">
        <v>46127</v>
      </c>
      <c r="C2343" s="21" t="s">
        <v>15</v>
      </c>
      <c r="D2343" s="21" t="s">
        <v>98</v>
      </c>
      <c r="E2343" s="21"/>
      <c r="F2343" s="424" t="s">
        <v>914</v>
      </c>
      <c r="G2343" s="252">
        <v>75</v>
      </c>
      <c r="H2343" s="19"/>
      <c r="I2343" s="19">
        <f>COUNTIF(Tabela1[NF],Tabela1[[#This Row],[NF]])</f>
        <v>0</v>
      </c>
      <c r="J2343" s="22"/>
      <c r="K2343" s="26">
        <v>46127</v>
      </c>
      <c r="L2343" s="22"/>
      <c r="M2343" s="22"/>
      <c r="N2343" s="1" t="str" cm="1">
        <f t="array" ref="N2343">_xlfn.XLOOKUP(TRIM(D2343),TRIM(DFC!A:A),DFC!A:A,"NÃO ESTÁ NA DFC")</f>
        <v xml:space="preserve">     REEMBOLSO SAC</v>
      </c>
    </row>
    <row r="2344" spans="1:137" ht="15" customHeight="1" x14ac:dyDescent="0.3">
      <c r="A2344" s="19"/>
      <c r="B2344" s="21">
        <v>46127</v>
      </c>
      <c r="C2344" s="21" t="s">
        <v>15</v>
      </c>
      <c r="D2344" s="21" t="s">
        <v>98</v>
      </c>
      <c r="E2344" s="21"/>
      <c r="F2344" s="424" t="s">
        <v>915</v>
      </c>
      <c r="G2344" s="252">
        <v>75</v>
      </c>
      <c r="H2344" s="19"/>
      <c r="I2344" s="19">
        <f>COUNTIF(Tabela1[NF],Tabela1[[#This Row],[NF]])</f>
        <v>0</v>
      </c>
      <c r="J2344" s="22"/>
      <c r="K2344" s="26">
        <v>46127</v>
      </c>
      <c r="L2344" s="22"/>
      <c r="M2344" s="22"/>
      <c r="N2344" s="1" t="str" cm="1">
        <f t="array" ref="N2344">_xlfn.XLOOKUP(TRIM(D2344),TRIM(DFC!A:A),DFC!A:A,"NÃO ESTÁ NA DFC")</f>
        <v xml:space="preserve">     REEMBOLSO SAC</v>
      </c>
    </row>
    <row r="2345" spans="1:137" ht="15" customHeight="1" x14ac:dyDescent="0.3">
      <c r="A2345" s="19" t="s">
        <v>916</v>
      </c>
      <c r="B2345" s="21">
        <v>46128</v>
      </c>
      <c r="C2345" s="21" t="s">
        <v>15</v>
      </c>
      <c r="D2345" s="21" t="s">
        <v>19</v>
      </c>
      <c r="E2345" s="21"/>
      <c r="F2345" s="424" t="s">
        <v>689</v>
      </c>
      <c r="G2345" s="252">
        <v>3016</v>
      </c>
      <c r="H2345" s="19"/>
      <c r="I2345" s="19">
        <f>COUNTIF(Tabela1[NF],Tabela1[[#This Row],[NF]])</f>
        <v>1</v>
      </c>
      <c r="J2345" s="22"/>
      <c r="K2345" s="21">
        <v>46128</v>
      </c>
      <c r="L2345" s="22"/>
      <c r="M2345" s="22">
        <v>20.079999999999998</v>
      </c>
      <c r="N2345" s="1" t="str" cm="1">
        <f t="array" ref="N2345">_xlfn.XLOOKUP(TRIM(D2345),TRIM(DFC!A:A),DFC!A:A,"NÃO ESTÁ NA DFC")</f>
        <v xml:space="preserve">      PEÇAS</v>
      </c>
    </row>
    <row r="2346" spans="1:137" ht="15" customHeight="1" x14ac:dyDescent="0.3">
      <c r="A2346" s="19">
        <v>30363</v>
      </c>
      <c r="B2346" s="21">
        <v>46128</v>
      </c>
      <c r="C2346" s="21" t="s">
        <v>15</v>
      </c>
      <c r="D2346" s="21" t="s">
        <v>154</v>
      </c>
      <c r="E2346" s="21"/>
      <c r="F2346" s="424" t="s">
        <v>302</v>
      </c>
      <c r="G2346" s="252">
        <v>2397.46</v>
      </c>
      <c r="H2346" s="19"/>
      <c r="I2346" s="19">
        <f>COUNTIF(Tabela1[NF],Tabela1[[#This Row],[NF]])</f>
        <v>1</v>
      </c>
      <c r="J2346" s="22"/>
      <c r="K2346" s="21">
        <v>46128</v>
      </c>
      <c r="L2346" s="22"/>
      <c r="M2346" s="22">
        <v>57.52</v>
      </c>
      <c r="N2346" s="1" t="str" cm="1">
        <f t="array" ref="N2346">_xlfn.XLOOKUP(TRIM(D2346),TRIM(DFC!A:A),DFC!A:A,"NÃO ESTÁ NA DFC")</f>
        <v xml:space="preserve">      EMBALAGENS</v>
      </c>
    </row>
    <row r="2347" spans="1:137" ht="15" customHeight="1" x14ac:dyDescent="0.3">
      <c r="A2347" s="19"/>
      <c r="B2347" s="21">
        <v>46128</v>
      </c>
      <c r="C2347" s="21" t="s">
        <v>15</v>
      </c>
      <c r="D2347" s="21" t="s">
        <v>111</v>
      </c>
      <c r="E2347" s="21"/>
      <c r="F2347" s="424" t="s">
        <v>917</v>
      </c>
      <c r="G2347" s="252">
        <v>38</v>
      </c>
      <c r="H2347" s="19"/>
      <c r="I2347" s="19">
        <f>COUNTIF(Tabela1[NF],Tabela1[[#This Row],[NF]])</f>
        <v>0</v>
      </c>
      <c r="J2347" s="22"/>
      <c r="K2347" s="21">
        <v>46128</v>
      </c>
      <c r="L2347" s="22"/>
      <c r="M2347" s="22"/>
      <c r="N2347" s="1" t="str" cm="1">
        <f t="array" ref="N2347">_xlfn.XLOOKUP(TRIM(D2347),TRIM(DFC!A:A),DFC!A:A,"NÃO ESTÁ NA DFC")</f>
        <v xml:space="preserve">          TX. BANCÁRIA</v>
      </c>
    </row>
    <row r="2348" spans="1:137" ht="15" customHeight="1" x14ac:dyDescent="0.3">
      <c r="A2348" s="19">
        <v>52684</v>
      </c>
      <c r="B2348" s="21">
        <v>46128</v>
      </c>
      <c r="C2348" s="21" t="s">
        <v>15</v>
      </c>
      <c r="D2348" s="21" t="s">
        <v>19</v>
      </c>
      <c r="E2348" s="21"/>
      <c r="F2348" s="424" t="s">
        <v>382</v>
      </c>
      <c r="G2348" s="252">
        <v>2800</v>
      </c>
      <c r="H2348" s="19"/>
      <c r="I2348" s="19">
        <f>COUNTIF(Tabela1[NF],Tabela1[[#This Row],[NF]])</f>
        <v>1</v>
      </c>
      <c r="J2348" s="22"/>
      <c r="K2348" s="21">
        <v>46128</v>
      </c>
      <c r="L2348" s="22"/>
      <c r="M2348" s="22">
        <v>9.99</v>
      </c>
      <c r="N2348" s="1" t="str" cm="1">
        <f t="array" ref="N2348">_xlfn.XLOOKUP(TRIM(D2348),TRIM(DFC!A:A),DFC!A:A,"NÃO ESTÁ NA DFC")</f>
        <v xml:space="preserve">      PEÇAS</v>
      </c>
    </row>
    <row r="2349" spans="1:137" ht="15" customHeight="1" x14ac:dyDescent="0.3">
      <c r="A2349" s="19">
        <v>341</v>
      </c>
      <c r="B2349" s="21">
        <v>46128</v>
      </c>
      <c r="C2349" s="21" t="s">
        <v>15</v>
      </c>
      <c r="D2349" s="21" t="s">
        <v>34</v>
      </c>
      <c r="E2349" s="21"/>
      <c r="F2349" s="424" t="s">
        <v>384</v>
      </c>
      <c r="G2349" s="252">
        <v>149.9</v>
      </c>
      <c r="H2349" s="19"/>
      <c r="I2349" s="19">
        <f>COUNTIF(Tabela1[NF],Tabela1[[#This Row],[NF]])</f>
        <v>2</v>
      </c>
      <c r="J2349" s="22"/>
      <c r="K2349" s="21">
        <v>46128</v>
      </c>
      <c r="L2349" s="22"/>
      <c r="M2349" s="22">
        <v>3.03</v>
      </c>
      <c r="N2349" s="1" t="str" cm="1">
        <f t="array" ref="N2349">_xlfn.XLOOKUP(TRIM(D2349),TRIM(DFC!A:A),DFC!A:A,"NÃO ESTÁ NA DFC")</f>
        <v xml:space="preserve">          INTERNET</v>
      </c>
    </row>
    <row r="2350" spans="1:137" ht="15" customHeight="1" x14ac:dyDescent="0.3">
      <c r="A2350" s="19">
        <v>28770</v>
      </c>
      <c r="B2350" s="21">
        <v>46128</v>
      </c>
      <c r="C2350" s="21" t="s">
        <v>15</v>
      </c>
      <c r="D2350" s="21" t="s">
        <v>19</v>
      </c>
      <c r="E2350" s="21"/>
      <c r="F2350" s="424" t="s">
        <v>433</v>
      </c>
      <c r="G2350" s="252">
        <v>3657.96</v>
      </c>
      <c r="H2350" s="19"/>
      <c r="I2350" s="19">
        <f>COUNTIF(Tabela1[NF],Tabela1[[#This Row],[NF]])</f>
        <v>2</v>
      </c>
      <c r="J2350" s="22"/>
      <c r="K2350" s="21">
        <v>46128</v>
      </c>
      <c r="L2350" s="22"/>
      <c r="M2350" s="22">
        <v>6.08</v>
      </c>
      <c r="N2350" s="1" t="str" cm="1">
        <f t="array" ref="N2350">_xlfn.XLOOKUP(TRIM(D2350),TRIM(DFC!A:A),DFC!A:A,"NÃO ESTÁ NA DFC")</f>
        <v xml:space="preserve">      PEÇAS</v>
      </c>
    </row>
    <row r="2351" spans="1:137" ht="15" customHeight="1" x14ac:dyDescent="0.3">
      <c r="A2351" s="19">
        <v>5493588</v>
      </c>
      <c r="B2351" s="21">
        <v>46128</v>
      </c>
      <c r="C2351" s="21" t="s">
        <v>15</v>
      </c>
      <c r="D2351" s="21" t="s">
        <v>29</v>
      </c>
      <c r="E2351" s="21"/>
      <c r="F2351" s="424" t="s">
        <v>420</v>
      </c>
      <c r="G2351" s="252">
        <v>893.24</v>
      </c>
      <c r="H2351" s="19"/>
      <c r="I2351" s="19">
        <f>COUNTIF(Tabela1[NF],Tabela1[[#This Row],[NF]])</f>
        <v>1</v>
      </c>
      <c r="J2351" s="22"/>
      <c r="K2351" s="21">
        <v>46128</v>
      </c>
      <c r="L2351" s="22"/>
      <c r="M2351" s="22">
        <v>3.37</v>
      </c>
      <c r="N2351" s="1" t="str" cm="1">
        <f t="array" ref="N2351">_xlfn.XLOOKUP(TRIM(D2351),TRIM(DFC!A:A),DFC!A:A,"NÃO ESTÁ NA DFC")</f>
        <v xml:space="preserve">      FRETE DE SAÍDA</v>
      </c>
    </row>
    <row r="2352" spans="1:137" ht="15" customHeight="1" x14ac:dyDescent="0.3">
      <c r="A2352" s="19"/>
      <c r="B2352" s="21">
        <v>46128</v>
      </c>
      <c r="C2352" s="21" t="s">
        <v>15</v>
      </c>
      <c r="D2352" s="21" t="s">
        <v>918</v>
      </c>
      <c r="E2352" s="21"/>
      <c r="F2352" s="424" t="s">
        <v>186</v>
      </c>
      <c r="G2352" s="252">
        <v>525</v>
      </c>
      <c r="H2352" s="19"/>
      <c r="I2352" s="19">
        <f>COUNTIF(Tabela1[NF],Tabela1[[#This Row],[NF]])</f>
        <v>0</v>
      </c>
      <c r="J2352" s="22"/>
      <c r="K2352" s="21">
        <v>46128</v>
      </c>
      <c r="L2352" s="22"/>
      <c r="M2352" s="22">
        <v>11.58</v>
      </c>
      <c r="N2352" s="1" t="str" cm="1">
        <f t="array" ref="N2352">_xlfn.XLOOKUP(TRIM(D2352),TRIM(DFC!A:A),DFC!A:A,"NÃO ESTÁ NA DFC")</f>
        <v xml:space="preserve">          DESP MEDICINA TRABALHO E CIPA</v>
      </c>
    </row>
    <row r="2353" spans="1:137" s="22" customFormat="1" ht="15" customHeight="1" x14ac:dyDescent="0.3">
      <c r="A2353" s="19">
        <v>121362</v>
      </c>
      <c r="B2353" s="21">
        <v>46128</v>
      </c>
      <c r="C2353" s="21" t="s">
        <v>15</v>
      </c>
      <c r="D2353" s="21" t="s">
        <v>225</v>
      </c>
      <c r="E2353" s="21"/>
      <c r="F2353" s="424" t="s">
        <v>226</v>
      </c>
      <c r="G2353" s="252">
        <v>4088.71</v>
      </c>
      <c r="H2353" s="19"/>
      <c r="I2353" s="19">
        <f>COUNTIF(Tabela1[NF],Tabela1[[#This Row],[NF]])</f>
        <v>1</v>
      </c>
      <c r="K2353" s="21">
        <v>46128</v>
      </c>
      <c r="M2353" s="22">
        <v>410.23</v>
      </c>
      <c r="N2353" s="1" t="str" cm="1">
        <f t="array" ref="N2353">_xlfn.XLOOKUP(TRIM(D2353),TRIM(DFC!A:A),DFC!A:A,"NÃO ESTÁ NA DFC")</f>
        <v xml:space="preserve">     ANYMARKET TAXAS</v>
      </c>
      <c r="O2353"/>
      <c r="P2353" s="303"/>
      <c r="Q2353" s="262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/>
      <c r="BV2353"/>
      <c r="BW2353"/>
      <c r="BX2353"/>
      <c r="BY2353"/>
      <c r="BZ2353"/>
      <c r="CA2353"/>
      <c r="CB2353"/>
      <c r="CC2353"/>
      <c r="CD2353"/>
      <c r="CE2353"/>
      <c r="CF2353"/>
      <c r="CG2353"/>
      <c r="CH2353"/>
      <c r="CI2353"/>
      <c r="CJ2353"/>
      <c r="CK2353"/>
      <c r="CL2353"/>
      <c r="CM2353"/>
      <c r="CN2353"/>
      <c r="CO2353"/>
      <c r="CP2353"/>
      <c r="CQ2353"/>
      <c r="CR2353"/>
      <c r="CS2353"/>
      <c r="CT2353"/>
      <c r="CU2353"/>
      <c r="CV2353"/>
      <c r="CW2353"/>
      <c r="CX2353"/>
      <c r="CY2353"/>
      <c r="CZ2353"/>
      <c r="DA2353"/>
      <c r="DB2353"/>
      <c r="DC2353"/>
      <c r="DD2353"/>
      <c r="DE2353"/>
      <c r="DF2353"/>
      <c r="DG2353"/>
      <c r="DH2353"/>
      <c r="DI2353"/>
      <c r="DJ2353"/>
      <c r="DK2353"/>
      <c r="DL2353"/>
      <c r="DM2353"/>
      <c r="DN2353"/>
      <c r="DO2353"/>
      <c r="DP2353"/>
      <c r="DQ2353"/>
      <c r="DR2353"/>
      <c r="DS2353"/>
      <c r="DT2353"/>
      <c r="DU2353"/>
      <c r="DV2353"/>
      <c r="DW2353"/>
      <c r="DX2353"/>
      <c r="DY2353"/>
      <c r="DZ2353"/>
      <c r="EA2353"/>
      <c r="EB2353"/>
      <c r="EC2353"/>
      <c r="ED2353"/>
      <c r="EE2353"/>
      <c r="EF2353"/>
      <c r="EG2353"/>
    </row>
    <row r="2354" spans="1:137" s="22" customFormat="1" ht="15" customHeight="1" x14ac:dyDescent="0.3">
      <c r="A2354" s="19"/>
      <c r="B2354" s="21">
        <v>46128</v>
      </c>
      <c r="C2354" s="21" t="s">
        <v>15</v>
      </c>
      <c r="D2354" s="84" t="s">
        <v>79</v>
      </c>
      <c r="E2354" s="21"/>
      <c r="F2354" s="22" t="s">
        <v>919</v>
      </c>
      <c r="G2354" s="252">
        <v>7000</v>
      </c>
      <c r="H2354" s="19"/>
      <c r="I2354" s="19">
        <f>COUNTIF(Tabela1[NF],Tabela1[[#This Row],[NF]])</f>
        <v>0</v>
      </c>
      <c r="K2354" s="21">
        <v>46128</v>
      </c>
      <c r="N2354" s="1" t="str" cm="1">
        <f t="array" ref="N2354">_xlfn.XLOOKUP(TRIM(D2354),TRIM(DFC!A:A),DFC!A:A,"NÃO ESTÁ NA DFC")</f>
        <v xml:space="preserve">     DESP DE MARKETING E PROPAGANDA</v>
      </c>
      <c r="O2354"/>
      <c r="P2354" s="303"/>
      <c r="Q2354" s="262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  <c r="BV2354"/>
      <c r="BW2354"/>
      <c r="BX2354"/>
      <c r="BY2354"/>
      <c r="BZ2354"/>
      <c r="CA2354"/>
      <c r="CB2354"/>
      <c r="CC2354"/>
      <c r="CD2354"/>
      <c r="CE2354"/>
      <c r="CF2354"/>
      <c r="CG2354"/>
      <c r="CH2354"/>
      <c r="CI2354"/>
      <c r="CJ2354"/>
      <c r="CK2354"/>
      <c r="CL2354"/>
      <c r="CM2354"/>
      <c r="CN2354"/>
      <c r="CO2354"/>
      <c r="CP2354"/>
      <c r="CQ2354"/>
      <c r="CR2354"/>
      <c r="CS2354"/>
      <c r="CT2354"/>
      <c r="CU2354"/>
      <c r="CV2354"/>
      <c r="CW2354"/>
      <c r="CX2354"/>
      <c r="CY2354"/>
      <c r="CZ2354"/>
      <c r="DA2354"/>
      <c r="DB2354"/>
      <c r="DC2354"/>
      <c r="DD2354"/>
      <c r="DE2354"/>
      <c r="DF2354"/>
      <c r="DG2354"/>
      <c r="DH2354"/>
      <c r="DI2354"/>
      <c r="DJ2354"/>
      <c r="DK2354"/>
      <c r="DL2354"/>
      <c r="DM2354"/>
      <c r="DN2354"/>
      <c r="DO2354"/>
      <c r="DP2354"/>
      <c r="DQ2354"/>
      <c r="DR2354"/>
      <c r="DS2354"/>
      <c r="DT2354"/>
      <c r="DU2354"/>
      <c r="DV2354"/>
      <c r="DW2354"/>
      <c r="DX2354"/>
      <c r="DY2354"/>
      <c r="DZ2354"/>
      <c r="EA2354"/>
      <c r="EB2354"/>
      <c r="EC2354"/>
      <c r="ED2354"/>
      <c r="EE2354"/>
      <c r="EF2354"/>
      <c r="EG2354"/>
    </row>
    <row r="2355" spans="1:137" s="22" customFormat="1" ht="15" customHeight="1" x14ac:dyDescent="0.3">
      <c r="A2355" s="19"/>
      <c r="B2355" s="21">
        <v>46128</v>
      </c>
      <c r="C2355" s="21" t="s">
        <v>15</v>
      </c>
      <c r="D2355" s="21" t="s">
        <v>79</v>
      </c>
      <c r="E2355" s="21"/>
      <c r="F2355" s="22" t="s">
        <v>920</v>
      </c>
      <c r="G2355" s="252">
        <v>315</v>
      </c>
      <c r="H2355" s="19"/>
      <c r="I2355" s="19">
        <f>COUNTIF(Tabela1[NF],Tabela1[[#This Row],[NF]])</f>
        <v>0</v>
      </c>
      <c r="K2355" s="21">
        <v>46128</v>
      </c>
      <c r="N2355" s="1" t="str" cm="1">
        <f t="array" ref="N2355">_xlfn.XLOOKUP(TRIM(D2355),TRIM(DFC!A:A),DFC!A:A,"NÃO ESTÁ NA DFC")</f>
        <v xml:space="preserve">     DESP DE MARKETING E PROPAGANDA</v>
      </c>
      <c r="O2355"/>
      <c r="P2355" s="303"/>
      <c r="Q2355" s="262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  <c r="BV2355"/>
      <c r="BW2355"/>
      <c r="BX2355"/>
      <c r="BY2355"/>
      <c r="BZ2355"/>
      <c r="CA2355"/>
      <c r="CB2355"/>
      <c r="CC2355"/>
      <c r="CD2355"/>
      <c r="CE2355"/>
      <c r="CF2355"/>
      <c r="CG2355"/>
      <c r="CH2355"/>
      <c r="CI2355"/>
      <c r="CJ2355"/>
      <c r="CK2355"/>
      <c r="CL2355"/>
      <c r="CM2355"/>
      <c r="CN2355"/>
      <c r="CO2355"/>
      <c r="CP2355"/>
      <c r="CQ2355"/>
      <c r="CR2355"/>
      <c r="CS2355"/>
      <c r="CT2355"/>
      <c r="CU2355"/>
      <c r="CV2355"/>
      <c r="CW2355"/>
      <c r="CX2355"/>
      <c r="CY2355"/>
      <c r="CZ2355"/>
      <c r="DA2355"/>
      <c r="DB2355"/>
      <c r="DC2355"/>
      <c r="DD2355"/>
      <c r="DE2355"/>
      <c r="DF2355"/>
      <c r="DG2355"/>
      <c r="DH2355"/>
      <c r="DI2355"/>
      <c r="DJ2355"/>
      <c r="DK2355"/>
      <c r="DL2355"/>
      <c r="DM2355"/>
      <c r="DN2355"/>
      <c r="DO2355"/>
      <c r="DP2355"/>
      <c r="DQ2355"/>
      <c r="DR2355"/>
      <c r="DS2355"/>
      <c r="DT2355"/>
      <c r="DU2355"/>
      <c r="DV2355"/>
      <c r="DW2355"/>
      <c r="DX2355"/>
      <c r="DY2355"/>
      <c r="DZ2355"/>
      <c r="EA2355"/>
      <c r="EB2355"/>
      <c r="EC2355"/>
      <c r="ED2355"/>
      <c r="EE2355"/>
      <c r="EF2355"/>
      <c r="EG2355"/>
    </row>
    <row r="2356" spans="1:137" s="22" customFormat="1" ht="15" customHeight="1" x14ac:dyDescent="0.3">
      <c r="A2356" s="19">
        <v>307680</v>
      </c>
      <c r="B2356" s="21">
        <v>46128</v>
      </c>
      <c r="C2356" s="21" t="s">
        <v>15</v>
      </c>
      <c r="D2356" s="21" t="s">
        <v>29</v>
      </c>
      <c r="E2356" s="21"/>
      <c r="F2356" s="22" t="s">
        <v>122</v>
      </c>
      <c r="G2356" s="252">
        <v>91.17</v>
      </c>
      <c r="H2356" s="19"/>
      <c r="I2356" s="19">
        <f>COUNTIF(Tabela1[NF],Tabela1[[#This Row],[NF]])</f>
        <v>1</v>
      </c>
      <c r="K2356" s="21">
        <v>46128</v>
      </c>
      <c r="N2356" s="1" t="str" cm="1">
        <f t="array" ref="N2356">_xlfn.XLOOKUP(TRIM(D2356),TRIM(DFC!A:A),DFC!A:A,"NÃO ESTÁ NA DFC")</f>
        <v xml:space="preserve">      FRETE DE SAÍDA</v>
      </c>
      <c r="O2356"/>
      <c r="P2356" s="303"/>
      <c r="Q2356" s="262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  <c r="BV2356"/>
      <c r="BW2356"/>
      <c r="BX2356"/>
      <c r="BY2356"/>
      <c r="BZ2356"/>
      <c r="CA2356"/>
      <c r="CB2356"/>
      <c r="CC2356"/>
      <c r="CD2356"/>
      <c r="CE2356"/>
      <c r="CF2356"/>
      <c r="CG2356"/>
      <c r="CH2356"/>
      <c r="CI2356"/>
      <c r="CJ2356"/>
      <c r="CK2356"/>
      <c r="CL2356"/>
      <c r="CM2356"/>
      <c r="CN2356"/>
      <c r="CO2356"/>
      <c r="CP2356"/>
      <c r="CQ2356"/>
      <c r="CR2356"/>
      <c r="CS2356"/>
      <c r="CT2356"/>
      <c r="CU2356"/>
      <c r="CV2356"/>
      <c r="CW2356"/>
      <c r="CX2356"/>
      <c r="CY2356"/>
      <c r="CZ2356"/>
      <c r="DA2356"/>
      <c r="DB2356"/>
      <c r="DC2356"/>
      <c r="DD2356"/>
      <c r="DE2356"/>
      <c r="DF2356"/>
      <c r="DG2356"/>
      <c r="DH2356"/>
      <c r="DI2356"/>
      <c r="DJ2356"/>
      <c r="DK2356"/>
      <c r="DL2356"/>
      <c r="DM2356"/>
      <c r="DN2356"/>
      <c r="DO2356"/>
      <c r="DP2356"/>
      <c r="DQ2356"/>
      <c r="DR2356"/>
      <c r="DS2356"/>
      <c r="DT2356"/>
      <c r="DU2356"/>
      <c r="DV2356"/>
      <c r="DW2356"/>
      <c r="DX2356"/>
      <c r="DY2356"/>
      <c r="DZ2356"/>
      <c r="EA2356"/>
      <c r="EB2356"/>
      <c r="EC2356"/>
      <c r="ED2356"/>
      <c r="EE2356"/>
      <c r="EF2356"/>
      <c r="EG2356"/>
    </row>
    <row r="2357" spans="1:137" s="22" customFormat="1" ht="15" customHeight="1" x14ac:dyDescent="0.3">
      <c r="A2357" s="19">
        <v>14101</v>
      </c>
      <c r="B2357" s="21">
        <v>46128</v>
      </c>
      <c r="C2357" s="21" t="s">
        <v>15</v>
      </c>
      <c r="D2357" s="21" t="s">
        <v>19</v>
      </c>
      <c r="E2357" s="21"/>
      <c r="F2357" s="22" t="s">
        <v>344</v>
      </c>
      <c r="G2357" s="252">
        <v>3200.64</v>
      </c>
      <c r="H2357" s="19"/>
      <c r="I2357" s="19">
        <f>COUNTIF(Tabela1[NF],Tabela1[[#This Row],[NF]])</f>
        <v>2</v>
      </c>
      <c r="K2357" s="21">
        <v>46128</v>
      </c>
      <c r="N2357" s="1" t="str" cm="1">
        <f t="array" ref="N2357">_xlfn.XLOOKUP(TRIM(D2357),TRIM(DFC!A:A),DFC!A:A,"NÃO ESTÁ NA DFC")</f>
        <v xml:space="preserve">      PEÇAS</v>
      </c>
      <c r="O2357"/>
      <c r="P2357" s="303"/>
      <c r="Q2357" s="262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/>
      <c r="BV2357"/>
      <c r="BW2357"/>
      <c r="BX2357"/>
      <c r="BY2357"/>
      <c r="BZ2357"/>
      <c r="CA2357"/>
      <c r="CB2357"/>
      <c r="CC2357"/>
      <c r="CD2357"/>
      <c r="CE2357"/>
      <c r="CF2357"/>
      <c r="CG2357"/>
      <c r="CH2357"/>
      <c r="CI2357"/>
      <c r="CJ2357"/>
      <c r="CK2357"/>
      <c r="CL2357"/>
      <c r="CM2357"/>
      <c r="CN2357"/>
      <c r="CO2357"/>
      <c r="CP2357"/>
      <c r="CQ2357"/>
      <c r="CR2357"/>
      <c r="CS2357"/>
      <c r="CT2357"/>
      <c r="CU2357"/>
      <c r="CV2357"/>
      <c r="CW2357"/>
      <c r="CX2357"/>
      <c r="CY2357"/>
      <c r="CZ2357"/>
      <c r="DA2357"/>
      <c r="DB2357"/>
      <c r="DC2357"/>
      <c r="DD2357"/>
      <c r="DE2357"/>
      <c r="DF2357"/>
      <c r="DG2357"/>
      <c r="DH2357"/>
      <c r="DI2357"/>
      <c r="DJ2357"/>
      <c r="DK2357"/>
      <c r="DL2357"/>
      <c r="DM2357"/>
      <c r="DN2357"/>
      <c r="DO2357"/>
      <c r="DP2357"/>
      <c r="DQ2357"/>
      <c r="DR2357"/>
      <c r="DS2357"/>
      <c r="DT2357"/>
      <c r="DU2357"/>
      <c r="DV2357"/>
      <c r="DW2357"/>
      <c r="DX2357"/>
      <c r="DY2357"/>
      <c r="DZ2357"/>
      <c r="EA2357"/>
      <c r="EB2357"/>
      <c r="EC2357"/>
      <c r="ED2357"/>
      <c r="EE2357"/>
      <c r="EF2357"/>
      <c r="EG2357"/>
    </row>
    <row r="2358" spans="1:137" s="22" customFormat="1" ht="15" customHeight="1" x14ac:dyDescent="0.3">
      <c r="A2358" s="19">
        <v>2916</v>
      </c>
      <c r="B2358" s="21">
        <v>46128</v>
      </c>
      <c r="C2358" s="21" t="s">
        <v>15</v>
      </c>
      <c r="D2358" s="21" t="s">
        <v>41</v>
      </c>
      <c r="E2358" s="21"/>
      <c r="F2358" s="22" t="s">
        <v>345</v>
      </c>
      <c r="G2358" s="252">
        <v>91.8</v>
      </c>
      <c r="H2358" s="19"/>
      <c r="I2358" s="19">
        <f>COUNTIF(Tabela1[NF],Tabela1[[#This Row],[NF]])</f>
        <v>1</v>
      </c>
      <c r="K2358" s="21">
        <v>46128</v>
      </c>
      <c r="N2358" s="1" t="str" cm="1">
        <f t="array" ref="N2358">_xlfn.XLOOKUP(TRIM(D2358),TRIM(DFC!A:A),DFC!A:A,"NÃO ESTÁ NA DFC")</f>
        <v xml:space="preserve">         T.I</v>
      </c>
      <c r="O2358"/>
      <c r="P2358" s="303"/>
      <c r="Q2358" s="262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/>
      <c r="BV2358"/>
      <c r="BW2358"/>
      <c r="BX2358"/>
      <c r="BY2358"/>
      <c r="BZ2358"/>
      <c r="CA2358"/>
      <c r="CB2358"/>
      <c r="CC2358"/>
      <c r="CD2358"/>
      <c r="CE2358"/>
      <c r="CF2358"/>
      <c r="CG2358"/>
      <c r="CH2358"/>
      <c r="CI2358"/>
      <c r="CJ2358"/>
      <c r="CK2358"/>
      <c r="CL2358"/>
      <c r="CM2358"/>
      <c r="CN2358"/>
      <c r="CO2358"/>
      <c r="CP2358"/>
      <c r="CQ2358"/>
      <c r="CR2358"/>
      <c r="CS2358"/>
      <c r="CT2358"/>
      <c r="CU2358"/>
      <c r="CV2358"/>
      <c r="CW2358"/>
      <c r="CX2358"/>
      <c r="CY2358"/>
      <c r="CZ2358"/>
      <c r="DA2358"/>
      <c r="DB2358"/>
      <c r="DC2358"/>
      <c r="DD2358"/>
      <c r="DE2358"/>
      <c r="DF2358"/>
      <c r="DG2358"/>
      <c r="DH2358"/>
      <c r="DI2358"/>
      <c r="DJ2358"/>
      <c r="DK2358"/>
      <c r="DL2358"/>
      <c r="DM2358"/>
      <c r="DN2358"/>
      <c r="DO2358"/>
      <c r="DP2358"/>
      <c r="DQ2358"/>
      <c r="DR2358"/>
      <c r="DS2358"/>
      <c r="DT2358"/>
      <c r="DU2358"/>
      <c r="DV2358"/>
      <c r="DW2358"/>
      <c r="DX2358"/>
      <c r="DY2358"/>
      <c r="DZ2358"/>
      <c r="EA2358"/>
      <c r="EB2358"/>
      <c r="EC2358"/>
      <c r="ED2358"/>
      <c r="EE2358"/>
      <c r="EF2358"/>
      <c r="EG2358"/>
    </row>
    <row r="2359" spans="1:137" s="22" customFormat="1" ht="15" customHeight="1" x14ac:dyDescent="0.3">
      <c r="A2359" s="19">
        <v>13241</v>
      </c>
      <c r="B2359" s="21">
        <v>46128</v>
      </c>
      <c r="C2359" s="21" t="s">
        <v>15</v>
      </c>
      <c r="D2359" s="21" t="s">
        <v>37</v>
      </c>
      <c r="E2359" s="21"/>
      <c r="F2359" s="22" t="s">
        <v>341</v>
      </c>
      <c r="G2359" s="252">
        <v>359.29</v>
      </c>
      <c r="H2359" s="19"/>
      <c r="I2359" s="19">
        <f>COUNTIF(Tabela1[NF],Tabela1[[#This Row],[NF]])</f>
        <v>2</v>
      </c>
      <c r="K2359" s="21">
        <v>46128</v>
      </c>
      <c r="N2359" s="1" t="str" cm="1">
        <f t="array" ref="N2359">_xlfn.XLOOKUP(TRIM(D2359),TRIM(DFC!A:A),DFC!A:A,"NÃO ESTÁ NA DFC")</f>
        <v xml:space="preserve">          MATERIAL DE ESCRITÓRIO</v>
      </c>
      <c r="O2359"/>
      <c r="P2359" s="303"/>
      <c r="Q2359" s="262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  <c r="BZ2359"/>
      <c r="CA2359"/>
      <c r="CB2359"/>
      <c r="CC2359"/>
      <c r="CD2359"/>
      <c r="CE2359"/>
      <c r="CF2359"/>
      <c r="CG2359"/>
      <c r="CH2359"/>
      <c r="CI2359"/>
      <c r="CJ2359"/>
      <c r="CK2359"/>
      <c r="CL2359"/>
      <c r="CM2359"/>
      <c r="CN2359"/>
      <c r="CO2359"/>
      <c r="CP2359"/>
      <c r="CQ2359"/>
      <c r="CR2359"/>
      <c r="CS2359"/>
      <c r="CT2359"/>
      <c r="CU2359"/>
      <c r="CV2359"/>
      <c r="CW2359"/>
      <c r="CX2359"/>
      <c r="CY2359"/>
      <c r="CZ2359"/>
      <c r="DA2359"/>
      <c r="DB2359"/>
      <c r="DC2359"/>
      <c r="DD2359"/>
      <c r="DE2359"/>
      <c r="DF2359"/>
      <c r="DG2359"/>
      <c r="DH2359"/>
      <c r="DI2359"/>
      <c r="DJ2359"/>
      <c r="DK2359"/>
      <c r="DL2359"/>
      <c r="DM2359"/>
      <c r="DN2359"/>
      <c r="DO2359"/>
      <c r="DP2359"/>
      <c r="DQ2359"/>
      <c r="DR2359"/>
      <c r="DS2359"/>
      <c r="DT2359"/>
      <c r="DU2359"/>
      <c r="DV2359"/>
      <c r="DW2359"/>
      <c r="DX2359"/>
      <c r="DY2359"/>
      <c r="DZ2359"/>
      <c r="EA2359"/>
      <c r="EB2359"/>
      <c r="EC2359"/>
      <c r="ED2359"/>
      <c r="EE2359"/>
      <c r="EF2359"/>
      <c r="EG2359"/>
    </row>
    <row r="2360" spans="1:137" s="22" customFormat="1" ht="15" customHeight="1" x14ac:dyDescent="0.3">
      <c r="A2360" s="19">
        <v>5550</v>
      </c>
      <c r="B2360" s="21">
        <v>46128</v>
      </c>
      <c r="C2360" s="21" t="s">
        <v>15</v>
      </c>
      <c r="D2360" s="21" t="s">
        <v>19</v>
      </c>
      <c r="E2360" s="21"/>
      <c r="F2360" s="22" t="s">
        <v>344</v>
      </c>
      <c r="G2360" s="252">
        <v>1888</v>
      </c>
      <c r="H2360" s="19"/>
      <c r="I2360" s="19">
        <f>COUNTIF(Tabela1[NF],Tabela1[[#This Row],[NF]])</f>
        <v>2</v>
      </c>
      <c r="K2360" s="21">
        <v>46128</v>
      </c>
      <c r="N2360" s="1" t="str" cm="1">
        <f t="array" ref="N2360">_xlfn.XLOOKUP(TRIM(D2360),TRIM(DFC!A:A),DFC!A:A,"NÃO ESTÁ NA DFC")</f>
        <v xml:space="preserve">      PEÇAS</v>
      </c>
      <c r="O2360"/>
      <c r="P2360" s="303"/>
      <c r="Q2360" s="262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  <c r="BZ2360"/>
      <c r="CA2360"/>
      <c r="CB2360"/>
      <c r="CC2360"/>
      <c r="CD2360"/>
      <c r="CE2360"/>
      <c r="CF2360"/>
      <c r="CG2360"/>
      <c r="CH2360"/>
      <c r="CI2360"/>
      <c r="CJ2360"/>
      <c r="CK2360"/>
      <c r="CL2360"/>
      <c r="CM2360"/>
      <c r="CN2360"/>
      <c r="CO2360"/>
      <c r="CP2360"/>
      <c r="CQ2360"/>
      <c r="CR2360"/>
      <c r="CS2360"/>
      <c r="CT2360"/>
      <c r="CU2360"/>
      <c r="CV2360"/>
      <c r="CW2360"/>
      <c r="CX2360"/>
      <c r="CY2360"/>
      <c r="CZ2360"/>
      <c r="DA2360"/>
      <c r="DB2360"/>
      <c r="DC2360"/>
      <c r="DD2360"/>
      <c r="DE2360"/>
      <c r="DF2360"/>
      <c r="DG2360"/>
      <c r="DH2360"/>
      <c r="DI2360"/>
      <c r="DJ2360"/>
      <c r="DK2360"/>
      <c r="DL2360"/>
      <c r="DM2360"/>
      <c r="DN2360"/>
      <c r="DO2360"/>
      <c r="DP2360"/>
      <c r="DQ2360"/>
      <c r="DR2360"/>
      <c r="DS2360"/>
      <c r="DT2360"/>
      <c r="DU2360"/>
      <c r="DV2360"/>
      <c r="DW2360"/>
      <c r="DX2360"/>
      <c r="DY2360"/>
      <c r="DZ2360"/>
      <c r="EA2360"/>
      <c r="EB2360"/>
      <c r="EC2360"/>
      <c r="ED2360"/>
      <c r="EE2360"/>
      <c r="EF2360"/>
      <c r="EG2360"/>
    </row>
    <row r="2361" spans="1:137" s="22" customFormat="1" ht="15" customHeight="1" x14ac:dyDescent="0.3">
      <c r="A2361" s="19">
        <v>7249</v>
      </c>
      <c r="B2361" s="21">
        <v>46128</v>
      </c>
      <c r="C2361" s="21" t="s">
        <v>15</v>
      </c>
      <c r="D2361" s="21" t="s">
        <v>29</v>
      </c>
      <c r="E2361" s="21"/>
      <c r="F2361" s="22" t="s">
        <v>548</v>
      </c>
      <c r="G2361" s="252">
        <v>22.27</v>
      </c>
      <c r="H2361" s="19"/>
      <c r="I2361" s="19">
        <f>COUNTIF(Tabela1[NF],Tabela1[[#This Row],[NF]])</f>
        <v>2</v>
      </c>
      <c r="K2361" s="21">
        <v>46128</v>
      </c>
      <c r="N2361" s="1" t="str" cm="1">
        <f t="array" ref="N2361">_xlfn.XLOOKUP(TRIM(D2361),TRIM(DFC!A:A),DFC!A:A,"NÃO ESTÁ NA DFC")</f>
        <v xml:space="preserve">      FRETE DE SAÍDA</v>
      </c>
      <c r="O2361"/>
      <c r="P2361" s="303"/>
      <c r="Q2361" s="262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  <c r="BZ2361"/>
      <c r="CA2361"/>
      <c r="CB2361"/>
      <c r="CC2361"/>
      <c r="CD2361"/>
      <c r="CE2361"/>
      <c r="CF2361"/>
      <c r="CG2361"/>
      <c r="CH2361"/>
      <c r="CI2361"/>
      <c r="CJ2361"/>
      <c r="CK2361"/>
      <c r="CL2361"/>
      <c r="CM2361"/>
      <c r="CN2361"/>
      <c r="CO2361"/>
      <c r="CP2361"/>
      <c r="CQ2361"/>
      <c r="CR2361"/>
      <c r="CS2361"/>
      <c r="CT2361"/>
      <c r="CU2361"/>
      <c r="CV2361"/>
      <c r="CW2361"/>
      <c r="CX2361"/>
      <c r="CY2361"/>
      <c r="CZ2361"/>
      <c r="DA2361"/>
      <c r="DB2361"/>
      <c r="DC2361"/>
      <c r="DD2361"/>
      <c r="DE2361"/>
      <c r="DF2361"/>
      <c r="DG2361"/>
      <c r="DH2361"/>
      <c r="DI2361"/>
      <c r="DJ2361"/>
      <c r="DK2361"/>
      <c r="DL2361"/>
      <c r="DM2361"/>
      <c r="DN2361"/>
      <c r="DO2361"/>
      <c r="DP2361"/>
      <c r="DQ2361"/>
      <c r="DR2361"/>
      <c r="DS2361"/>
      <c r="DT2361"/>
      <c r="DU2361"/>
      <c r="DV2361"/>
      <c r="DW2361"/>
      <c r="DX2361"/>
      <c r="DY2361"/>
      <c r="DZ2361"/>
      <c r="EA2361"/>
      <c r="EB2361"/>
      <c r="EC2361"/>
      <c r="ED2361"/>
      <c r="EE2361"/>
      <c r="EF2361"/>
      <c r="EG2361"/>
    </row>
    <row r="2362" spans="1:137" s="22" customFormat="1" ht="15" customHeight="1" x14ac:dyDescent="0.3">
      <c r="A2362" s="19">
        <v>166592</v>
      </c>
      <c r="B2362" s="21">
        <v>46128</v>
      </c>
      <c r="C2362" s="21" t="s">
        <v>15</v>
      </c>
      <c r="D2362" s="21" t="s">
        <v>19</v>
      </c>
      <c r="E2362" s="21"/>
      <c r="F2362" s="22" t="s">
        <v>228</v>
      </c>
      <c r="G2362" s="252">
        <v>3005.1</v>
      </c>
      <c r="H2362" s="19"/>
      <c r="I2362" s="19">
        <f>COUNTIF(Tabela1[NF],Tabela1[[#This Row],[NF]])</f>
        <v>1</v>
      </c>
      <c r="K2362" s="21">
        <v>46128</v>
      </c>
      <c r="N2362" s="1" t="str" cm="1">
        <f t="array" ref="N2362">_xlfn.XLOOKUP(TRIM(D2362),TRIM(DFC!A:A),DFC!A:A,"NÃO ESTÁ NA DFC")</f>
        <v xml:space="preserve">      PEÇAS</v>
      </c>
      <c r="O2362"/>
      <c r="P2362" s="303"/>
      <c r="Q2362" s="2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BZ2362"/>
      <c r="CA2362"/>
      <c r="CB2362"/>
      <c r="CC2362"/>
      <c r="CD2362"/>
      <c r="CE2362"/>
      <c r="CF2362"/>
      <c r="CG2362"/>
      <c r="CH2362"/>
      <c r="CI2362"/>
      <c r="CJ2362"/>
      <c r="CK2362"/>
      <c r="CL2362"/>
      <c r="CM2362"/>
      <c r="CN2362"/>
      <c r="CO2362"/>
      <c r="CP2362"/>
      <c r="CQ2362"/>
      <c r="CR2362"/>
      <c r="CS2362"/>
      <c r="CT2362"/>
      <c r="CU2362"/>
      <c r="CV2362"/>
      <c r="CW2362"/>
      <c r="CX2362"/>
      <c r="CY2362"/>
      <c r="CZ2362"/>
      <c r="DA2362"/>
      <c r="DB2362"/>
      <c r="DC2362"/>
      <c r="DD2362"/>
      <c r="DE2362"/>
      <c r="DF2362"/>
      <c r="DG2362"/>
      <c r="DH2362"/>
      <c r="DI2362"/>
      <c r="DJ2362"/>
      <c r="DK2362"/>
      <c r="DL2362"/>
      <c r="DM2362"/>
      <c r="DN2362"/>
      <c r="DO2362"/>
      <c r="DP2362"/>
      <c r="DQ2362"/>
      <c r="DR2362"/>
      <c r="DS2362"/>
      <c r="DT2362"/>
      <c r="DU2362"/>
      <c r="DV2362"/>
      <c r="DW2362"/>
      <c r="DX2362"/>
      <c r="DY2362"/>
      <c r="DZ2362"/>
      <c r="EA2362"/>
      <c r="EB2362"/>
      <c r="EC2362"/>
      <c r="ED2362"/>
      <c r="EE2362"/>
      <c r="EF2362"/>
      <c r="EG2362"/>
    </row>
    <row r="2363" spans="1:137" s="22" customFormat="1" ht="15" customHeight="1" x14ac:dyDescent="0.3">
      <c r="A2363" s="19">
        <v>14101</v>
      </c>
      <c r="B2363" s="21">
        <v>46128</v>
      </c>
      <c r="C2363" s="21" t="s">
        <v>15</v>
      </c>
      <c r="D2363" s="21" t="s">
        <v>19</v>
      </c>
      <c r="E2363" s="21"/>
      <c r="F2363" s="22" t="s">
        <v>340</v>
      </c>
      <c r="G2363" s="252">
        <v>3200.64</v>
      </c>
      <c r="H2363" s="19"/>
      <c r="I2363" s="19">
        <f>COUNTIF(Tabela1[NF],Tabela1[[#This Row],[NF]])</f>
        <v>2</v>
      </c>
      <c r="K2363" s="21">
        <v>46128</v>
      </c>
      <c r="N2363" s="1" t="str" cm="1">
        <f t="array" ref="N2363">_xlfn.XLOOKUP(TRIM(D2363),TRIM(DFC!A:A),DFC!A:A,"NÃO ESTÁ NA DFC")</f>
        <v xml:space="preserve">      PEÇAS</v>
      </c>
      <c r="O2363"/>
      <c r="P2363" s="303"/>
      <c r="Q2363" s="262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  <c r="BV2363"/>
      <c r="BW2363"/>
      <c r="BX2363"/>
      <c r="BY2363"/>
      <c r="BZ2363"/>
      <c r="CA2363"/>
      <c r="CB2363"/>
      <c r="CC2363"/>
      <c r="CD2363"/>
      <c r="CE2363"/>
      <c r="CF2363"/>
      <c r="CG2363"/>
      <c r="CH2363"/>
      <c r="CI2363"/>
      <c r="CJ2363"/>
      <c r="CK2363"/>
      <c r="CL2363"/>
      <c r="CM2363"/>
      <c r="CN2363"/>
      <c r="CO2363"/>
      <c r="CP2363"/>
      <c r="CQ2363"/>
      <c r="CR2363"/>
      <c r="CS2363"/>
      <c r="CT2363"/>
      <c r="CU2363"/>
      <c r="CV2363"/>
      <c r="CW2363"/>
      <c r="CX2363"/>
      <c r="CY2363"/>
      <c r="CZ2363"/>
      <c r="DA2363"/>
      <c r="DB2363"/>
      <c r="DC2363"/>
      <c r="DD2363"/>
      <c r="DE2363"/>
      <c r="DF2363"/>
      <c r="DG2363"/>
      <c r="DH2363"/>
      <c r="DI2363"/>
      <c r="DJ2363"/>
      <c r="DK2363"/>
      <c r="DL2363"/>
      <c r="DM2363"/>
      <c r="DN2363"/>
      <c r="DO2363"/>
      <c r="DP2363"/>
      <c r="DQ2363"/>
      <c r="DR2363"/>
      <c r="DS2363"/>
      <c r="DT2363"/>
      <c r="DU2363"/>
      <c r="DV2363"/>
      <c r="DW2363"/>
      <c r="DX2363"/>
      <c r="DY2363"/>
      <c r="DZ2363"/>
      <c r="EA2363"/>
      <c r="EB2363"/>
      <c r="EC2363"/>
      <c r="ED2363"/>
      <c r="EE2363"/>
      <c r="EF2363"/>
      <c r="EG2363"/>
    </row>
    <row r="2364" spans="1:137" s="22" customFormat="1" ht="15" customHeight="1" x14ac:dyDescent="0.3">
      <c r="A2364" s="19">
        <v>7249</v>
      </c>
      <c r="B2364" s="21">
        <v>46128</v>
      </c>
      <c r="C2364" s="21" t="s">
        <v>15</v>
      </c>
      <c r="D2364" s="21" t="s">
        <v>29</v>
      </c>
      <c r="E2364" s="21"/>
      <c r="F2364" s="22" t="s">
        <v>548</v>
      </c>
      <c r="G2364" s="252">
        <v>108.23</v>
      </c>
      <c r="H2364" s="19"/>
      <c r="I2364" s="19">
        <f>COUNTIF(Tabela1[NF],Tabela1[[#This Row],[NF]])</f>
        <v>2</v>
      </c>
      <c r="K2364" s="21">
        <v>46128</v>
      </c>
      <c r="N2364" s="1" t="str" cm="1">
        <f t="array" ref="N2364">_xlfn.XLOOKUP(TRIM(D2364),TRIM(DFC!A:A),DFC!A:A,"NÃO ESTÁ NA DFC")</f>
        <v xml:space="preserve">      FRETE DE SAÍDA</v>
      </c>
      <c r="O2364"/>
      <c r="P2364" s="303"/>
      <c r="Q2364" s="262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/>
      <c r="BV2364"/>
      <c r="BW2364"/>
      <c r="BX2364"/>
      <c r="BY2364"/>
      <c r="BZ2364"/>
      <c r="CA2364"/>
      <c r="CB2364"/>
      <c r="CC2364"/>
      <c r="CD2364"/>
      <c r="CE2364"/>
      <c r="CF2364"/>
      <c r="CG2364"/>
      <c r="CH2364"/>
      <c r="CI2364"/>
      <c r="CJ2364"/>
      <c r="CK2364"/>
      <c r="CL2364"/>
      <c r="CM2364"/>
      <c r="CN2364"/>
      <c r="CO2364"/>
      <c r="CP2364"/>
      <c r="CQ2364"/>
      <c r="CR2364"/>
      <c r="CS2364"/>
      <c r="CT2364"/>
      <c r="CU2364"/>
      <c r="CV2364"/>
      <c r="CW2364"/>
      <c r="CX2364"/>
      <c r="CY2364"/>
      <c r="CZ2364"/>
      <c r="DA2364"/>
      <c r="DB2364"/>
      <c r="DC2364"/>
      <c r="DD2364"/>
      <c r="DE2364"/>
      <c r="DF2364"/>
      <c r="DG2364"/>
      <c r="DH2364"/>
      <c r="DI2364"/>
      <c r="DJ2364"/>
      <c r="DK2364"/>
      <c r="DL2364"/>
      <c r="DM2364"/>
      <c r="DN2364"/>
      <c r="DO2364"/>
      <c r="DP2364"/>
      <c r="DQ2364"/>
      <c r="DR2364"/>
      <c r="DS2364"/>
      <c r="DT2364"/>
      <c r="DU2364"/>
      <c r="DV2364"/>
      <c r="DW2364"/>
      <c r="DX2364"/>
      <c r="DY2364"/>
      <c r="DZ2364"/>
      <c r="EA2364"/>
      <c r="EB2364"/>
      <c r="EC2364"/>
      <c r="ED2364"/>
      <c r="EE2364"/>
      <c r="EF2364"/>
      <c r="EG2364"/>
    </row>
    <row r="2365" spans="1:137" s="22" customFormat="1" ht="15" customHeight="1" x14ac:dyDescent="0.3">
      <c r="A2365" s="19">
        <v>5550</v>
      </c>
      <c r="B2365" s="21">
        <v>46128</v>
      </c>
      <c r="C2365" s="21" t="s">
        <v>15</v>
      </c>
      <c r="D2365" s="21" t="s">
        <v>19</v>
      </c>
      <c r="E2365" s="21"/>
      <c r="F2365" s="22" t="s">
        <v>340</v>
      </c>
      <c r="G2365" s="252">
        <v>5663.99</v>
      </c>
      <c r="H2365" s="19"/>
      <c r="I2365" s="19">
        <f>COUNTIF(Tabela1[NF],Tabela1[[#This Row],[NF]])</f>
        <v>2</v>
      </c>
      <c r="K2365" s="21">
        <v>46128</v>
      </c>
      <c r="N2365" s="1" t="str" cm="1">
        <f t="array" ref="N2365">_xlfn.XLOOKUP(TRIM(D2365),TRIM(DFC!A:A),DFC!A:A,"NÃO ESTÁ NA DFC")</f>
        <v xml:space="preserve">      PEÇAS</v>
      </c>
      <c r="O2365"/>
      <c r="P2365" s="303"/>
      <c r="Q2365" s="262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  <c r="BV2365"/>
      <c r="BW2365"/>
      <c r="BX2365"/>
      <c r="BY2365"/>
      <c r="BZ2365"/>
      <c r="CA2365"/>
      <c r="CB2365"/>
      <c r="CC2365"/>
      <c r="CD2365"/>
      <c r="CE2365"/>
      <c r="CF2365"/>
      <c r="CG2365"/>
      <c r="CH2365"/>
      <c r="CI2365"/>
      <c r="CJ2365"/>
      <c r="CK2365"/>
      <c r="CL2365"/>
      <c r="CM2365"/>
      <c r="CN2365"/>
      <c r="CO2365"/>
      <c r="CP2365"/>
      <c r="CQ2365"/>
      <c r="CR2365"/>
      <c r="CS2365"/>
      <c r="CT2365"/>
      <c r="CU2365"/>
      <c r="CV2365"/>
      <c r="CW2365"/>
      <c r="CX2365"/>
      <c r="CY2365"/>
      <c r="CZ2365"/>
      <c r="DA2365"/>
      <c r="DB2365"/>
      <c r="DC2365"/>
      <c r="DD2365"/>
      <c r="DE2365"/>
      <c r="DF2365"/>
      <c r="DG2365"/>
      <c r="DH2365"/>
      <c r="DI2365"/>
      <c r="DJ2365"/>
      <c r="DK2365"/>
      <c r="DL2365"/>
      <c r="DM2365"/>
      <c r="DN2365"/>
      <c r="DO2365"/>
      <c r="DP2365"/>
      <c r="DQ2365"/>
      <c r="DR2365"/>
      <c r="DS2365"/>
      <c r="DT2365"/>
      <c r="DU2365"/>
      <c r="DV2365"/>
      <c r="DW2365"/>
      <c r="DX2365"/>
      <c r="DY2365"/>
      <c r="DZ2365"/>
      <c r="EA2365"/>
      <c r="EB2365"/>
      <c r="EC2365"/>
      <c r="ED2365"/>
      <c r="EE2365"/>
      <c r="EF2365"/>
      <c r="EG2365"/>
    </row>
    <row r="2366" spans="1:137" s="22" customFormat="1" ht="15" customHeight="1" x14ac:dyDescent="0.3">
      <c r="A2366" s="19">
        <v>9485</v>
      </c>
      <c r="B2366" s="21">
        <v>46128</v>
      </c>
      <c r="C2366" s="21" t="s">
        <v>15</v>
      </c>
      <c r="D2366" s="21" t="s">
        <v>19</v>
      </c>
      <c r="E2366" s="21"/>
      <c r="F2366" s="22" t="s">
        <v>689</v>
      </c>
      <c r="G2366" s="252">
        <v>770</v>
      </c>
      <c r="H2366" s="19"/>
      <c r="I2366" s="19">
        <f>COUNTIF(Tabela1[NF],Tabela1[[#This Row],[NF]])</f>
        <v>1</v>
      </c>
      <c r="K2366" s="21">
        <v>46128</v>
      </c>
      <c r="N2366" s="1" t="str" cm="1">
        <f t="array" ref="N2366">_xlfn.XLOOKUP(TRIM(D2366),TRIM(DFC!A:A),DFC!A:A,"NÃO ESTÁ NA DFC")</f>
        <v xml:space="preserve">      PEÇAS</v>
      </c>
      <c r="O2366"/>
      <c r="P2366" s="303"/>
      <c r="Q2366" s="262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  <c r="BZ2366"/>
      <c r="CA2366"/>
      <c r="CB2366"/>
      <c r="CC2366"/>
      <c r="CD2366"/>
      <c r="CE2366"/>
      <c r="CF2366"/>
      <c r="CG2366"/>
      <c r="CH2366"/>
      <c r="CI2366"/>
      <c r="CJ2366"/>
      <c r="CK2366"/>
      <c r="CL2366"/>
      <c r="CM2366"/>
      <c r="CN2366"/>
      <c r="CO2366"/>
      <c r="CP2366"/>
      <c r="CQ2366"/>
      <c r="CR2366"/>
      <c r="CS2366"/>
      <c r="CT2366"/>
      <c r="CU2366"/>
      <c r="CV2366"/>
      <c r="CW2366"/>
      <c r="CX2366"/>
      <c r="CY2366"/>
      <c r="CZ2366"/>
      <c r="DA2366"/>
      <c r="DB2366"/>
      <c r="DC2366"/>
      <c r="DD2366"/>
      <c r="DE2366"/>
      <c r="DF2366"/>
      <c r="DG2366"/>
      <c r="DH2366"/>
      <c r="DI2366"/>
      <c r="DJ2366"/>
      <c r="DK2366"/>
      <c r="DL2366"/>
      <c r="DM2366"/>
      <c r="DN2366"/>
      <c r="DO2366"/>
      <c r="DP2366"/>
      <c r="DQ2366"/>
      <c r="DR2366"/>
      <c r="DS2366"/>
      <c r="DT2366"/>
      <c r="DU2366"/>
      <c r="DV2366"/>
      <c r="DW2366"/>
      <c r="DX2366"/>
      <c r="DY2366"/>
      <c r="DZ2366"/>
      <c r="EA2366"/>
      <c r="EB2366"/>
      <c r="EC2366"/>
      <c r="ED2366"/>
      <c r="EE2366"/>
      <c r="EF2366"/>
      <c r="EG2366"/>
    </row>
    <row r="2367" spans="1:137" s="22" customFormat="1" ht="15" customHeight="1" x14ac:dyDescent="0.3">
      <c r="A2367" s="19">
        <v>166137</v>
      </c>
      <c r="B2367" s="21">
        <v>46128</v>
      </c>
      <c r="C2367" s="21" t="s">
        <v>15</v>
      </c>
      <c r="D2367" s="21" t="s">
        <v>19</v>
      </c>
      <c r="E2367" s="21"/>
      <c r="F2367" s="22" t="s">
        <v>654</v>
      </c>
      <c r="G2367" s="252">
        <v>826.63</v>
      </c>
      <c r="H2367" s="19"/>
      <c r="I2367" s="19">
        <f>COUNTIF(Tabela1[NF],Tabela1[[#This Row],[NF]])</f>
        <v>1</v>
      </c>
      <c r="K2367" s="21">
        <v>46128</v>
      </c>
      <c r="N2367" s="1" t="str" cm="1">
        <f t="array" ref="N2367">_xlfn.XLOOKUP(TRIM(D2367),TRIM(DFC!A:A),DFC!A:A,"NÃO ESTÁ NA DFC")</f>
        <v xml:space="preserve">      PEÇAS</v>
      </c>
      <c r="O2367"/>
      <c r="P2367" s="303"/>
      <c r="Q2367" s="262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  <c r="BV2367"/>
      <c r="BW2367"/>
      <c r="BX2367"/>
      <c r="BY2367"/>
      <c r="BZ2367"/>
      <c r="CA2367"/>
      <c r="CB2367"/>
      <c r="CC2367"/>
      <c r="CD2367"/>
      <c r="CE2367"/>
      <c r="CF2367"/>
      <c r="CG2367"/>
      <c r="CH2367"/>
      <c r="CI2367"/>
      <c r="CJ2367"/>
      <c r="CK2367"/>
      <c r="CL2367"/>
      <c r="CM2367"/>
      <c r="CN2367"/>
      <c r="CO2367"/>
      <c r="CP2367"/>
      <c r="CQ2367"/>
      <c r="CR2367"/>
      <c r="CS2367"/>
      <c r="CT2367"/>
      <c r="CU2367"/>
      <c r="CV2367"/>
      <c r="CW2367"/>
      <c r="CX2367"/>
      <c r="CY2367"/>
      <c r="CZ2367"/>
      <c r="DA2367"/>
      <c r="DB2367"/>
      <c r="DC2367"/>
      <c r="DD2367"/>
      <c r="DE2367"/>
      <c r="DF2367"/>
      <c r="DG2367"/>
      <c r="DH2367"/>
      <c r="DI2367"/>
      <c r="DJ2367"/>
      <c r="DK2367"/>
      <c r="DL2367"/>
      <c r="DM2367"/>
      <c r="DN2367"/>
      <c r="DO2367"/>
      <c r="DP2367"/>
      <c r="DQ2367"/>
      <c r="DR2367"/>
      <c r="DS2367"/>
      <c r="DT2367"/>
      <c r="DU2367"/>
      <c r="DV2367"/>
      <c r="DW2367"/>
      <c r="DX2367"/>
      <c r="DY2367"/>
      <c r="DZ2367"/>
      <c r="EA2367"/>
      <c r="EB2367"/>
      <c r="EC2367"/>
      <c r="ED2367"/>
      <c r="EE2367"/>
      <c r="EF2367"/>
      <c r="EG2367"/>
    </row>
    <row r="2368" spans="1:137" s="22" customFormat="1" ht="15" customHeight="1" x14ac:dyDescent="0.3">
      <c r="A2368" s="19">
        <v>164721</v>
      </c>
      <c r="B2368" s="21">
        <v>46128</v>
      </c>
      <c r="C2368" s="21" t="s">
        <v>15</v>
      </c>
      <c r="D2368" s="21" t="s">
        <v>19</v>
      </c>
      <c r="E2368" s="21"/>
      <c r="F2368" s="22" t="s">
        <v>228</v>
      </c>
      <c r="G2368" s="252">
        <v>2911.3</v>
      </c>
      <c r="H2368" s="19"/>
      <c r="I2368" s="19">
        <f>COUNTIF(Tabela1[NF],Tabela1[[#This Row],[NF]])</f>
        <v>2</v>
      </c>
      <c r="K2368" s="21">
        <v>46128</v>
      </c>
      <c r="N2368" s="1" t="str" cm="1">
        <f t="array" ref="N2368">_xlfn.XLOOKUP(TRIM(D2368),TRIM(DFC!A:A),DFC!A:A,"NÃO ESTÁ NA DFC")</f>
        <v xml:space="preserve">      PEÇAS</v>
      </c>
      <c r="O2368"/>
      <c r="P2368" s="303"/>
      <c r="Q2368" s="262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/>
      <c r="BV2368"/>
      <c r="BW2368"/>
      <c r="BX2368"/>
      <c r="BY2368"/>
      <c r="BZ2368"/>
      <c r="CA2368"/>
      <c r="CB2368"/>
      <c r="CC2368"/>
      <c r="CD2368"/>
      <c r="CE2368"/>
      <c r="CF2368"/>
      <c r="CG2368"/>
      <c r="CH2368"/>
      <c r="CI2368"/>
      <c r="CJ2368"/>
      <c r="CK2368"/>
      <c r="CL2368"/>
      <c r="CM2368"/>
      <c r="CN2368"/>
      <c r="CO2368"/>
      <c r="CP2368"/>
      <c r="CQ2368"/>
      <c r="CR2368"/>
      <c r="CS2368"/>
      <c r="CT2368"/>
      <c r="CU2368"/>
      <c r="CV2368"/>
      <c r="CW2368"/>
      <c r="CX2368"/>
      <c r="CY2368"/>
      <c r="CZ2368"/>
      <c r="DA2368"/>
      <c r="DB2368"/>
      <c r="DC2368"/>
      <c r="DD2368"/>
      <c r="DE2368"/>
      <c r="DF2368"/>
      <c r="DG2368"/>
      <c r="DH2368"/>
      <c r="DI2368"/>
      <c r="DJ2368"/>
      <c r="DK2368"/>
      <c r="DL2368"/>
      <c r="DM2368"/>
      <c r="DN2368"/>
      <c r="DO2368"/>
      <c r="DP2368"/>
      <c r="DQ2368"/>
      <c r="DR2368"/>
      <c r="DS2368"/>
      <c r="DT2368"/>
      <c r="DU2368"/>
      <c r="DV2368"/>
      <c r="DW2368"/>
      <c r="DX2368"/>
      <c r="DY2368"/>
      <c r="DZ2368"/>
      <c r="EA2368"/>
      <c r="EB2368"/>
      <c r="EC2368"/>
      <c r="ED2368"/>
      <c r="EE2368"/>
      <c r="EF2368"/>
      <c r="EG2368"/>
    </row>
    <row r="2369" spans="1:137" s="22" customFormat="1" ht="15" customHeight="1" x14ac:dyDescent="0.3">
      <c r="A2369" s="19"/>
      <c r="B2369" s="21">
        <v>46128</v>
      </c>
      <c r="C2369" s="21" t="s">
        <v>15</v>
      </c>
      <c r="D2369" s="21" t="s">
        <v>60</v>
      </c>
      <c r="E2369" s="21" t="s">
        <v>734</v>
      </c>
      <c r="F2369" s="22" t="s">
        <v>602</v>
      </c>
      <c r="G2369" s="252">
        <v>13391.92</v>
      </c>
      <c r="H2369" s="19"/>
      <c r="I2369" s="19">
        <f>COUNTIF(Tabela1[NF],Tabela1[[#This Row],[NF]])</f>
        <v>0</v>
      </c>
      <c r="K2369" s="21">
        <v>46128</v>
      </c>
      <c r="N2369" s="1" t="str" cm="1">
        <f t="array" ref="N2369">_xlfn.XLOOKUP(TRIM(D2369),TRIM(DFC!A:A),DFC!A:A,"NÃO ESTÁ NA DFC")</f>
        <v xml:space="preserve">          ALUGUEL</v>
      </c>
      <c r="O2369"/>
      <c r="P2369" s="303"/>
      <c r="Q2369" s="262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/>
      <c r="BV2369"/>
      <c r="BW2369"/>
      <c r="BX2369"/>
      <c r="BY2369"/>
      <c r="BZ2369"/>
      <c r="CA2369"/>
      <c r="CB2369"/>
      <c r="CC2369"/>
      <c r="CD2369"/>
      <c r="CE2369"/>
      <c r="CF2369"/>
      <c r="CG2369"/>
      <c r="CH2369"/>
      <c r="CI2369"/>
      <c r="CJ2369"/>
      <c r="CK2369"/>
      <c r="CL2369"/>
      <c r="CM2369"/>
      <c r="CN2369"/>
      <c r="CO2369"/>
      <c r="CP2369"/>
      <c r="CQ2369"/>
      <c r="CR2369"/>
      <c r="CS2369"/>
      <c r="CT2369"/>
      <c r="CU2369"/>
      <c r="CV2369"/>
      <c r="CW2369"/>
      <c r="CX2369"/>
      <c r="CY2369"/>
      <c r="CZ2369"/>
      <c r="DA2369"/>
      <c r="DB2369"/>
      <c r="DC2369"/>
      <c r="DD2369"/>
      <c r="DE2369"/>
      <c r="DF2369"/>
      <c r="DG2369"/>
      <c r="DH2369"/>
      <c r="DI2369"/>
      <c r="DJ2369"/>
      <c r="DK2369"/>
      <c r="DL2369"/>
      <c r="DM2369"/>
      <c r="DN2369"/>
      <c r="DO2369"/>
      <c r="DP2369"/>
      <c r="DQ2369"/>
      <c r="DR2369"/>
      <c r="DS2369"/>
      <c r="DT2369"/>
      <c r="DU2369"/>
      <c r="DV2369"/>
      <c r="DW2369"/>
      <c r="DX2369"/>
      <c r="DY2369"/>
      <c r="DZ2369"/>
      <c r="EA2369"/>
      <c r="EB2369"/>
      <c r="EC2369"/>
      <c r="ED2369"/>
      <c r="EE2369"/>
      <c r="EF2369"/>
      <c r="EG2369"/>
    </row>
    <row r="2370" spans="1:137" ht="15" customHeight="1" x14ac:dyDescent="0.3">
      <c r="A2370" s="19"/>
      <c r="B2370" s="21">
        <v>46129</v>
      </c>
      <c r="C2370" s="21" t="s">
        <v>15</v>
      </c>
      <c r="D2370" s="21" t="s">
        <v>840</v>
      </c>
      <c r="E2370" s="21"/>
      <c r="F2370" s="22" t="s">
        <v>460</v>
      </c>
      <c r="G2370" s="252">
        <v>15000</v>
      </c>
      <c r="H2370" s="19"/>
      <c r="I2370" s="19">
        <f>COUNTIF(Tabela1[NF],Tabela1[[#This Row],[NF]])</f>
        <v>0</v>
      </c>
      <c r="J2370" s="22"/>
      <c r="K2370" s="21">
        <v>46129</v>
      </c>
      <c r="L2370" s="22"/>
      <c r="M2370" s="22"/>
      <c r="N2370" s="1" t="str" cm="1">
        <f t="array" ref="N2370">_xlfn.XLOOKUP(TRIM(D2370),TRIM(DFC!A:A),DFC!A:A,"NÃO ESTÁ NA DFC")</f>
        <v xml:space="preserve">      TRANSFERÊNCIA SICREDI PARA BRADESCO</v>
      </c>
    </row>
    <row r="2371" spans="1:137" ht="15" customHeight="1" x14ac:dyDescent="0.3">
      <c r="A2371" s="19"/>
      <c r="B2371" s="21">
        <v>46129</v>
      </c>
      <c r="C2371" s="21" t="s">
        <v>15</v>
      </c>
      <c r="D2371" s="21" t="s">
        <v>104</v>
      </c>
      <c r="E2371" s="21"/>
      <c r="F2371" s="22" t="s">
        <v>921</v>
      </c>
      <c r="G2371" s="252">
        <v>600</v>
      </c>
      <c r="H2371" s="19"/>
      <c r="I2371" s="19">
        <f>COUNTIF(Tabela1[NF],Tabela1[[#This Row],[NF]])</f>
        <v>0</v>
      </c>
      <c r="J2371" s="22"/>
      <c r="K2371" s="21">
        <v>46129</v>
      </c>
      <c r="L2371" s="22"/>
      <c r="M2371" s="22"/>
      <c r="N2371" s="1" t="str" cm="1">
        <f t="array" ref="N2371">_xlfn.XLOOKUP(TRIM(D2371),TRIM(DFC!A:A),DFC!A:A,"NÃO ESTÁ NA DFC")</f>
        <v xml:space="preserve">          OUTRAS DESPESAS ADMINISTRATIVAS</v>
      </c>
    </row>
    <row r="2372" spans="1:137" ht="15" customHeight="1" x14ac:dyDescent="0.3">
      <c r="A2372" s="19"/>
      <c r="B2372" s="21">
        <v>46129</v>
      </c>
      <c r="C2372" s="21" t="s">
        <v>15</v>
      </c>
      <c r="D2372" s="21" t="s">
        <v>79</v>
      </c>
      <c r="E2372" s="21"/>
      <c r="F2372" s="22" t="s">
        <v>920</v>
      </c>
      <c r="G2372" s="252">
        <v>3500</v>
      </c>
      <c r="H2372" s="19"/>
      <c r="I2372" s="19">
        <f>COUNTIF(Tabela1[NF],Tabela1[[#This Row],[NF]])</f>
        <v>0</v>
      </c>
      <c r="J2372" s="22"/>
      <c r="K2372" s="21">
        <v>46129</v>
      </c>
      <c r="L2372" s="22"/>
      <c r="M2372" s="22"/>
      <c r="N2372" s="1" t="str" cm="1">
        <f t="array" ref="N2372">_xlfn.XLOOKUP(TRIM(D2372),TRIM(DFC!A:A),DFC!A:A,"NÃO ESTÁ NA DFC")</f>
        <v xml:space="preserve">     DESP DE MARKETING E PROPAGANDA</v>
      </c>
    </row>
    <row r="2373" spans="1:137" ht="15" customHeight="1" x14ac:dyDescent="0.3">
      <c r="A2373" s="19">
        <v>100102</v>
      </c>
      <c r="B2373" s="21">
        <v>46129</v>
      </c>
      <c r="C2373" s="21" t="s">
        <v>15</v>
      </c>
      <c r="D2373" s="21" t="s">
        <v>731</v>
      </c>
      <c r="E2373" s="280" t="s">
        <v>519</v>
      </c>
      <c r="F2373" s="22" t="s">
        <v>811</v>
      </c>
      <c r="G2373" s="252">
        <v>92.14</v>
      </c>
      <c r="H2373" s="19"/>
      <c r="I2373" s="19">
        <f>COUNTIF(Tabela1[NF],Tabela1[[#This Row],[NF]])</f>
        <v>1</v>
      </c>
      <c r="J2373" s="22"/>
      <c r="K2373" s="21">
        <v>46129</v>
      </c>
      <c r="L2373" s="22"/>
      <c r="M2373" s="22"/>
      <c r="N2373" s="1" t="str" cm="1">
        <f t="array" ref="N2373">_xlfn.XLOOKUP(TRIM(D2373),TRIM(DFC!A:A),DFC!A:A,"NÃO ESTÁ NA DFC")</f>
        <v xml:space="preserve">     DIFAL</v>
      </c>
    </row>
    <row r="2374" spans="1:137" ht="15" customHeight="1" x14ac:dyDescent="0.3">
      <c r="A2374" s="19"/>
      <c r="B2374" s="21">
        <v>46129</v>
      </c>
      <c r="C2374" s="21" t="s">
        <v>15</v>
      </c>
      <c r="D2374" s="21" t="s">
        <v>82</v>
      </c>
      <c r="E2374" s="21"/>
      <c r="F2374" s="22" t="s">
        <v>905</v>
      </c>
      <c r="G2374" s="252">
        <v>606</v>
      </c>
      <c r="H2374" s="19"/>
      <c r="I2374" s="19">
        <f>COUNTIF(Tabela1[NF],Tabela1[[#This Row],[NF]])</f>
        <v>0</v>
      </c>
      <c r="J2374" s="22"/>
      <c r="K2374" s="21">
        <v>46129</v>
      </c>
      <c r="L2374" s="22"/>
      <c r="M2374" s="22"/>
      <c r="N2374" s="1" t="str" cm="1">
        <f t="array" ref="N2374">_xlfn.XLOOKUP(TRIM(D2374),TRIM(DFC!A:A),DFC!A:A,"NÃO ESTÁ NA DFC")</f>
        <v xml:space="preserve">          DIÁRIAS</v>
      </c>
    </row>
    <row r="2375" spans="1:137" ht="15" customHeight="1" x14ac:dyDescent="0.3">
      <c r="A2375" s="19"/>
      <c r="B2375" s="21">
        <v>46129</v>
      </c>
      <c r="C2375" s="21" t="s">
        <v>15</v>
      </c>
      <c r="D2375" s="21" t="s">
        <v>29</v>
      </c>
      <c r="E2375" s="21"/>
      <c r="F2375" s="22" t="s">
        <v>450</v>
      </c>
      <c r="G2375" s="252">
        <v>2000</v>
      </c>
      <c r="H2375" s="19"/>
      <c r="I2375" s="19">
        <f>COUNTIF(Tabela1[NF],Tabela1[[#This Row],[NF]])</f>
        <v>0</v>
      </c>
      <c r="J2375" s="22"/>
      <c r="K2375" s="21">
        <v>46129</v>
      </c>
      <c r="L2375" s="22"/>
      <c r="M2375" s="22"/>
      <c r="N2375" s="1" t="str" cm="1">
        <f t="array" ref="N2375">_xlfn.XLOOKUP(TRIM(D2375),TRIM(DFC!A:A),DFC!A:A,"NÃO ESTÁ NA DFC")</f>
        <v xml:space="preserve">      FRETE DE SAÍDA</v>
      </c>
    </row>
    <row r="2376" spans="1:137" ht="15" customHeight="1" x14ac:dyDescent="0.3">
      <c r="A2376" s="19"/>
      <c r="B2376" s="21">
        <v>46129</v>
      </c>
      <c r="C2376" s="21" t="s">
        <v>15</v>
      </c>
      <c r="D2376" s="21" t="s">
        <v>82</v>
      </c>
      <c r="E2376" s="21"/>
      <c r="F2376" s="22" t="s">
        <v>862</v>
      </c>
      <c r="G2376" s="252">
        <v>106.66</v>
      </c>
      <c r="H2376" s="19"/>
      <c r="I2376" s="19">
        <f>COUNTIF(Tabela1[NF],Tabela1[[#This Row],[NF]])</f>
        <v>0</v>
      </c>
      <c r="J2376" s="22"/>
      <c r="K2376" s="21">
        <v>46129</v>
      </c>
      <c r="L2376" s="22"/>
      <c r="M2376" s="22"/>
      <c r="N2376" s="1" t="str" cm="1">
        <f t="array" ref="N2376">_xlfn.XLOOKUP(TRIM(D2376),TRIM(DFC!A:A),DFC!A:A,"NÃO ESTÁ NA DFC")</f>
        <v xml:space="preserve">          DIÁRIAS</v>
      </c>
    </row>
    <row r="2377" spans="1:137" ht="15" customHeight="1" x14ac:dyDescent="0.3">
      <c r="A2377" s="19"/>
      <c r="B2377" s="21">
        <v>46129</v>
      </c>
      <c r="C2377" s="21" t="s">
        <v>15</v>
      </c>
      <c r="D2377" s="21" t="s">
        <v>29</v>
      </c>
      <c r="E2377" s="21"/>
      <c r="F2377" s="22" t="s">
        <v>295</v>
      </c>
      <c r="G2377" s="252">
        <v>225</v>
      </c>
      <c r="H2377" s="19"/>
      <c r="I2377" s="19">
        <f>COUNTIF(Tabela1[NF],Tabela1[[#This Row],[NF]])</f>
        <v>0</v>
      </c>
      <c r="J2377" s="22"/>
      <c r="K2377" s="21">
        <v>46129</v>
      </c>
      <c r="L2377" s="22"/>
      <c r="M2377" s="22"/>
      <c r="N2377" s="1" t="str" cm="1">
        <f t="array" ref="N2377">_xlfn.XLOOKUP(TRIM(D2377),TRIM(DFC!A:A),DFC!A:A,"NÃO ESTÁ NA DFC")</f>
        <v xml:space="preserve">      FRETE DE SAÍDA</v>
      </c>
    </row>
    <row r="2378" spans="1:137" ht="15" customHeight="1" x14ac:dyDescent="0.3">
      <c r="A2378" s="19"/>
      <c r="B2378" s="21">
        <v>46129</v>
      </c>
      <c r="C2378" s="21" t="s">
        <v>15</v>
      </c>
      <c r="D2378" s="21" t="s">
        <v>29</v>
      </c>
      <c r="E2378" s="21"/>
      <c r="F2378" s="22" t="s">
        <v>922</v>
      </c>
      <c r="G2378" s="252">
        <v>50</v>
      </c>
      <c r="H2378" s="19"/>
      <c r="I2378" s="19">
        <f>COUNTIF(Tabela1[NF],Tabela1[[#This Row],[NF]])</f>
        <v>0</v>
      </c>
      <c r="J2378" s="22"/>
      <c r="K2378" s="21">
        <v>46129</v>
      </c>
      <c r="L2378" s="22"/>
      <c r="M2378" s="22"/>
      <c r="N2378" s="1" t="str" cm="1">
        <f t="array" ref="N2378">_xlfn.XLOOKUP(TRIM(D2378),TRIM(DFC!A:A),DFC!A:A,"NÃO ESTÁ NA DFC")</f>
        <v xml:space="preserve">      FRETE DE SAÍDA</v>
      </c>
    </row>
    <row r="2379" spans="1:137" s="22" customFormat="1" ht="15" customHeight="1" x14ac:dyDescent="0.3">
      <c r="A2379" s="19"/>
      <c r="B2379" s="21">
        <v>46132</v>
      </c>
      <c r="C2379" s="21" t="s">
        <v>15</v>
      </c>
      <c r="D2379" s="21" t="s">
        <v>840</v>
      </c>
      <c r="E2379" s="21"/>
      <c r="F2379" s="22" t="s">
        <v>460</v>
      </c>
      <c r="G2379" s="252">
        <v>11000</v>
      </c>
      <c r="H2379" s="19"/>
      <c r="I2379" s="19">
        <f>COUNTIF(Tabela1[NF],Tabela1[[#This Row],[NF]])</f>
        <v>0</v>
      </c>
      <c r="K2379" s="21">
        <v>46132</v>
      </c>
      <c r="N2379" s="1" t="str" cm="1">
        <f t="array" ref="N2379">_xlfn.XLOOKUP(TRIM(D2379),TRIM(DFC!A:A),DFC!A:A,"NÃO ESTÁ NA DFC")</f>
        <v xml:space="preserve">      TRANSFERÊNCIA SICREDI PARA BRADESCO</v>
      </c>
      <c r="O2379"/>
      <c r="P2379" s="303"/>
      <c r="Q2379" s="262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/>
      <c r="BV2379"/>
      <c r="BW2379"/>
      <c r="BX2379"/>
      <c r="BY2379"/>
      <c r="BZ2379"/>
      <c r="CA2379"/>
      <c r="CB2379"/>
      <c r="CC2379"/>
      <c r="CD2379"/>
      <c r="CE2379"/>
      <c r="CF2379"/>
      <c r="CG2379"/>
      <c r="CH2379"/>
      <c r="CI2379"/>
      <c r="CJ2379"/>
      <c r="CK2379"/>
      <c r="CL2379"/>
      <c r="CM2379"/>
      <c r="CN2379"/>
      <c r="CO2379"/>
      <c r="CP2379"/>
      <c r="CQ2379"/>
      <c r="CR2379"/>
      <c r="CS2379"/>
      <c r="CT2379"/>
      <c r="CU2379"/>
      <c r="CV2379"/>
      <c r="CW2379"/>
      <c r="CX2379"/>
      <c r="CY2379"/>
      <c r="CZ2379"/>
      <c r="DA2379"/>
      <c r="DB2379"/>
      <c r="DC2379"/>
      <c r="DD2379"/>
      <c r="DE2379"/>
      <c r="DF2379"/>
      <c r="DG2379"/>
      <c r="DH2379"/>
      <c r="DI2379"/>
      <c r="DJ2379"/>
      <c r="DK2379"/>
      <c r="DL2379"/>
      <c r="DM2379"/>
      <c r="DN2379"/>
      <c r="DO2379"/>
      <c r="DP2379"/>
      <c r="DQ2379"/>
      <c r="DR2379"/>
      <c r="DS2379"/>
      <c r="DT2379"/>
      <c r="DU2379"/>
      <c r="DV2379"/>
      <c r="DW2379"/>
      <c r="DX2379"/>
      <c r="DY2379"/>
      <c r="DZ2379"/>
      <c r="EA2379"/>
      <c r="EB2379"/>
      <c r="EC2379"/>
      <c r="ED2379"/>
      <c r="EE2379"/>
      <c r="EF2379"/>
      <c r="EG2379"/>
    </row>
    <row r="2380" spans="1:137" s="22" customFormat="1" ht="15" customHeight="1" x14ac:dyDescent="0.3">
      <c r="A2380" s="19"/>
      <c r="B2380" s="21">
        <v>46132</v>
      </c>
      <c r="C2380" s="21" t="s">
        <v>15</v>
      </c>
      <c r="D2380" s="84" t="s">
        <v>475</v>
      </c>
      <c r="E2380" s="21" t="s">
        <v>923</v>
      </c>
      <c r="F2380" s="22" t="s">
        <v>924</v>
      </c>
      <c r="G2380" s="252">
        <v>434.3</v>
      </c>
      <c r="H2380" s="19"/>
      <c r="I2380" s="19">
        <f>COUNTIF(Tabela1[NF],Tabela1[[#This Row],[NF]])</f>
        <v>0</v>
      </c>
      <c r="K2380" s="21">
        <v>46132</v>
      </c>
      <c r="N2380" s="1" t="str" cm="1">
        <f t="array" ref="N2380">_xlfn.XLOOKUP(TRIM(D2380),TRIM(DFC!A:A),DFC!A:A,"NÃO ESTÁ NA DFC")</f>
        <v xml:space="preserve">          SEGURO DE VEICULOS</v>
      </c>
      <c r="O2380"/>
      <c r="P2380" s="303"/>
      <c r="Q2380" s="262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/>
      <c r="BV2380"/>
      <c r="BW2380"/>
      <c r="BX2380"/>
      <c r="BY2380"/>
      <c r="BZ2380"/>
      <c r="CA2380"/>
      <c r="CB2380"/>
      <c r="CC2380"/>
      <c r="CD2380"/>
      <c r="CE2380"/>
      <c r="CF2380"/>
      <c r="CG2380"/>
      <c r="CH2380"/>
      <c r="CI2380"/>
      <c r="CJ2380"/>
      <c r="CK2380"/>
      <c r="CL2380"/>
      <c r="CM2380"/>
      <c r="CN2380"/>
      <c r="CO2380"/>
      <c r="CP2380"/>
      <c r="CQ2380"/>
      <c r="CR2380"/>
      <c r="CS2380"/>
      <c r="CT2380"/>
      <c r="CU2380"/>
      <c r="CV2380"/>
      <c r="CW2380"/>
      <c r="CX2380"/>
      <c r="CY2380"/>
      <c r="CZ2380"/>
      <c r="DA2380"/>
      <c r="DB2380"/>
      <c r="DC2380"/>
      <c r="DD2380"/>
      <c r="DE2380"/>
      <c r="DF2380"/>
      <c r="DG2380"/>
      <c r="DH2380"/>
      <c r="DI2380"/>
      <c r="DJ2380"/>
      <c r="DK2380"/>
      <c r="DL2380"/>
      <c r="DM2380"/>
      <c r="DN2380"/>
      <c r="DO2380"/>
      <c r="DP2380"/>
      <c r="DQ2380"/>
      <c r="DR2380"/>
      <c r="DS2380"/>
      <c r="DT2380"/>
      <c r="DU2380"/>
      <c r="DV2380"/>
      <c r="DW2380"/>
      <c r="DX2380"/>
      <c r="DY2380"/>
      <c r="DZ2380"/>
      <c r="EA2380"/>
      <c r="EB2380"/>
      <c r="EC2380"/>
      <c r="ED2380"/>
      <c r="EE2380"/>
      <c r="EF2380"/>
      <c r="EG2380"/>
    </row>
    <row r="2381" spans="1:137" s="22" customFormat="1" ht="15" customHeight="1" x14ac:dyDescent="0.3">
      <c r="A2381" s="19"/>
      <c r="B2381" s="21">
        <v>46132</v>
      </c>
      <c r="C2381" s="21" t="s">
        <v>15</v>
      </c>
      <c r="D2381" s="21" t="s">
        <v>136</v>
      </c>
      <c r="E2381" s="21"/>
      <c r="F2381" s="22" t="s">
        <v>264</v>
      </c>
      <c r="G2381" s="252">
        <v>8227.7099999999991</v>
      </c>
      <c r="H2381" s="19"/>
      <c r="I2381" s="19">
        <f>COUNTIF(Tabela1[NF],Tabela1[[#This Row],[NF]])</f>
        <v>0</v>
      </c>
      <c r="K2381" s="21">
        <v>46132</v>
      </c>
      <c r="N2381" s="1" t="str" cm="1">
        <f t="array" ref="N2381">_xlfn.XLOOKUP(TRIM(D2381),TRIM(DFC!A:A),DFC!A:A,"NÃO ESTÁ NA DFC")</f>
        <v xml:space="preserve">      TERRENO LINHAM</v>
      </c>
      <c r="O2381"/>
      <c r="P2381" s="303"/>
      <c r="Q2381" s="262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/>
      <c r="BV2381"/>
      <c r="BW2381"/>
      <c r="BX2381"/>
      <c r="BY2381"/>
      <c r="BZ2381"/>
      <c r="CA2381"/>
      <c r="CB2381"/>
      <c r="CC2381"/>
      <c r="CD2381"/>
      <c r="CE2381"/>
      <c r="CF2381"/>
      <c r="CG2381"/>
      <c r="CH2381"/>
      <c r="CI2381"/>
      <c r="CJ2381"/>
      <c r="CK2381"/>
      <c r="CL2381"/>
      <c r="CM2381"/>
      <c r="CN2381"/>
      <c r="CO2381"/>
      <c r="CP2381"/>
      <c r="CQ2381"/>
      <c r="CR2381"/>
      <c r="CS2381"/>
      <c r="CT2381"/>
      <c r="CU2381"/>
      <c r="CV2381"/>
      <c r="CW2381"/>
      <c r="CX2381"/>
      <c r="CY2381"/>
      <c r="CZ2381"/>
      <c r="DA2381"/>
      <c r="DB2381"/>
      <c r="DC2381"/>
      <c r="DD2381"/>
      <c r="DE2381"/>
      <c r="DF2381"/>
      <c r="DG2381"/>
      <c r="DH2381"/>
      <c r="DI2381"/>
      <c r="DJ2381"/>
      <c r="DK2381"/>
      <c r="DL2381"/>
      <c r="DM2381"/>
      <c r="DN2381"/>
      <c r="DO2381"/>
      <c r="DP2381"/>
      <c r="DQ2381"/>
      <c r="DR2381"/>
      <c r="DS2381"/>
      <c r="DT2381"/>
      <c r="DU2381"/>
      <c r="DV2381"/>
      <c r="DW2381"/>
      <c r="DX2381"/>
      <c r="DY2381"/>
      <c r="DZ2381"/>
      <c r="EA2381"/>
      <c r="EB2381"/>
      <c r="EC2381"/>
      <c r="ED2381"/>
      <c r="EE2381"/>
      <c r="EF2381"/>
      <c r="EG2381"/>
    </row>
    <row r="2382" spans="1:137" s="22" customFormat="1" ht="15" customHeight="1" x14ac:dyDescent="0.3">
      <c r="A2382" s="19"/>
      <c r="B2382" s="21">
        <v>46132</v>
      </c>
      <c r="C2382" s="21" t="s">
        <v>15</v>
      </c>
      <c r="D2382" s="21" t="s">
        <v>246</v>
      </c>
      <c r="E2382" s="21"/>
      <c r="F2382" s="22" t="s">
        <v>696</v>
      </c>
      <c r="G2382" s="252">
        <v>903.07</v>
      </c>
      <c r="H2382" s="19"/>
      <c r="I2382" s="19">
        <f>COUNTIF(Tabela1[NF],Tabela1[[#This Row],[NF]])</f>
        <v>0</v>
      </c>
      <c r="K2382" s="21">
        <v>46132</v>
      </c>
      <c r="N2382" s="1" t="str" cm="1">
        <f t="array" ref="N2382">_xlfn.XLOOKUP(TRIM(D2382),TRIM(DFC!A:A),DFC!A:A,"NÃO ESTÁ NA DFC")</f>
        <v xml:space="preserve">          VALES</v>
      </c>
      <c r="O2382"/>
      <c r="P2382" s="303"/>
      <c r="Q2382" s="26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  <c r="BZ2382"/>
      <c r="CA2382"/>
      <c r="CB2382"/>
      <c r="CC2382"/>
      <c r="CD2382"/>
      <c r="CE2382"/>
      <c r="CF2382"/>
      <c r="CG2382"/>
      <c r="CH2382"/>
      <c r="CI2382"/>
      <c r="CJ2382"/>
      <c r="CK2382"/>
      <c r="CL2382"/>
      <c r="CM2382"/>
      <c r="CN2382"/>
      <c r="CO2382"/>
      <c r="CP2382"/>
      <c r="CQ2382"/>
      <c r="CR2382"/>
      <c r="CS2382"/>
      <c r="CT2382"/>
      <c r="CU2382"/>
      <c r="CV2382"/>
      <c r="CW2382"/>
      <c r="CX2382"/>
      <c r="CY2382"/>
      <c r="CZ2382"/>
      <c r="DA2382"/>
      <c r="DB2382"/>
      <c r="DC2382"/>
      <c r="DD2382"/>
      <c r="DE2382"/>
      <c r="DF2382"/>
      <c r="DG2382"/>
      <c r="DH2382"/>
      <c r="DI2382"/>
      <c r="DJ2382"/>
      <c r="DK2382"/>
      <c r="DL2382"/>
      <c r="DM2382"/>
      <c r="DN2382"/>
      <c r="DO2382"/>
      <c r="DP2382"/>
      <c r="DQ2382"/>
      <c r="DR2382"/>
      <c r="DS2382"/>
      <c r="DT2382"/>
      <c r="DU2382"/>
      <c r="DV2382"/>
      <c r="DW2382"/>
      <c r="DX2382"/>
      <c r="DY2382"/>
      <c r="DZ2382"/>
      <c r="EA2382"/>
      <c r="EB2382"/>
      <c r="EC2382"/>
      <c r="ED2382"/>
      <c r="EE2382"/>
      <c r="EF2382"/>
      <c r="EG2382"/>
    </row>
    <row r="2383" spans="1:137" s="22" customFormat="1" ht="15" customHeight="1" x14ac:dyDescent="0.3">
      <c r="A2383" s="19"/>
      <c r="B2383" s="21">
        <v>46132</v>
      </c>
      <c r="C2383" s="21" t="s">
        <v>15</v>
      </c>
      <c r="D2383" s="21" t="s">
        <v>246</v>
      </c>
      <c r="E2383" s="21"/>
      <c r="F2383" s="22" t="s">
        <v>319</v>
      </c>
      <c r="G2383" s="252">
        <v>1040</v>
      </c>
      <c r="H2383" s="19"/>
      <c r="I2383" s="19">
        <f>COUNTIF(Tabela1[NF],Tabela1[[#This Row],[NF]])</f>
        <v>0</v>
      </c>
      <c r="K2383" s="21">
        <v>46132</v>
      </c>
      <c r="N2383" s="1" t="str" cm="1">
        <f t="array" ref="N2383">_xlfn.XLOOKUP(TRIM(D2383),TRIM(DFC!A:A),DFC!A:A,"NÃO ESTÁ NA DFC")</f>
        <v xml:space="preserve">          VALES</v>
      </c>
      <c r="O2383"/>
      <c r="P2383" s="303"/>
      <c r="Q2383" s="262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  <c r="BV2383"/>
      <c r="BW2383"/>
      <c r="BX2383"/>
      <c r="BY2383"/>
      <c r="BZ2383"/>
      <c r="CA2383"/>
      <c r="CB2383"/>
      <c r="CC2383"/>
      <c r="CD2383"/>
      <c r="CE2383"/>
      <c r="CF2383"/>
      <c r="CG2383"/>
      <c r="CH2383"/>
      <c r="CI2383"/>
      <c r="CJ2383"/>
      <c r="CK2383"/>
      <c r="CL2383"/>
      <c r="CM2383"/>
      <c r="CN2383"/>
      <c r="CO2383"/>
      <c r="CP2383"/>
      <c r="CQ2383"/>
      <c r="CR2383"/>
      <c r="CS2383"/>
      <c r="CT2383"/>
      <c r="CU2383"/>
      <c r="CV2383"/>
      <c r="CW2383"/>
      <c r="CX2383"/>
      <c r="CY2383"/>
      <c r="CZ2383"/>
      <c r="DA2383"/>
      <c r="DB2383"/>
      <c r="DC2383"/>
      <c r="DD2383"/>
      <c r="DE2383"/>
      <c r="DF2383"/>
      <c r="DG2383"/>
      <c r="DH2383"/>
      <c r="DI2383"/>
      <c r="DJ2383"/>
      <c r="DK2383"/>
      <c r="DL2383"/>
      <c r="DM2383"/>
      <c r="DN2383"/>
      <c r="DO2383"/>
      <c r="DP2383"/>
      <c r="DQ2383"/>
      <c r="DR2383"/>
      <c r="DS2383"/>
      <c r="DT2383"/>
      <c r="DU2383"/>
      <c r="DV2383"/>
      <c r="DW2383"/>
      <c r="DX2383"/>
      <c r="DY2383"/>
      <c r="DZ2383"/>
      <c r="EA2383"/>
      <c r="EB2383"/>
      <c r="EC2383"/>
      <c r="ED2383"/>
      <c r="EE2383"/>
      <c r="EF2383"/>
      <c r="EG2383"/>
    </row>
    <row r="2384" spans="1:137" s="22" customFormat="1" ht="15" customHeight="1" x14ac:dyDescent="0.3">
      <c r="A2384" s="19"/>
      <c r="B2384" s="21">
        <v>46132</v>
      </c>
      <c r="C2384" s="21" t="s">
        <v>15</v>
      </c>
      <c r="D2384" s="21" t="s">
        <v>246</v>
      </c>
      <c r="E2384" s="21"/>
      <c r="F2384" s="22" t="s">
        <v>643</v>
      </c>
      <c r="G2384" s="252">
        <v>903.07</v>
      </c>
      <c r="H2384" s="19"/>
      <c r="I2384" s="19">
        <f>COUNTIF(Tabela1[NF],Tabela1[[#This Row],[NF]])</f>
        <v>0</v>
      </c>
      <c r="K2384" s="21">
        <v>46132</v>
      </c>
      <c r="N2384" s="1" t="str" cm="1">
        <f t="array" ref="N2384">_xlfn.XLOOKUP(TRIM(D2384),TRIM(DFC!A:A),DFC!A:A,"NÃO ESTÁ NA DFC")</f>
        <v xml:space="preserve">          VALES</v>
      </c>
      <c r="O2384"/>
      <c r="P2384" s="303"/>
      <c r="Q2384" s="262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/>
      <c r="BV2384"/>
      <c r="BW2384"/>
      <c r="BX2384"/>
      <c r="BY2384"/>
      <c r="BZ2384"/>
      <c r="CA2384"/>
      <c r="CB2384"/>
      <c r="CC2384"/>
      <c r="CD2384"/>
      <c r="CE2384"/>
      <c r="CF2384"/>
      <c r="CG2384"/>
      <c r="CH2384"/>
      <c r="CI2384"/>
      <c r="CJ2384"/>
      <c r="CK2384"/>
      <c r="CL2384"/>
      <c r="CM2384"/>
      <c r="CN2384"/>
      <c r="CO2384"/>
      <c r="CP2384"/>
      <c r="CQ2384"/>
      <c r="CR2384"/>
      <c r="CS2384"/>
      <c r="CT2384"/>
      <c r="CU2384"/>
      <c r="CV2384"/>
      <c r="CW2384"/>
      <c r="CX2384"/>
      <c r="CY2384"/>
      <c r="CZ2384"/>
      <c r="DA2384"/>
      <c r="DB2384"/>
      <c r="DC2384"/>
      <c r="DD2384"/>
      <c r="DE2384"/>
      <c r="DF2384"/>
      <c r="DG2384"/>
      <c r="DH2384"/>
      <c r="DI2384"/>
      <c r="DJ2384"/>
      <c r="DK2384"/>
      <c r="DL2384"/>
      <c r="DM2384"/>
      <c r="DN2384"/>
      <c r="DO2384"/>
      <c r="DP2384"/>
      <c r="DQ2384"/>
      <c r="DR2384"/>
      <c r="DS2384"/>
      <c r="DT2384"/>
      <c r="DU2384"/>
      <c r="DV2384"/>
      <c r="DW2384"/>
      <c r="DX2384"/>
      <c r="DY2384"/>
      <c r="DZ2384"/>
      <c r="EA2384"/>
      <c r="EB2384"/>
      <c r="EC2384"/>
      <c r="ED2384"/>
      <c r="EE2384"/>
      <c r="EF2384"/>
      <c r="EG2384"/>
    </row>
    <row r="2385" spans="1:137" s="22" customFormat="1" ht="15" customHeight="1" x14ac:dyDescent="0.3">
      <c r="A2385" s="19"/>
      <c r="B2385" s="21">
        <v>46132</v>
      </c>
      <c r="C2385" s="21" t="s">
        <v>15</v>
      </c>
      <c r="D2385" s="21" t="s">
        <v>246</v>
      </c>
      <c r="E2385" s="21"/>
      <c r="F2385" s="22" t="s">
        <v>441</v>
      </c>
      <c r="G2385" s="252">
        <v>903.07</v>
      </c>
      <c r="H2385" s="19"/>
      <c r="I2385" s="19">
        <f>COUNTIF(Tabela1[NF],Tabela1[[#This Row],[NF]])</f>
        <v>0</v>
      </c>
      <c r="K2385" s="21">
        <v>46132</v>
      </c>
      <c r="N2385" s="1" t="str" cm="1">
        <f t="array" ref="N2385">_xlfn.XLOOKUP(TRIM(D2385),TRIM(DFC!A:A),DFC!A:A,"NÃO ESTÁ NA DFC")</f>
        <v xml:space="preserve">          VALES</v>
      </c>
      <c r="O2385"/>
      <c r="P2385" s="303"/>
      <c r="Q2385" s="262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/>
      <c r="BV2385"/>
      <c r="BW2385"/>
      <c r="BX2385"/>
      <c r="BY2385"/>
      <c r="BZ2385"/>
      <c r="CA2385"/>
      <c r="CB2385"/>
      <c r="CC2385"/>
      <c r="CD2385"/>
      <c r="CE2385"/>
      <c r="CF2385"/>
      <c r="CG2385"/>
      <c r="CH2385"/>
      <c r="CI2385"/>
      <c r="CJ2385"/>
      <c r="CK2385"/>
      <c r="CL2385"/>
      <c r="CM2385"/>
      <c r="CN2385"/>
      <c r="CO2385"/>
      <c r="CP2385"/>
      <c r="CQ2385"/>
      <c r="CR2385"/>
      <c r="CS2385"/>
      <c r="CT2385"/>
      <c r="CU2385"/>
      <c r="CV2385"/>
      <c r="CW2385"/>
      <c r="CX2385"/>
      <c r="CY2385"/>
      <c r="CZ2385"/>
      <c r="DA2385"/>
      <c r="DB2385"/>
      <c r="DC2385"/>
      <c r="DD2385"/>
      <c r="DE2385"/>
      <c r="DF2385"/>
      <c r="DG2385"/>
      <c r="DH2385"/>
      <c r="DI2385"/>
      <c r="DJ2385"/>
      <c r="DK2385"/>
      <c r="DL2385"/>
      <c r="DM2385"/>
      <c r="DN2385"/>
      <c r="DO2385"/>
      <c r="DP2385"/>
      <c r="DQ2385"/>
      <c r="DR2385"/>
      <c r="DS2385"/>
      <c r="DT2385"/>
      <c r="DU2385"/>
      <c r="DV2385"/>
      <c r="DW2385"/>
      <c r="DX2385"/>
      <c r="DY2385"/>
      <c r="DZ2385"/>
      <c r="EA2385"/>
      <c r="EB2385"/>
      <c r="EC2385"/>
      <c r="ED2385"/>
      <c r="EE2385"/>
      <c r="EF2385"/>
      <c r="EG2385"/>
    </row>
    <row r="2386" spans="1:137" s="22" customFormat="1" ht="15" customHeight="1" x14ac:dyDescent="0.3">
      <c r="A2386" s="19"/>
      <c r="B2386" s="21">
        <v>46132</v>
      </c>
      <c r="C2386" s="21" t="s">
        <v>15</v>
      </c>
      <c r="D2386" s="21" t="s">
        <v>246</v>
      </c>
      <c r="E2386" s="21"/>
      <c r="F2386" s="22" t="s">
        <v>595</v>
      </c>
      <c r="G2386" s="252">
        <v>403.07</v>
      </c>
      <c r="H2386" s="19"/>
      <c r="I2386" s="19">
        <f>COUNTIF(Tabela1[NF],Tabela1[[#This Row],[NF]])</f>
        <v>0</v>
      </c>
      <c r="K2386" s="21">
        <v>46132</v>
      </c>
      <c r="N2386" s="1" t="str" cm="1">
        <f t="array" ref="N2386">_xlfn.XLOOKUP(TRIM(D2386),TRIM(DFC!A:A),DFC!A:A,"NÃO ESTÁ NA DFC")</f>
        <v xml:space="preserve">          VALES</v>
      </c>
      <c r="O2386"/>
      <c r="P2386" s="303"/>
      <c r="Q2386" s="262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  <c r="BZ2386"/>
      <c r="CA2386"/>
      <c r="CB2386"/>
      <c r="CC2386"/>
      <c r="CD2386"/>
      <c r="CE2386"/>
      <c r="CF2386"/>
      <c r="CG2386"/>
      <c r="CH2386"/>
      <c r="CI2386"/>
      <c r="CJ2386"/>
      <c r="CK2386"/>
      <c r="CL2386"/>
      <c r="CM2386"/>
      <c r="CN2386"/>
      <c r="CO2386"/>
      <c r="CP2386"/>
      <c r="CQ2386"/>
      <c r="CR2386"/>
      <c r="CS2386"/>
      <c r="CT2386"/>
      <c r="CU2386"/>
      <c r="CV2386"/>
      <c r="CW2386"/>
      <c r="CX2386"/>
      <c r="CY2386"/>
      <c r="CZ2386"/>
      <c r="DA2386"/>
      <c r="DB2386"/>
      <c r="DC2386"/>
      <c r="DD2386"/>
      <c r="DE2386"/>
      <c r="DF2386"/>
      <c r="DG2386"/>
      <c r="DH2386"/>
      <c r="DI2386"/>
      <c r="DJ2386"/>
      <c r="DK2386"/>
      <c r="DL2386"/>
      <c r="DM2386"/>
      <c r="DN2386"/>
      <c r="DO2386"/>
      <c r="DP2386"/>
      <c r="DQ2386"/>
      <c r="DR2386"/>
      <c r="DS2386"/>
      <c r="DT2386"/>
      <c r="DU2386"/>
      <c r="DV2386"/>
      <c r="DW2386"/>
      <c r="DX2386"/>
      <c r="DY2386"/>
      <c r="DZ2386"/>
      <c r="EA2386"/>
      <c r="EB2386"/>
      <c r="EC2386"/>
      <c r="ED2386"/>
      <c r="EE2386"/>
      <c r="EF2386"/>
      <c r="EG2386"/>
    </row>
    <row r="2387" spans="1:137" s="22" customFormat="1" ht="15" customHeight="1" x14ac:dyDescent="0.3">
      <c r="A2387" s="19"/>
      <c r="B2387" s="21">
        <v>46132</v>
      </c>
      <c r="C2387" s="21" t="s">
        <v>15</v>
      </c>
      <c r="D2387" s="21" t="s">
        <v>246</v>
      </c>
      <c r="E2387" s="21"/>
      <c r="F2387" s="22" t="s">
        <v>632</v>
      </c>
      <c r="G2387" s="252">
        <v>782.66</v>
      </c>
      <c r="H2387" s="19"/>
      <c r="I2387" s="19">
        <f>COUNTIF(Tabela1[NF],Tabela1[[#This Row],[NF]])</f>
        <v>0</v>
      </c>
      <c r="K2387" s="21">
        <v>46132</v>
      </c>
      <c r="N2387" s="1" t="str" cm="1">
        <f t="array" ref="N2387">_xlfn.XLOOKUP(TRIM(D2387),TRIM(DFC!A:A),DFC!A:A,"NÃO ESTÁ NA DFC")</f>
        <v xml:space="preserve">          VALES</v>
      </c>
      <c r="O2387"/>
      <c r="P2387" s="303"/>
      <c r="Q2387" s="262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  <c r="BZ2387"/>
      <c r="CA2387"/>
      <c r="CB2387"/>
      <c r="CC2387"/>
      <c r="CD2387"/>
      <c r="CE2387"/>
      <c r="CF2387"/>
      <c r="CG2387"/>
      <c r="CH2387"/>
      <c r="CI2387"/>
      <c r="CJ2387"/>
      <c r="CK2387"/>
      <c r="CL2387"/>
      <c r="CM2387"/>
      <c r="CN2387"/>
      <c r="CO2387"/>
      <c r="CP2387"/>
      <c r="CQ2387"/>
      <c r="CR2387"/>
      <c r="CS2387"/>
      <c r="CT2387"/>
      <c r="CU2387"/>
      <c r="CV2387"/>
      <c r="CW2387"/>
      <c r="CX2387"/>
      <c r="CY2387"/>
      <c r="CZ2387"/>
      <c r="DA2387"/>
      <c r="DB2387"/>
      <c r="DC2387"/>
      <c r="DD2387"/>
      <c r="DE2387"/>
      <c r="DF2387"/>
      <c r="DG2387"/>
      <c r="DH2387"/>
      <c r="DI2387"/>
      <c r="DJ2387"/>
      <c r="DK2387"/>
      <c r="DL2387"/>
      <c r="DM2387"/>
      <c r="DN2387"/>
      <c r="DO2387"/>
      <c r="DP2387"/>
      <c r="DQ2387"/>
      <c r="DR2387"/>
      <c r="DS2387"/>
      <c r="DT2387"/>
      <c r="DU2387"/>
      <c r="DV2387"/>
      <c r="DW2387"/>
      <c r="DX2387"/>
      <c r="DY2387"/>
      <c r="DZ2387"/>
      <c r="EA2387"/>
      <c r="EB2387"/>
      <c r="EC2387"/>
      <c r="ED2387"/>
      <c r="EE2387"/>
      <c r="EF2387"/>
      <c r="EG2387"/>
    </row>
    <row r="2388" spans="1:137" s="22" customFormat="1" ht="15" customHeight="1" x14ac:dyDescent="0.3">
      <c r="A2388" s="19"/>
      <c r="B2388" s="21">
        <v>46132</v>
      </c>
      <c r="C2388" s="21" t="s">
        <v>15</v>
      </c>
      <c r="D2388" s="21" t="s">
        <v>246</v>
      </c>
      <c r="E2388" s="21"/>
      <c r="F2388" s="22" t="s">
        <v>853</v>
      </c>
      <c r="G2388" s="252">
        <v>903.07</v>
      </c>
      <c r="H2388" s="19"/>
      <c r="I2388" s="19">
        <f>COUNTIF(Tabela1[NF],Tabela1[[#This Row],[NF]])</f>
        <v>0</v>
      </c>
      <c r="K2388" s="21">
        <v>46132</v>
      </c>
      <c r="N2388" s="1" t="str" cm="1">
        <f t="array" ref="N2388">_xlfn.XLOOKUP(TRIM(D2388),TRIM(DFC!A:A),DFC!A:A,"NÃO ESTÁ NA DFC")</f>
        <v xml:space="preserve">          VALES</v>
      </c>
      <c r="O2388"/>
      <c r="P2388" s="303"/>
      <c r="Q2388" s="262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  <c r="BZ2388"/>
      <c r="CA2388"/>
      <c r="CB2388"/>
      <c r="CC2388"/>
      <c r="CD2388"/>
      <c r="CE2388"/>
      <c r="CF2388"/>
      <c r="CG2388"/>
      <c r="CH2388"/>
      <c r="CI2388"/>
      <c r="CJ2388"/>
      <c r="CK2388"/>
      <c r="CL2388"/>
      <c r="CM2388"/>
      <c r="CN2388"/>
      <c r="CO2388"/>
      <c r="CP2388"/>
      <c r="CQ2388"/>
      <c r="CR2388"/>
      <c r="CS2388"/>
      <c r="CT2388"/>
      <c r="CU2388"/>
      <c r="CV2388"/>
      <c r="CW2388"/>
      <c r="CX2388"/>
      <c r="CY2388"/>
      <c r="CZ2388"/>
      <c r="DA2388"/>
      <c r="DB2388"/>
      <c r="DC2388"/>
      <c r="DD2388"/>
      <c r="DE2388"/>
      <c r="DF2388"/>
      <c r="DG2388"/>
      <c r="DH2388"/>
      <c r="DI2388"/>
      <c r="DJ2388"/>
      <c r="DK2388"/>
      <c r="DL2388"/>
      <c r="DM2388"/>
      <c r="DN2388"/>
      <c r="DO2388"/>
      <c r="DP2388"/>
      <c r="DQ2388"/>
      <c r="DR2388"/>
      <c r="DS2388"/>
      <c r="DT2388"/>
      <c r="DU2388"/>
      <c r="DV2388"/>
      <c r="DW2388"/>
      <c r="DX2388"/>
      <c r="DY2388"/>
      <c r="DZ2388"/>
      <c r="EA2388"/>
      <c r="EB2388"/>
      <c r="EC2388"/>
      <c r="ED2388"/>
      <c r="EE2388"/>
      <c r="EF2388"/>
      <c r="EG2388"/>
    </row>
    <row r="2389" spans="1:137" s="22" customFormat="1" ht="15" customHeight="1" x14ac:dyDescent="0.3">
      <c r="A2389" s="19"/>
      <c r="B2389" s="21">
        <v>46132</v>
      </c>
      <c r="C2389" s="21" t="s">
        <v>15</v>
      </c>
      <c r="D2389" s="21" t="s">
        <v>246</v>
      </c>
      <c r="E2389" s="21"/>
      <c r="F2389" s="22" t="s">
        <v>322</v>
      </c>
      <c r="G2389" s="252">
        <v>722.49</v>
      </c>
      <c r="H2389" s="19"/>
      <c r="I2389" s="19">
        <f>COUNTIF(Tabela1[NF],Tabela1[[#This Row],[NF]])</f>
        <v>0</v>
      </c>
      <c r="K2389" s="21">
        <v>46132</v>
      </c>
      <c r="N2389" s="1" t="str" cm="1">
        <f t="array" ref="N2389">_xlfn.XLOOKUP(TRIM(D2389),TRIM(DFC!A:A),DFC!A:A,"NÃO ESTÁ NA DFC")</f>
        <v xml:space="preserve">          VALES</v>
      </c>
      <c r="O2389"/>
      <c r="P2389" s="303"/>
      <c r="Q2389" s="262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  <c r="BV2389"/>
      <c r="BW2389"/>
      <c r="BX2389"/>
      <c r="BY2389"/>
      <c r="BZ2389"/>
      <c r="CA2389"/>
      <c r="CB2389"/>
      <c r="CC2389"/>
      <c r="CD2389"/>
      <c r="CE2389"/>
      <c r="CF2389"/>
      <c r="CG2389"/>
      <c r="CH2389"/>
      <c r="CI2389"/>
      <c r="CJ2389"/>
      <c r="CK2389"/>
      <c r="CL2389"/>
      <c r="CM2389"/>
      <c r="CN2389"/>
      <c r="CO2389"/>
      <c r="CP2389"/>
      <c r="CQ2389"/>
      <c r="CR2389"/>
      <c r="CS2389"/>
      <c r="CT2389"/>
      <c r="CU2389"/>
      <c r="CV2389"/>
      <c r="CW2389"/>
      <c r="CX2389"/>
      <c r="CY2389"/>
      <c r="CZ2389"/>
      <c r="DA2389"/>
      <c r="DB2389"/>
      <c r="DC2389"/>
      <c r="DD2389"/>
      <c r="DE2389"/>
      <c r="DF2389"/>
      <c r="DG2389"/>
      <c r="DH2389"/>
      <c r="DI2389"/>
      <c r="DJ2389"/>
      <c r="DK2389"/>
      <c r="DL2389"/>
      <c r="DM2389"/>
      <c r="DN2389"/>
      <c r="DO2389"/>
      <c r="DP2389"/>
      <c r="DQ2389"/>
      <c r="DR2389"/>
      <c r="DS2389"/>
      <c r="DT2389"/>
      <c r="DU2389"/>
      <c r="DV2389"/>
      <c r="DW2389"/>
      <c r="DX2389"/>
      <c r="DY2389"/>
      <c r="DZ2389"/>
      <c r="EA2389"/>
      <c r="EB2389"/>
      <c r="EC2389"/>
      <c r="ED2389"/>
      <c r="EE2389"/>
      <c r="EF2389"/>
      <c r="EG2389"/>
    </row>
    <row r="2390" spans="1:137" s="22" customFormat="1" ht="15" customHeight="1" x14ac:dyDescent="0.3">
      <c r="A2390" s="19"/>
      <c r="B2390" s="21">
        <v>46132</v>
      </c>
      <c r="C2390" s="21" t="s">
        <v>15</v>
      </c>
      <c r="D2390" s="21" t="s">
        <v>246</v>
      </c>
      <c r="E2390" s="21"/>
      <c r="F2390" s="22" t="s">
        <v>925</v>
      </c>
      <c r="G2390" s="252">
        <v>700.26</v>
      </c>
      <c r="H2390" s="19"/>
      <c r="I2390" s="19">
        <f>COUNTIF(Tabela1[NF],Tabela1[[#This Row],[NF]])</f>
        <v>0</v>
      </c>
      <c r="K2390" s="21">
        <v>46132</v>
      </c>
      <c r="N2390" s="1" t="str" cm="1">
        <f t="array" ref="N2390">_xlfn.XLOOKUP(TRIM(D2390),TRIM(DFC!A:A),DFC!A:A,"NÃO ESTÁ NA DFC")</f>
        <v xml:space="preserve">          VALES</v>
      </c>
      <c r="O2390"/>
      <c r="P2390" s="303"/>
      <c r="Q2390" s="262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/>
      <c r="BV2390"/>
      <c r="BW2390"/>
      <c r="BX2390"/>
      <c r="BY2390"/>
      <c r="BZ2390"/>
      <c r="CA2390"/>
      <c r="CB2390"/>
      <c r="CC2390"/>
      <c r="CD2390"/>
      <c r="CE2390"/>
      <c r="CF2390"/>
      <c r="CG2390"/>
      <c r="CH2390"/>
      <c r="CI2390"/>
      <c r="CJ2390"/>
      <c r="CK2390"/>
      <c r="CL2390"/>
      <c r="CM2390"/>
      <c r="CN2390"/>
      <c r="CO2390"/>
      <c r="CP2390"/>
      <c r="CQ2390"/>
      <c r="CR2390"/>
      <c r="CS2390"/>
      <c r="CT2390"/>
      <c r="CU2390"/>
      <c r="CV2390"/>
      <c r="CW2390"/>
      <c r="CX2390"/>
      <c r="CY2390"/>
      <c r="CZ2390"/>
      <c r="DA2390"/>
      <c r="DB2390"/>
      <c r="DC2390"/>
      <c r="DD2390"/>
      <c r="DE2390"/>
      <c r="DF2390"/>
      <c r="DG2390"/>
      <c r="DH2390"/>
      <c r="DI2390"/>
      <c r="DJ2390"/>
      <c r="DK2390"/>
      <c r="DL2390"/>
      <c r="DM2390"/>
      <c r="DN2390"/>
      <c r="DO2390"/>
      <c r="DP2390"/>
      <c r="DQ2390"/>
      <c r="DR2390"/>
      <c r="DS2390"/>
      <c r="DT2390"/>
      <c r="DU2390"/>
      <c r="DV2390"/>
      <c r="DW2390"/>
      <c r="DX2390"/>
      <c r="DY2390"/>
      <c r="DZ2390"/>
      <c r="EA2390"/>
      <c r="EB2390"/>
      <c r="EC2390"/>
      <c r="ED2390"/>
      <c r="EE2390"/>
      <c r="EF2390"/>
      <c r="EG2390"/>
    </row>
    <row r="2391" spans="1:137" s="22" customFormat="1" ht="15" customHeight="1" x14ac:dyDescent="0.3">
      <c r="A2391" s="19"/>
      <c r="B2391" s="21">
        <v>46132</v>
      </c>
      <c r="C2391" s="21" t="s">
        <v>15</v>
      </c>
      <c r="D2391" s="21" t="s">
        <v>18</v>
      </c>
      <c r="E2391" s="21"/>
      <c r="F2391" s="22" t="s">
        <v>460</v>
      </c>
      <c r="G2391" s="252">
        <v>1800</v>
      </c>
      <c r="H2391" s="19"/>
      <c r="I2391" s="19">
        <f>COUNTIF(Tabela1[NF],Tabela1[[#This Row],[NF]])</f>
        <v>0</v>
      </c>
      <c r="K2391" s="21">
        <v>46132</v>
      </c>
      <c r="N2391" s="1" t="str" cm="1">
        <f t="array" ref="N2391">_xlfn.XLOOKUP(TRIM(D2391),TRIM(DFC!A:A),DFC!A:A,"NÃO ESTÁ NA DFC")</f>
        <v xml:space="preserve">     COMISSÕES E TAXAS DOS MARKETPLACES</v>
      </c>
      <c r="O2391"/>
      <c r="P2391" s="303"/>
      <c r="Q2391" s="262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  <c r="BV2391"/>
      <c r="BW2391"/>
      <c r="BX2391"/>
      <c r="BY2391"/>
      <c r="BZ2391"/>
      <c r="CA2391"/>
      <c r="CB2391"/>
      <c r="CC2391"/>
      <c r="CD2391"/>
      <c r="CE2391"/>
      <c r="CF2391"/>
      <c r="CG2391"/>
      <c r="CH2391"/>
      <c r="CI2391"/>
      <c r="CJ2391"/>
      <c r="CK2391"/>
      <c r="CL2391"/>
      <c r="CM2391"/>
      <c r="CN2391"/>
      <c r="CO2391"/>
      <c r="CP2391"/>
      <c r="CQ2391"/>
      <c r="CR2391"/>
      <c r="CS2391"/>
      <c r="CT2391"/>
      <c r="CU2391"/>
      <c r="CV2391"/>
      <c r="CW2391"/>
      <c r="CX2391"/>
      <c r="CY2391"/>
      <c r="CZ2391"/>
      <c r="DA2391"/>
      <c r="DB2391"/>
      <c r="DC2391"/>
      <c r="DD2391"/>
      <c r="DE2391"/>
      <c r="DF2391"/>
      <c r="DG2391"/>
      <c r="DH2391"/>
      <c r="DI2391"/>
      <c r="DJ2391"/>
      <c r="DK2391"/>
      <c r="DL2391"/>
      <c r="DM2391"/>
      <c r="DN2391"/>
      <c r="DO2391"/>
      <c r="DP2391"/>
      <c r="DQ2391"/>
      <c r="DR2391"/>
      <c r="DS2391"/>
      <c r="DT2391"/>
      <c r="DU2391"/>
      <c r="DV2391"/>
      <c r="DW2391"/>
      <c r="DX2391"/>
      <c r="DY2391"/>
      <c r="DZ2391"/>
      <c r="EA2391"/>
      <c r="EB2391"/>
      <c r="EC2391"/>
      <c r="ED2391"/>
      <c r="EE2391"/>
      <c r="EF2391"/>
      <c r="EG2391"/>
    </row>
    <row r="2392" spans="1:137" s="22" customFormat="1" ht="15" customHeight="1" x14ac:dyDescent="0.3">
      <c r="A2392" s="19"/>
      <c r="B2392" s="21">
        <v>46132</v>
      </c>
      <c r="C2392" s="21" t="s">
        <v>15</v>
      </c>
      <c r="D2392" s="21" t="s">
        <v>98</v>
      </c>
      <c r="E2392" s="21"/>
      <c r="F2392" s="22" t="s">
        <v>926</v>
      </c>
      <c r="G2392" s="252">
        <v>40</v>
      </c>
      <c r="H2392" s="19"/>
      <c r="I2392" s="19">
        <f>COUNTIF(Tabela1[NF],Tabela1[[#This Row],[NF]])</f>
        <v>0</v>
      </c>
      <c r="K2392" s="21">
        <v>46132</v>
      </c>
      <c r="N2392" s="1" t="str" cm="1">
        <f t="array" ref="N2392">_xlfn.XLOOKUP(TRIM(D2392),TRIM(DFC!A:A),DFC!A:A,"NÃO ESTÁ NA DFC")</f>
        <v xml:space="preserve">     REEMBOLSO SAC</v>
      </c>
      <c r="O2392"/>
      <c r="P2392" s="303"/>
      <c r="Q2392" s="26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  <c r="BZ2392"/>
      <c r="CA2392"/>
      <c r="CB2392"/>
      <c r="CC2392"/>
      <c r="CD2392"/>
      <c r="CE2392"/>
      <c r="CF2392"/>
      <c r="CG2392"/>
      <c r="CH2392"/>
      <c r="CI2392"/>
      <c r="CJ2392"/>
      <c r="CK2392"/>
      <c r="CL2392"/>
      <c r="CM2392"/>
      <c r="CN2392"/>
      <c r="CO2392"/>
      <c r="CP2392"/>
      <c r="CQ2392"/>
      <c r="CR2392"/>
      <c r="CS2392"/>
      <c r="CT2392"/>
      <c r="CU2392"/>
      <c r="CV2392"/>
      <c r="CW2392"/>
      <c r="CX2392"/>
      <c r="CY2392"/>
      <c r="CZ2392"/>
      <c r="DA2392"/>
      <c r="DB2392"/>
      <c r="DC2392"/>
      <c r="DD2392"/>
      <c r="DE2392"/>
      <c r="DF2392"/>
      <c r="DG2392"/>
      <c r="DH2392"/>
      <c r="DI2392"/>
      <c r="DJ2392"/>
      <c r="DK2392"/>
      <c r="DL2392"/>
      <c r="DM2392"/>
      <c r="DN2392"/>
      <c r="DO2392"/>
      <c r="DP2392"/>
      <c r="DQ2392"/>
      <c r="DR2392"/>
      <c r="DS2392"/>
      <c r="DT2392"/>
      <c r="DU2392"/>
      <c r="DV2392"/>
      <c r="DW2392"/>
      <c r="DX2392"/>
      <c r="DY2392"/>
      <c r="DZ2392"/>
      <c r="EA2392"/>
      <c r="EB2392"/>
      <c r="EC2392"/>
      <c r="ED2392"/>
      <c r="EE2392"/>
      <c r="EF2392"/>
      <c r="EG2392"/>
    </row>
    <row r="2393" spans="1:137" s="22" customFormat="1" ht="15" customHeight="1" x14ac:dyDescent="0.3">
      <c r="A2393" s="19"/>
      <c r="B2393" s="21">
        <v>46132</v>
      </c>
      <c r="C2393" s="21" t="s">
        <v>15</v>
      </c>
      <c r="D2393" s="21" t="s">
        <v>86</v>
      </c>
      <c r="E2393" s="280" t="s">
        <v>519</v>
      </c>
      <c r="F2393" s="22" t="s">
        <v>399</v>
      </c>
      <c r="G2393" s="252">
        <v>2689.59</v>
      </c>
      <c r="H2393" s="19"/>
      <c r="I2393" s="19">
        <f>COUNTIF(Tabela1[NF],Tabela1[[#This Row],[NF]])</f>
        <v>0</v>
      </c>
      <c r="K2393" s="21">
        <v>46132</v>
      </c>
      <c r="N2393" s="1" t="str" cm="1">
        <f t="array" ref="N2393">_xlfn.XLOOKUP(TRIM(D2393),TRIM(DFC!A:A),DFC!A:A,"NÃO ESTÁ NA DFC")</f>
        <v xml:space="preserve">          FGTS</v>
      </c>
      <c r="O2393"/>
      <c r="P2393" s="303"/>
      <c r="Q2393" s="262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  <c r="BZ2393"/>
      <c r="CA2393"/>
      <c r="CB2393"/>
      <c r="CC2393"/>
      <c r="CD2393"/>
      <c r="CE2393"/>
      <c r="CF2393"/>
      <c r="CG2393"/>
      <c r="CH2393"/>
      <c r="CI2393"/>
      <c r="CJ2393"/>
      <c r="CK2393"/>
      <c r="CL2393"/>
      <c r="CM2393"/>
      <c r="CN2393"/>
      <c r="CO2393"/>
      <c r="CP2393"/>
      <c r="CQ2393"/>
      <c r="CR2393"/>
      <c r="CS2393"/>
      <c r="CT2393"/>
      <c r="CU2393"/>
      <c r="CV2393"/>
      <c r="CW2393"/>
      <c r="CX2393"/>
      <c r="CY2393"/>
      <c r="CZ2393"/>
      <c r="DA2393"/>
      <c r="DB2393"/>
      <c r="DC2393"/>
      <c r="DD2393"/>
      <c r="DE2393"/>
      <c r="DF2393"/>
      <c r="DG2393"/>
      <c r="DH2393"/>
      <c r="DI2393"/>
      <c r="DJ2393"/>
      <c r="DK2393"/>
      <c r="DL2393"/>
      <c r="DM2393"/>
      <c r="DN2393"/>
      <c r="DO2393"/>
      <c r="DP2393"/>
      <c r="DQ2393"/>
      <c r="DR2393"/>
      <c r="DS2393"/>
      <c r="DT2393"/>
      <c r="DU2393"/>
      <c r="DV2393"/>
      <c r="DW2393"/>
      <c r="DX2393"/>
      <c r="DY2393"/>
      <c r="DZ2393"/>
      <c r="EA2393"/>
      <c r="EB2393"/>
      <c r="EC2393"/>
      <c r="ED2393"/>
      <c r="EE2393"/>
      <c r="EF2393"/>
      <c r="EG2393"/>
    </row>
    <row r="2394" spans="1:137" s="22" customFormat="1" ht="15" customHeight="1" x14ac:dyDescent="0.3">
      <c r="A2394" s="19"/>
      <c r="B2394" s="21">
        <v>46132</v>
      </c>
      <c r="C2394" s="21" t="s">
        <v>15</v>
      </c>
      <c r="D2394" s="21" t="s">
        <v>246</v>
      </c>
      <c r="E2394" s="21"/>
      <c r="F2394" s="22" t="s">
        <v>927</v>
      </c>
      <c r="G2394" s="252">
        <v>2960</v>
      </c>
      <c r="H2394" s="19"/>
      <c r="I2394" s="19">
        <f>COUNTIF(Tabela1[NF],Tabela1[[#This Row],[NF]])</f>
        <v>0</v>
      </c>
      <c r="K2394" s="21">
        <v>46132</v>
      </c>
      <c r="N2394" s="1" t="str" cm="1">
        <f t="array" ref="N2394">_xlfn.XLOOKUP(TRIM(D2394),TRIM(DFC!A:A),DFC!A:A,"NÃO ESTÁ NA DFC")</f>
        <v xml:space="preserve">          VALES</v>
      </c>
      <c r="O2394"/>
      <c r="P2394" s="303"/>
      <c r="Q2394" s="262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  <c r="BV2394"/>
      <c r="BW2394"/>
      <c r="BX2394"/>
      <c r="BY2394"/>
      <c r="BZ2394"/>
      <c r="CA2394"/>
      <c r="CB2394"/>
      <c r="CC2394"/>
      <c r="CD2394"/>
      <c r="CE2394"/>
      <c r="CF2394"/>
      <c r="CG2394"/>
      <c r="CH2394"/>
      <c r="CI2394"/>
      <c r="CJ2394"/>
      <c r="CK2394"/>
      <c r="CL2394"/>
      <c r="CM2394"/>
      <c r="CN2394"/>
      <c r="CO2394"/>
      <c r="CP2394"/>
      <c r="CQ2394"/>
      <c r="CR2394"/>
      <c r="CS2394"/>
      <c r="CT2394"/>
      <c r="CU2394"/>
      <c r="CV2394"/>
      <c r="CW2394"/>
      <c r="CX2394"/>
      <c r="CY2394"/>
      <c r="CZ2394"/>
      <c r="DA2394"/>
      <c r="DB2394"/>
      <c r="DC2394"/>
      <c r="DD2394"/>
      <c r="DE2394"/>
      <c r="DF2394"/>
      <c r="DG2394"/>
      <c r="DH2394"/>
      <c r="DI2394"/>
      <c r="DJ2394"/>
      <c r="DK2394"/>
      <c r="DL2394"/>
      <c r="DM2394"/>
      <c r="DN2394"/>
      <c r="DO2394"/>
      <c r="DP2394"/>
      <c r="DQ2394"/>
      <c r="DR2394"/>
      <c r="DS2394"/>
      <c r="DT2394"/>
      <c r="DU2394"/>
      <c r="DV2394"/>
      <c r="DW2394"/>
      <c r="DX2394"/>
      <c r="DY2394"/>
      <c r="DZ2394"/>
      <c r="EA2394"/>
      <c r="EB2394"/>
      <c r="EC2394"/>
      <c r="ED2394"/>
      <c r="EE2394"/>
      <c r="EF2394"/>
      <c r="EG2394"/>
    </row>
    <row r="2395" spans="1:137" s="22" customFormat="1" ht="15" customHeight="1" x14ac:dyDescent="0.3">
      <c r="A2395" s="19"/>
      <c r="B2395" s="21">
        <v>46132</v>
      </c>
      <c r="C2395" s="21" t="s">
        <v>15</v>
      </c>
      <c r="D2395" s="21" t="s">
        <v>781</v>
      </c>
      <c r="E2395" s="280" t="s">
        <v>519</v>
      </c>
      <c r="F2395" s="22" t="s">
        <v>733</v>
      </c>
      <c r="G2395" s="252">
        <v>588.07000000000005</v>
      </c>
      <c r="H2395" s="19"/>
      <c r="I2395" s="19">
        <f>COUNTIF(Tabela1[NF],Tabela1[[#This Row],[NF]])</f>
        <v>0</v>
      </c>
      <c r="K2395" s="21">
        <v>46132</v>
      </c>
      <c r="N2395" s="1" t="str" cm="1">
        <f t="array" ref="N2395">_xlfn.XLOOKUP(TRIM(D2395),TRIM(DFC!A:A),DFC!A:A,"NÃO ESTÁ NA DFC")</f>
        <v xml:space="preserve">     FUNDO SOCIAL SC</v>
      </c>
      <c r="O2395"/>
      <c r="P2395" s="303"/>
      <c r="Q2395" s="262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/>
      <c r="BV2395"/>
      <c r="BW2395"/>
      <c r="BX2395"/>
      <c r="BY2395"/>
      <c r="BZ2395"/>
      <c r="CA2395"/>
      <c r="CB2395"/>
      <c r="CC2395"/>
      <c r="CD2395"/>
      <c r="CE2395"/>
      <c r="CF2395"/>
      <c r="CG2395"/>
      <c r="CH2395"/>
      <c r="CI2395"/>
      <c r="CJ2395"/>
      <c r="CK2395"/>
      <c r="CL2395"/>
      <c r="CM2395"/>
      <c r="CN2395"/>
      <c r="CO2395"/>
      <c r="CP2395"/>
      <c r="CQ2395"/>
      <c r="CR2395"/>
      <c r="CS2395"/>
      <c r="CT2395"/>
      <c r="CU2395"/>
      <c r="CV2395"/>
      <c r="CW2395"/>
      <c r="CX2395"/>
      <c r="CY2395"/>
      <c r="CZ2395"/>
      <c r="DA2395"/>
      <c r="DB2395"/>
      <c r="DC2395"/>
      <c r="DD2395"/>
      <c r="DE2395"/>
      <c r="DF2395"/>
      <c r="DG2395"/>
      <c r="DH2395"/>
      <c r="DI2395"/>
      <c r="DJ2395"/>
      <c r="DK2395"/>
      <c r="DL2395"/>
      <c r="DM2395"/>
      <c r="DN2395"/>
      <c r="DO2395"/>
      <c r="DP2395"/>
      <c r="DQ2395"/>
      <c r="DR2395"/>
      <c r="DS2395"/>
      <c r="DT2395"/>
      <c r="DU2395"/>
      <c r="DV2395"/>
      <c r="DW2395"/>
      <c r="DX2395"/>
      <c r="DY2395"/>
      <c r="DZ2395"/>
      <c r="EA2395"/>
      <c r="EB2395"/>
      <c r="EC2395"/>
      <c r="ED2395"/>
      <c r="EE2395"/>
      <c r="EF2395"/>
      <c r="EG2395"/>
    </row>
    <row r="2396" spans="1:137" s="22" customFormat="1" ht="15" customHeight="1" x14ac:dyDescent="0.3">
      <c r="A2396" s="19"/>
      <c r="B2396" s="21">
        <v>46132</v>
      </c>
      <c r="C2396" s="21" t="s">
        <v>15</v>
      </c>
      <c r="D2396" s="84" t="s">
        <v>94</v>
      </c>
      <c r="E2396" s="280" t="s">
        <v>519</v>
      </c>
      <c r="F2396" s="22" t="s">
        <v>398</v>
      </c>
      <c r="G2396" s="252">
        <v>915.59</v>
      </c>
      <c r="H2396" s="19"/>
      <c r="I2396" s="19">
        <f>COUNTIF(Tabela1[NF],Tabela1[[#This Row],[NF]])</f>
        <v>0</v>
      </c>
      <c r="K2396" s="21">
        <v>46132</v>
      </c>
      <c r="N2396" s="1" t="str" cm="1">
        <f t="array" ref="N2396">_xlfn.XLOOKUP(TRIM(D2396),TRIM(DFC!A:A),DFC!A:A,"NÃO ESTÁ NA DFC")</f>
        <v xml:space="preserve">          IRPF</v>
      </c>
      <c r="O2396"/>
      <c r="P2396" s="303"/>
      <c r="Q2396" s="262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/>
      <c r="BV2396"/>
      <c r="BW2396"/>
      <c r="BX2396"/>
      <c r="BY2396"/>
      <c r="BZ2396"/>
      <c r="CA2396"/>
      <c r="CB2396"/>
      <c r="CC2396"/>
      <c r="CD2396"/>
      <c r="CE2396"/>
      <c r="CF2396"/>
      <c r="CG2396"/>
      <c r="CH2396"/>
      <c r="CI2396"/>
      <c r="CJ2396"/>
      <c r="CK2396"/>
      <c r="CL2396"/>
      <c r="CM2396"/>
      <c r="CN2396"/>
      <c r="CO2396"/>
      <c r="CP2396"/>
      <c r="CQ2396"/>
      <c r="CR2396"/>
      <c r="CS2396"/>
      <c r="CT2396"/>
      <c r="CU2396"/>
      <c r="CV2396"/>
      <c r="CW2396"/>
      <c r="CX2396"/>
      <c r="CY2396"/>
      <c r="CZ2396"/>
      <c r="DA2396"/>
      <c r="DB2396"/>
      <c r="DC2396"/>
      <c r="DD2396"/>
      <c r="DE2396"/>
      <c r="DF2396"/>
      <c r="DG2396"/>
      <c r="DH2396"/>
      <c r="DI2396"/>
      <c r="DJ2396"/>
      <c r="DK2396"/>
      <c r="DL2396"/>
      <c r="DM2396"/>
      <c r="DN2396"/>
      <c r="DO2396"/>
      <c r="DP2396"/>
      <c r="DQ2396"/>
      <c r="DR2396"/>
      <c r="DS2396"/>
      <c r="DT2396"/>
      <c r="DU2396"/>
      <c r="DV2396"/>
      <c r="DW2396"/>
      <c r="DX2396"/>
      <c r="DY2396"/>
      <c r="DZ2396"/>
      <c r="EA2396"/>
      <c r="EB2396"/>
      <c r="EC2396"/>
      <c r="ED2396"/>
      <c r="EE2396"/>
      <c r="EF2396"/>
      <c r="EG2396"/>
    </row>
    <row r="2397" spans="1:137" s="22" customFormat="1" ht="15" customHeight="1" x14ac:dyDescent="0.3">
      <c r="A2397" s="19"/>
      <c r="B2397" s="21">
        <v>46132</v>
      </c>
      <c r="C2397" s="21" t="s">
        <v>15</v>
      </c>
      <c r="D2397" s="21" t="s">
        <v>779</v>
      </c>
      <c r="E2397" s="280" t="s">
        <v>519</v>
      </c>
      <c r="F2397" s="22" t="s">
        <v>780</v>
      </c>
      <c r="G2397" s="252">
        <v>9757.1299999999992</v>
      </c>
      <c r="H2397" s="19"/>
      <c r="I2397" s="19">
        <f>COUNTIF(Tabela1[NF],Tabela1[[#This Row],[NF]])</f>
        <v>0</v>
      </c>
      <c r="K2397" s="21">
        <v>46132</v>
      </c>
      <c r="N2397" s="1" t="str" cm="1">
        <f t="array" ref="N2397">_xlfn.XLOOKUP(TRIM(D2397),TRIM(DFC!A:A),DFC!A:A,"NÃO ESTÁ NA DFC")</f>
        <v xml:space="preserve">     ICMS SP</v>
      </c>
      <c r="O2397"/>
      <c r="P2397" s="303"/>
      <c r="Q2397" s="262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/>
      <c r="BV2397"/>
      <c r="BW2397"/>
      <c r="BX2397"/>
      <c r="BY2397"/>
      <c r="BZ2397"/>
      <c r="CA2397"/>
      <c r="CB2397"/>
      <c r="CC2397"/>
      <c r="CD2397"/>
      <c r="CE2397"/>
      <c r="CF2397"/>
      <c r="CG2397"/>
      <c r="CH2397"/>
      <c r="CI2397"/>
      <c r="CJ2397"/>
      <c r="CK2397"/>
      <c r="CL2397"/>
      <c r="CM2397"/>
      <c r="CN2397"/>
      <c r="CO2397"/>
      <c r="CP2397"/>
      <c r="CQ2397"/>
      <c r="CR2397"/>
      <c r="CS2397"/>
      <c r="CT2397"/>
      <c r="CU2397"/>
      <c r="CV2397"/>
      <c r="CW2397"/>
      <c r="CX2397"/>
      <c r="CY2397"/>
      <c r="CZ2397"/>
      <c r="DA2397"/>
      <c r="DB2397"/>
      <c r="DC2397"/>
      <c r="DD2397"/>
      <c r="DE2397"/>
      <c r="DF2397"/>
      <c r="DG2397"/>
      <c r="DH2397"/>
      <c r="DI2397"/>
      <c r="DJ2397"/>
      <c r="DK2397"/>
      <c r="DL2397"/>
      <c r="DM2397"/>
      <c r="DN2397"/>
      <c r="DO2397"/>
      <c r="DP2397"/>
      <c r="DQ2397"/>
      <c r="DR2397"/>
      <c r="DS2397"/>
      <c r="DT2397"/>
      <c r="DU2397"/>
      <c r="DV2397"/>
      <c r="DW2397"/>
      <c r="DX2397"/>
      <c r="DY2397"/>
      <c r="DZ2397"/>
      <c r="EA2397"/>
      <c r="EB2397"/>
      <c r="EC2397"/>
      <c r="ED2397"/>
      <c r="EE2397"/>
      <c r="EF2397"/>
      <c r="EG2397"/>
    </row>
    <row r="2398" spans="1:137" s="22" customFormat="1" ht="15" customHeight="1" x14ac:dyDescent="0.3">
      <c r="A2398" s="19"/>
      <c r="B2398" s="21">
        <v>46132</v>
      </c>
      <c r="C2398" s="21" t="s">
        <v>15</v>
      </c>
      <c r="D2398" s="21" t="s">
        <v>246</v>
      </c>
      <c r="E2398" s="21"/>
      <c r="F2398" s="22" t="s">
        <v>862</v>
      </c>
      <c r="G2398" s="252">
        <v>541.11</v>
      </c>
      <c r="H2398" s="19"/>
      <c r="I2398" s="19">
        <f>COUNTIF(Tabela1[NF],Tabela1[[#This Row],[NF]])</f>
        <v>0</v>
      </c>
      <c r="K2398" s="21">
        <v>46132</v>
      </c>
      <c r="N2398" s="1" t="str" cm="1">
        <f t="array" ref="N2398">_xlfn.XLOOKUP(TRIM(D2398),TRIM(DFC!A:A),DFC!A:A,"NÃO ESTÁ NA DFC")</f>
        <v xml:space="preserve">          VALES</v>
      </c>
      <c r="O2398"/>
      <c r="P2398" s="303"/>
      <c r="Q2398" s="262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  <c r="BV2398"/>
      <c r="BW2398"/>
      <c r="BX2398"/>
      <c r="BY2398"/>
      <c r="BZ2398"/>
      <c r="CA2398"/>
      <c r="CB2398"/>
      <c r="CC2398"/>
      <c r="CD2398"/>
      <c r="CE2398"/>
      <c r="CF2398"/>
      <c r="CG2398"/>
      <c r="CH2398"/>
      <c r="CI2398"/>
      <c r="CJ2398"/>
      <c r="CK2398"/>
      <c r="CL2398"/>
      <c r="CM2398"/>
      <c r="CN2398"/>
      <c r="CO2398"/>
      <c r="CP2398"/>
      <c r="CQ2398"/>
      <c r="CR2398"/>
      <c r="CS2398"/>
      <c r="CT2398"/>
      <c r="CU2398"/>
      <c r="CV2398"/>
      <c r="CW2398"/>
      <c r="CX2398"/>
      <c r="CY2398"/>
      <c r="CZ2398"/>
      <c r="DA2398"/>
      <c r="DB2398"/>
      <c r="DC2398"/>
      <c r="DD2398"/>
      <c r="DE2398"/>
      <c r="DF2398"/>
      <c r="DG2398"/>
      <c r="DH2398"/>
      <c r="DI2398"/>
      <c r="DJ2398"/>
      <c r="DK2398"/>
      <c r="DL2398"/>
      <c r="DM2398"/>
      <c r="DN2398"/>
      <c r="DO2398"/>
      <c r="DP2398"/>
      <c r="DQ2398"/>
      <c r="DR2398"/>
      <c r="DS2398"/>
      <c r="DT2398"/>
      <c r="DU2398"/>
      <c r="DV2398"/>
      <c r="DW2398"/>
      <c r="DX2398"/>
      <c r="DY2398"/>
      <c r="DZ2398"/>
      <c r="EA2398"/>
      <c r="EB2398"/>
      <c r="EC2398"/>
      <c r="ED2398"/>
      <c r="EE2398"/>
      <c r="EF2398"/>
      <c r="EG2398"/>
    </row>
    <row r="2399" spans="1:137" s="22" customFormat="1" ht="15" customHeight="1" x14ac:dyDescent="0.3">
      <c r="A2399" s="19">
        <v>51349203</v>
      </c>
      <c r="B2399" s="21">
        <v>46132</v>
      </c>
      <c r="C2399" s="21" t="s">
        <v>15</v>
      </c>
      <c r="D2399" s="21" t="s">
        <v>19</v>
      </c>
      <c r="E2399" s="21"/>
      <c r="F2399" s="22" t="s">
        <v>24</v>
      </c>
      <c r="G2399" s="252">
        <v>655</v>
      </c>
      <c r="H2399" s="19"/>
      <c r="I2399" s="19">
        <f>COUNTIF(Tabela1[NF],Tabela1[[#This Row],[NF]])</f>
        <v>1</v>
      </c>
      <c r="K2399" s="21">
        <v>46132</v>
      </c>
      <c r="N2399" s="1" t="str" cm="1">
        <f t="array" ref="N2399">_xlfn.XLOOKUP(TRIM(D2399),TRIM(DFC!A:A),DFC!A:A,"NÃO ESTÁ NA DFC")</f>
        <v xml:space="preserve">      PEÇAS</v>
      </c>
      <c r="O2399"/>
      <c r="P2399" s="303"/>
      <c r="Q2399" s="262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/>
      <c r="BV2399"/>
      <c r="BW2399"/>
      <c r="BX2399"/>
      <c r="BY2399"/>
      <c r="BZ2399"/>
      <c r="CA2399"/>
      <c r="CB2399"/>
      <c r="CC2399"/>
      <c r="CD2399"/>
      <c r="CE2399"/>
      <c r="CF2399"/>
      <c r="CG2399"/>
      <c r="CH2399"/>
      <c r="CI2399"/>
      <c r="CJ2399"/>
      <c r="CK2399"/>
      <c r="CL2399"/>
      <c r="CM2399"/>
      <c r="CN2399"/>
      <c r="CO2399"/>
      <c r="CP2399"/>
      <c r="CQ2399"/>
      <c r="CR2399"/>
      <c r="CS2399"/>
      <c r="CT2399"/>
      <c r="CU2399"/>
      <c r="CV2399"/>
      <c r="CW2399"/>
      <c r="CX2399"/>
      <c r="CY2399"/>
      <c r="CZ2399"/>
      <c r="DA2399"/>
      <c r="DB2399"/>
      <c r="DC2399"/>
      <c r="DD2399"/>
      <c r="DE2399"/>
      <c r="DF2399"/>
      <c r="DG2399"/>
      <c r="DH2399"/>
      <c r="DI2399"/>
      <c r="DJ2399"/>
      <c r="DK2399"/>
      <c r="DL2399"/>
      <c r="DM2399"/>
      <c r="DN2399"/>
      <c r="DO2399"/>
      <c r="DP2399"/>
      <c r="DQ2399"/>
      <c r="DR2399"/>
      <c r="DS2399"/>
      <c r="DT2399"/>
      <c r="DU2399"/>
      <c r="DV2399"/>
      <c r="DW2399"/>
      <c r="DX2399"/>
      <c r="DY2399"/>
      <c r="DZ2399"/>
      <c r="EA2399"/>
      <c r="EB2399"/>
      <c r="EC2399"/>
      <c r="ED2399"/>
      <c r="EE2399"/>
      <c r="EF2399"/>
      <c r="EG2399"/>
    </row>
    <row r="2400" spans="1:137" s="22" customFormat="1" ht="15" customHeight="1" x14ac:dyDescent="0.3">
      <c r="A2400" s="19">
        <v>22762</v>
      </c>
      <c r="B2400" s="21">
        <v>46132</v>
      </c>
      <c r="C2400" s="21" t="s">
        <v>15</v>
      </c>
      <c r="D2400" s="21" t="s">
        <v>29</v>
      </c>
      <c r="E2400" s="21"/>
      <c r="F2400" s="22" t="s">
        <v>699</v>
      </c>
      <c r="G2400" s="252">
        <v>97.34</v>
      </c>
      <c r="H2400" s="19"/>
      <c r="I2400" s="19">
        <f>COUNTIF(Tabela1[NF],Tabela1[[#This Row],[NF]])</f>
        <v>1</v>
      </c>
      <c r="K2400" s="21">
        <v>46132</v>
      </c>
      <c r="N2400" s="1" t="str" cm="1">
        <f t="array" ref="N2400">_xlfn.XLOOKUP(TRIM(D2400),TRIM(DFC!A:A),DFC!A:A,"NÃO ESTÁ NA DFC")</f>
        <v xml:space="preserve">      FRETE DE SAÍDA</v>
      </c>
      <c r="O2400"/>
      <c r="P2400" s="303"/>
      <c r="Q2400" s="262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/>
      <c r="BV2400"/>
      <c r="BW2400"/>
      <c r="BX2400"/>
      <c r="BY2400"/>
      <c r="BZ2400"/>
      <c r="CA2400"/>
      <c r="CB2400"/>
      <c r="CC2400"/>
      <c r="CD2400"/>
      <c r="CE2400"/>
      <c r="CF2400"/>
      <c r="CG2400"/>
      <c r="CH2400"/>
      <c r="CI2400"/>
      <c r="CJ2400"/>
      <c r="CK2400"/>
      <c r="CL2400"/>
      <c r="CM2400"/>
      <c r="CN2400"/>
      <c r="CO2400"/>
      <c r="CP2400"/>
      <c r="CQ2400"/>
      <c r="CR2400"/>
      <c r="CS2400"/>
      <c r="CT2400"/>
      <c r="CU2400"/>
      <c r="CV2400"/>
      <c r="CW2400"/>
      <c r="CX2400"/>
      <c r="CY2400"/>
      <c r="CZ2400"/>
      <c r="DA2400"/>
      <c r="DB2400"/>
      <c r="DC2400"/>
      <c r="DD2400"/>
      <c r="DE2400"/>
      <c r="DF2400"/>
      <c r="DG2400"/>
      <c r="DH2400"/>
      <c r="DI2400"/>
      <c r="DJ2400"/>
      <c r="DK2400"/>
      <c r="DL2400"/>
      <c r="DM2400"/>
      <c r="DN2400"/>
      <c r="DO2400"/>
      <c r="DP2400"/>
      <c r="DQ2400"/>
      <c r="DR2400"/>
      <c r="DS2400"/>
      <c r="DT2400"/>
      <c r="DU2400"/>
      <c r="DV2400"/>
      <c r="DW2400"/>
      <c r="DX2400"/>
      <c r="DY2400"/>
      <c r="DZ2400"/>
      <c r="EA2400"/>
      <c r="EB2400"/>
      <c r="EC2400"/>
      <c r="ED2400"/>
      <c r="EE2400"/>
      <c r="EF2400"/>
      <c r="EG2400"/>
    </row>
    <row r="2401" spans="1:137" s="22" customFormat="1" ht="15" customHeight="1" x14ac:dyDescent="0.3">
      <c r="A2401" s="19">
        <v>18712830</v>
      </c>
      <c r="B2401" s="21">
        <v>46132</v>
      </c>
      <c r="C2401" s="21" t="s">
        <v>15</v>
      </c>
      <c r="D2401" s="21" t="s">
        <v>29</v>
      </c>
      <c r="E2401" s="21"/>
      <c r="F2401" s="22" t="s">
        <v>928</v>
      </c>
      <c r="G2401" s="252">
        <v>127</v>
      </c>
      <c r="H2401" s="19"/>
      <c r="I2401" s="19">
        <f>COUNTIF(Tabela1[NF],Tabela1[[#This Row],[NF]])</f>
        <v>1</v>
      </c>
      <c r="K2401" s="21">
        <v>46132</v>
      </c>
      <c r="N2401" s="1" t="str" cm="1">
        <f t="array" ref="N2401">_xlfn.XLOOKUP(TRIM(D2401),TRIM(DFC!A:A),DFC!A:A,"NÃO ESTÁ NA DFC")</f>
        <v xml:space="preserve">      FRETE DE SAÍDA</v>
      </c>
      <c r="O2401"/>
      <c r="P2401" s="303"/>
      <c r="Q2401" s="262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  <c r="BV2401"/>
      <c r="BW2401"/>
      <c r="BX2401"/>
      <c r="BY2401"/>
      <c r="BZ2401"/>
      <c r="CA2401"/>
      <c r="CB2401"/>
      <c r="CC2401"/>
      <c r="CD2401"/>
      <c r="CE2401"/>
      <c r="CF2401"/>
      <c r="CG2401"/>
      <c r="CH2401"/>
      <c r="CI2401"/>
      <c r="CJ2401"/>
      <c r="CK2401"/>
      <c r="CL2401"/>
      <c r="CM2401"/>
      <c r="CN2401"/>
      <c r="CO2401"/>
      <c r="CP2401"/>
      <c r="CQ2401"/>
      <c r="CR2401"/>
      <c r="CS2401"/>
      <c r="CT2401"/>
      <c r="CU2401"/>
      <c r="CV2401"/>
      <c r="CW2401"/>
      <c r="CX2401"/>
      <c r="CY2401"/>
      <c r="CZ2401"/>
      <c r="DA2401"/>
      <c r="DB2401"/>
      <c r="DC2401"/>
      <c r="DD2401"/>
      <c r="DE2401"/>
      <c r="DF2401"/>
      <c r="DG2401"/>
      <c r="DH2401"/>
      <c r="DI2401"/>
      <c r="DJ2401"/>
      <c r="DK2401"/>
      <c r="DL2401"/>
      <c r="DM2401"/>
      <c r="DN2401"/>
      <c r="DO2401"/>
      <c r="DP2401"/>
      <c r="DQ2401"/>
      <c r="DR2401"/>
      <c r="DS2401"/>
      <c r="DT2401"/>
      <c r="DU2401"/>
      <c r="DV2401"/>
      <c r="DW2401"/>
      <c r="DX2401"/>
      <c r="DY2401"/>
      <c r="DZ2401"/>
      <c r="EA2401"/>
      <c r="EB2401"/>
      <c r="EC2401"/>
      <c r="ED2401"/>
      <c r="EE2401"/>
      <c r="EF2401"/>
      <c r="EG2401"/>
    </row>
    <row r="2402" spans="1:137" s="22" customFormat="1" ht="15" customHeight="1" x14ac:dyDescent="0.3">
      <c r="A2402" s="19" t="s">
        <v>929</v>
      </c>
      <c r="B2402" s="21">
        <v>46132</v>
      </c>
      <c r="C2402" s="21" t="s">
        <v>15</v>
      </c>
      <c r="D2402" s="21" t="s">
        <v>19</v>
      </c>
      <c r="E2402" s="21"/>
      <c r="F2402" s="22" t="s">
        <v>385</v>
      </c>
      <c r="G2402" s="252">
        <v>1359.21</v>
      </c>
      <c r="H2402" s="19"/>
      <c r="I2402" s="19">
        <f>COUNTIF(Tabela1[NF],Tabela1[[#This Row],[NF]])</f>
        <v>1</v>
      </c>
      <c r="K2402" s="21">
        <v>46132</v>
      </c>
      <c r="N2402" s="1" t="str" cm="1">
        <f t="array" ref="N2402">_xlfn.XLOOKUP(TRIM(D2402),TRIM(DFC!A:A),DFC!A:A,"NÃO ESTÁ NA DFC")</f>
        <v xml:space="preserve">      PEÇAS</v>
      </c>
      <c r="O2402"/>
      <c r="P2402" s="303"/>
      <c r="Q2402" s="26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  <c r="BV2402"/>
      <c r="BW2402"/>
      <c r="BX2402"/>
      <c r="BY2402"/>
      <c r="BZ2402"/>
      <c r="CA2402"/>
      <c r="CB2402"/>
      <c r="CC2402"/>
      <c r="CD2402"/>
      <c r="CE2402"/>
      <c r="CF2402"/>
      <c r="CG2402"/>
      <c r="CH2402"/>
      <c r="CI2402"/>
      <c r="CJ2402"/>
      <c r="CK2402"/>
      <c r="CL2402"/>
      <c r="CM2402"/>
      <c r="CN2402"/>
      <c r="CO2402"/>
      <c r="CP2402"/>
      <c r="CQ2402"/>
      <c r="CR2402"/>
      <c r="CS2402"/>
      <c r="CT2402"/>
      <c r="CU2402"/>
      <c r="CV2402"/>
      <c r="CW2402"/>
      <c r="CX2402"/>
      <c r="CY2402"/>
      <c r="CZ2402"/>
      <c r="DA2402"/>
      <c r="DB2402"/>
      <c r="DC2402"/>
      <c r="DD2402"/>
      <c r="DE2402"/>
      <c r="DF2402"/>
      <c r="DG2402"/>
      <c r="DH2402"/>
      <c r="DI2402"/>
      <c r="DJ2402"/>
      <c r="DK2402"/>
      <c r="DL2402"/>
      <c r="DM2402"/>
      <c r="DN2402"/>
      <c r="DO2402"/>
      <c r="DP2402"/>
      <c r="DQ2402"/>
      <c r="DR2402"/>
      <c r="DS2402"/>
      <c r="DT2402"/>
      <c r="DU2402"/>
      <c r="DV2402"/>
      <c r="DW2402"/>
      <c r="DX2402"/>
      <c r="DY2402"/>
      <c r="DZ2402"/>
      <c r="EA2402"/>
      <c r="EB2402"/>
      <c r="EC2402"/>
      <c r="ED2402"/>
      <c r="EE2402"/>
      <c r="EF2402"/>
      <c r="EG2402"/>
    </row>
    <row r="2403" spans="1:137" s="22" customFormat="1" ht="15" customHeight="1" x14ac:dyDescent="0.3">
      <c r="A2403" s="19">
        <v>51349303</v>
      </c>
      <c r="B2403" s="21">
        <v>46132</v>
      </c>
      <c r="C2403" s="21" t="s">
        <v>15</v>
      </c>
      <c r="D2403" s="21" t="s">
        <v>19</v>
      </c>
      <c r="E2403" s="21"/>
      <c r="F2403" s="22" t="s">
        <v>24</v>
      </c>
      <c r="G2403" s="252">
        <v>1372</v>
      </c>
      <c r="H2403" s="19"/>
      <c r="I2403" s="19">
        <f>COUNTIF(Tabela1[NF],Tabela1[[#This Row],[NF]])</f>
        <v>1</v>
      </c>
      <c r="K2403" s="21">
        <v>46132</v>
      </c>
      <c r="N2403" s="1" t="str" cm="1">
        <f t="array" ref="N2403">_xlfn.XLOOKUP(TRIM(D2403),TRIM(DFC!A:A),DFC!A:A,"NÃO ESTÁ NA DFC")</f>
        <v xml:space="preserve">      PEÇAS</v>
      </c>
      <c r="O2403"/>
      <c r="P2403" s="303"/>
      <c r="Q2403" s="262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/>
      <c r="BV2403"/>
      <c r="BW2403"/>
      <c r="BX2403"/>
      <c r="BY2403"/>
      <c r="BZ2403"/>
      <c r="CA2403"/>
      <c r="CB2403"/>
      <c r="CC2403"/>
      <c r="CD2403"/>
      <c r="CE2403"/>
      <c r="CF2403"/>
      <c r="CG2403"/>
      <c r="CH2403"/>
      <c r="CI2403"/>
      <c r="CJ2403"/>
      <c r="CK2403"/>
      <c r="CL2403"/>
      <c r="CM2403"/>
      <c r="CN2403"/>
      <c r="CO2403"/>
      <c r="CP2403"/>
      <c r="CQ2403"/>
      <c r="CR2403"/>
      <c r="CS2403"/>
      <c r="CT2403"/>
      <c r="CU2403"/>
      <c r="CV2403"/>
      <c r="CW2403"/>
      <c r="CX2403"/>
      <c r="CY2403"/>
      <c r="CZ2403"/>
      <c r="DA2403"/>
      <c r="DB2403"/>
      <c r="DC2403"/>
      <c r="DD2403"/>
      <c r="DE2403"/>
      <c r="DF2403"/>
      <c r="DG2403"/>
      <c r="DH2403"/>
      <c r="DI2403"/>
      <c r="DJ2403"/>
      <c r="DK2403"/>
      <c r="DL2403"/>
      <c r="DM2403"/>
      <c r="DN2403"/>
      <c r="DO2403"/>
      <c r="DP2403"/>
      <c r="DQ2403"/>
      <c r="DR2403"/>
      <c r="DS2403"/>
      <c r="DT2403"/>
      <c r="DU2403"/>
      <c r="DV2403"/>
      <c r="DW2403"/>
      <c r="DX2403"/>
      <c r="DY2403"/>
      <c r="DZ2403"/>
      <c r="EA2403"/>
      <c r="EB2403"/>
      <c r="EC2403"/>
      <c r="ED2403"/>
      <c r="EE2403"/>
      <c r="EF2403"/>
      <c r="EG2403"/>
    </row>
    <row r="2404" spans="1:137" s="22" customFormat="1" ht="15" customHeight="1" x14ac:dyDescent="0.3">
      <c r="A2404" s="19" t="s">
        <v>930</v>
      </c>
      <c r="B2404" s="21">
        <v>46132</v>
      </c>
      <c r="C2404" s="21" t="s">
        <v>15</v>
      </c>
      <c r="D2404" s="21" t="s">
        <v>19</v>
      </c>
      <c r="E2404" s="21"/>
      <c r="F2404" s="22" t="s">
        <v>228</v>
      </c>
      <c r="G2404" s="252">
        <v>3232.25</v>
      </c>
      <c r="H2404" s="19"/>
      <c r="I2404" s="19">
        <f>COUNTIF(Tabela1[NF],Tabela1[[#This Row],[NF]])</f>
        <v>1</v>
      </c>
      <c r="K2404" s="21">
        <v>46132</v>
      </c>
      <c r="N2404" s="1" t="str" cm="1">
        <f t="array" ref="N2404">_xlfn.XLOOKUP(TRIM(D2404),TRIM(DFC!A:A),DFC!A:A,"NÃO ESTÁ NA DFC")</f>
        <v xml:space="preserve">      PEÇAS</v>
      </c>
      <c r="O2404"/>
      <c r="P2404" s="303"/>
      <c r="Q2404" s="262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  <c r="BV2404"/>
      <c r="BW2404"/>
      <c r="BX2404"/>
      <c r="BY2404"/>
      <c r="BZ2404"/>
      <c r="CA2404"/>
      <c r="CB2404"/>
      <c r="CC2404"/>
      <c r="CD2404"/>
      <c r="CE2404"/>
      <c r="CF2404"/>
      <c r="CG2404"/>
      <c r="CH2404"/>
      <c r="CI2404"/>
      <c r="CJ2404"/>
      <c r="CK2404"/>
      <c r="CL2404"/>
      <c r="CM2404"/>
      <c r="CN2404"/>
      <c r="CO2404"/>
      <c r="CP2404"/>
      <c r="CQ2404"/>
      <c r="CR2404"/>
      <c r="CS2404"/>
      <c r="CT2404"/>
      <c r="CU2404"/>
      <c r="CV2404"/>
      <c r="CW2404"/>
      <c r="CX2404"/>
      <c r="CY2404"/>
      <c r="CZ2404"/>
      <c r="DA2404"/>
      <c r="DB2404"/>
      <c r="DC2404"/>
      <c r="DD2404"/>
      <c r="DE2404"/>
      <c r="DF2404"/>
      <c r="DG2404"/>
      <c r="DH2404"/>
      <c r="DI2404"/>
      <c r="DJ2404"/>
      <c r="DK2404"/>
      <c r="DL2404"/>
      <c r="DM2404"/>
      <c r="DN2404"/>
      <c r="DO2404"/>
      <c r="DP2404"/>
      <c r="DQ2404"/>
      <c r="DR2404"/>
      <c r="DS2404"/>
      <c r="DT2404"/>
      <c r="DU2404"/>
      <c r="DV2404"/>
      <c r="DW2404"/>
      <c r="DX2404"/>
      <c r="DY2404"/>
      <c r="DZ2404"/>
      <c r="EA2404"/>
      <c r="EB2404"/>
      <c r="EC2404"/>
      <c r="ED2404"/>
      <c r="EE2404"/>
      <c r="EF2404"/>
      <c r="EG2404"/>
    </row>
    <row r="2405" spans="1:137" s="22" customFormat="1" ht="15" customHeight="1" x14ac:dyDescent="0.3">
      <c r="A2405" s="19"/>
      <c r="B2405" s="21">
        <v>46132</v>
      </c>
      <c r="C2405" s="21" t="s">
        <v>15</v>
      </c>
      <c r="D2405" s="21" t="s">
        <v>23</v>
      </c>
      <c r="E2405" s="21"/>
      <c r="F2405" s="22" t="s">
        <v>389</v>
      </c>
      <c r="G2405" s="252">
        <v>3924</v>
      </c>
      <c r="H2405" s="19"/>
      <c r="I2405" s="19">
        <f>COUNTIF(Tabela1[NF],Tabela1[[#This Row],[NF]])</f>
        <v>0</v>
      </c>
      <c r="K2405" s="21">
        <v>46132</v>
      </c>
      <c r="N2405" s="1" t="str" cm="1">
        <f t="array" ref="N2405">_xlfn.XLOOKUP(TRIM(D2405),TRIM(DFC!A:A),DFC!A:A,"NÃO ESTÁ NA DFC")</f>
        <v xml:space="preserve">         CONTABILIDADE</v>
      </c>
      <c r="O2405"/>
      <c r="P2405" s="303"/>
      <c r="Q2405" s="262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/>
      <c r="BV2405"/>
      <c r="BW2405"/>
      <c r="BX2405"/>
      <c r="BY2405"/>
      <c r="BZ2405"/>
      <c r="CA2405"/>
      <c r="CB2405"/>
      <c r="CC2405"/>
      <c r="CD2405"/>
      <c r="CE2405"/>
      <c r="CF2405"/>
      <c r="CG2405"/>
      <c r="CH2405"/>
      <c r="CI2405"/>
      <c r="CJ2405"/>
      <c r="CK2405"/>
      <c r="CL2405"/>
      <c r="CM2405"/>
      <c r="CN2405"/>
      <c r="CO2405"/>
      <c r="CP2405"/>
      <c r="CQ2405"/>
      <c r="CR2405"/>
      <c r="CS2405"/>
      <c r="CT2405"/>
      <c r="CU2405"/>
      <c r="CV2405"/>
      <c r="CW2405"/>
      <c r="CX2405"/>
      <c r="CY2405"/>
      <c r="CZ2405"/>
      <c r="DA2405"/>
      <c r="DB2405"/>
      <c r="DC2405"/>
      <c r="DD2405"/>
      <c r="DE2405"/>
      <c r="DF2405"/>
      <c r="DG2405"/>
      <c r="DH2405"/>
      <c r="DI2405"/>
      <c r="DJ2405"/>
      <c r="DK2405"/>
      <c r="DL2405"/>
      <c r="DM2405"/>
      <c r="DN2405"/>
      <c r="DO2405"/>
      <c r="DP2405"/>
      <c r="DQ2405"/>
      <c r="DR2405"/>
      <c r="DS2405"/>
      <c r="DT2405"/>
      <c r="DU2405"/>
      <c r="DV2405"/>
      <c r="DW2405"/>
      <c r="DX2405"/>
      <c r="DY2405"/>
      <c r="DZ2405"/>
      <c r="EA2405"/>
      <c r="EB2405"/>
      <c r="EC2405"/>
      <c r="ED2405"/>
      <c r="EE2405"/>
      <c r="EF2405"/>
      <c r="EG2405"/>
    </row>
    <row r="2406" spans="1:137" s="22" customFormat="1" ht="15" customHeight="1" x14ac:dyDescent="0.3">
      <c r="A2406" s="19" t="s">
        <v>931</v>
      </c>
      <c r="B2406" s="21">
        <v>46132</v>
      </c>
      <c r="C2406" s="21" t="s">
        <v>15</v>
      </c>
      <c r="D2406" s="21" t="s">
        <v>19</v>
      </c>
      <c r="E2406" s="21"/>
      <c r="F2406" s="22" t="s">
        <v>301</v>
      </c>
      <c r="G2406" s="252">
        <v>4117.3100000000004</v>
      </c>
      <c r="H2406" s="19"/>
      <c r="I2406" s="19">
        <f>COUNTIF(Tabela1[NF],Tabela1[[#This Row],[NF]])</f>
        <v>1</v>
      </c>
      <c r="K2406" s="21">
        <v>46132</v>
      </c>
      <c r="N2406" s="1" t="str" cm="1">
        <f t="array" ref="N2406">_xlfn.XLOOKUP(TRIM(D2406),TRIM(DFC!A:A),DFC!A:A,"NÃO ESTÁ NA DFC")</f>
        <v xml:space="preserve">      PEÇAS</v>
      </c>
      <c r="O2406"/>
      <c r="P2406" s="303"/>
      <c r="Q2406" s="262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  <c r="BV2406"/>
      <c r="BW2406"/>
      <c r="BX2406"/>
      <c r="BY2406"/>
      <c r="BZ2406"/>
      <c r="CA2406"/>
      <c r="CB2406"/>
      <c r="CC2406"/>
      <c r="CD2406"/>
      <c r="CE2406"/>
      <c r="CF2406"/>
      <c r="CG2406"/>
      <c r="CH2406"/>
      <c r="CI2406"/>
      <c r="CJ2406"/>
      <c r="CK2406"/>
      <c r="CL2406"/>
      <c r="CM2406"/>
      <c r="CN2406"/>
      <c r="CO2406"/>
      <c r="CP2406"/>
      <c r="CQ2406"/>
      <c r="CR2406"/>
      <c r="CS2406"/>
      <c r="CT2406"/>
      <c r="CU2406"/>
      <c r="CV2406"/>
      <c r="CW2406"/>
      <c r="CX2406"/>
      <c r="CY2406"/>
      <c r="CZ2406"/>
      <c r="DA2406"/>
      <c r="DB2406"/>
      <c r="DC2406"/>
      <c r="DD2406"/>
      <c r="DE2406"/>
      <c r="DF2406"/>
      <c r="DG2406"/>
      <c r="DH2406"/>
      <c r="DI2406"/>
      <c r="DJ2406"/>
      <c r="DK2406"/>
      <c r="DL2406"/>
      <c r="DM2406"/>
      <c r="DN2406"/>
      <c r="DO2406"/>
      <c r="DP2406"/>
      <c r="DQ2406"/>
      <c r="DR2406"/>
      <c r="DS2406"/>
      <c r="DT2406"/>
      <c r="DU2406"/>
      <c r="DV2406"/>
      <c r="DW2406"/>
      <c r="DX2406"/>
      <c r="DY2406"/>
      <c r="DZ2406"/>
      <c r="EA2406"/>
      <c r="EB2406"/>
      <c r="EC2406"/>
      <c r="ED2406"/>
      <c r="EE2406"/>
      <c r="EF2406"/>
      <c r="EG2406"/>
    </row>
    <row r="2407" spans="1:137" s="22" customFormat="1" ht="15" customHeight="1" x14ac:dyDescent="0.3">
      <c r="A2407" s="19" t="s">
        <v>932</v>
      </c>
      <c r="B2407" s="21">
        <v>46132</v>
      </c>
      <c r="C2407" s="21" t="s">
        <v>15</v>
      </c>
      <c r="D2407" s="21" t="s">
        <v>19</v>
      </c>
      <c r="E2407" s="21"/>
      <c r="F2407" s="22" t="s">
        <v>297</v>
      </c>
      <c r="G2407" s="252">
        <v>4553.87</v>
      </c>
      <c r="H2407" s="19"/>
      <c r="I2407" s="19">
        <f>COUNTIF(Tabela1[NF],Tabela1[[#This Row],[NF]])</f>
        <v>1</v>
      </c>
      <c r="K2407" s="21">
        <v>46132</v>
      </c>
      <c r="N2407" s="1" t="str" cm="1">
        <f t="array" ref="N2407">_xlfn.XLOOKUP(TRIM(D2407),TRIM(DFC!A:A),DFC!A:A,"NÃO ESTÁ NA DFC")</f>
        <v xml:space="preserve">      PEÇAS</v>
      </c>
      <c r="O2407"/>
      <c r="P2407" s="303"/>
      <c r="Q2407" s="262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/>
      <c r="BM2407"/>
      <c r="BN2407"/>
      <c r="BO2407"/>
      <c r="BP2407"/>
      <c r="BQ2407"/>
      <c r="BR2407"/>
      <c r="BS2407"/>
      <c r="BT2407"/>
      <c r="BU2407"/>
      <c r="BV2407"/>
      <c r="BW2407"/>
      <c r="BX2407"/>
      <c r="BY2407"/>
      <c r="BZ2407"/>
      <c r="CA2407"/>
      <c r="CB2407"/>
      <c r="CC2407"/>
      <c r="CD2407"/>
      <c r="CE2407"/>
      <c r="CF2407"/>
      <c r="CG2407"/>
      <c r="CH2407"/>
      <c r="CI2407"/>
      <c r="CJ2407"/>
      <c r="CK2407"/>
      <c r="CL2407"/>
      <c r="CM2407"/>
      <c r="CN2407"/>
      <c r="CO2407"/>
      <c r="CP2407"/>
      <c r="CQ2407"/>
      <c r="CR2407"/>
      <c r="CS2407"/>
      <c r="CT2407"/>
      <c r="CU2407"/>
      <c r="CV2407"/>
      <c r="CW2407"/>
      <c r="CX2407"/>
      <c r="CY2407"/>
      <c r="CZ2407"/>
      <c r="DA2407"/>
      <c r="DB2407"/>
      <c r="DC2407"/>
      <c r="DD2407"/>
      <c r="DE2407"/>
      <c r="DF2407"/>
      <c r="DG2407"/>
      <c r="DH2407"/>
      <c r="DI2407"/>
      <c r="DJ2407"/>
      <c r="DK2407"/>
      <c r="DL2407"/>
      <c r="DM2407"/>
      <c r="DN2407"/>
      <c r="DO2407"/>
      <c r="DP2407"/>
      <c r="DQ2407"/>
      <c r="DR2407"/>
      <c r="DS2407"/>
      <c r="DT2407"/>
      <c r="DU2407"/>
      <c r="DV2407"/>
      <c r="DW2407"/>
      <c r="DX2407"/>
      <c r="DY2407"/>
      <c r="DZ2407"/>
      <c r="EA2407"/>
      <c r="EB2407"/>
      <c r="EC2407"/>
      <c r="ED2407"/>
      <c r="EE2407"/>
      <c r="EF2407"/>
      <c r="EG2407"/>
    </row>
    <row r="2408" spans="1:137" s="22" customFormat="1" ht="15" customHeight="1" x14ac:dyDescent="0.3">
      <c r="A2408" s="19"/>
      <c r="B2408" s="21">
        <v>46132</v>
      </c>
      <c r="C2408" s="21" t="s">
        <v>15</v>
      </c>
      <c r="D2408" s="21" t="s">
        <v>23</v>
      </c>
      <c r="E2408" s="21"/>
      <c r="F2408" s="22" t="s">
        <v>389</v>
      </c>
      <c r="G2408" s="252">
        <v>70</v>
      </c>
      <c r="H2408" s="19"/>
      <c r="I2408" s="19">
        <f>COUNTIF(Tabela1[NF],Tabela1[[#This Row],[NF]])</f>
        <v>0</v>
      </c>
      <c r="K2408" s="21">
        <v>46132</v>
      </c>
      <c r="N2408" s="1" t="str" cm="1">
        <f t="array" ref="N2408">_xlfn.XLOOKUP(TRIM(D2408),TRIM(DFC!A:A),DFC!A:A,"NÃO ESTÁ NA DFC")</f>
        <v xml:space="preserve">         CONTABILIDADE</v>
      </c>
      <c r="O2408"/>
      <c r="P2408" s="303"/>
      <c r="Q2408" s="262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/>
      <c r="BV2408"/>
      <c r="BW2408"/>
      <c r="BX2408"/>
      <c r="BY2408"/>
      <c r="BZ2408"/>
      <c r="CA2408"/>
      <c r="CB2408"/>
      <c r="CC2408"/>
      <c r="CD2408"/>
      <c r="CE2408"/>
      <c r="CF2408"/>
      <c r="CG2408"/>
      <c r="CH2408"/>
      <c r="CI2408"/>
      <c r="CJ2408"/>
      <c r="CK2408"/>
      <c r="CL2408"/>
      <c r="CM2408"/>
      <c r="CN2408"/>
      <c r="CO2408"/>
      <c r="CP2408"/>
      <c r="CQ2408"/>
      <c r="CR2408"/>
      <c r="CS2408"/>
      <c r="CT2408"/>
      <c r="CU2408"/>
      <c r="CV2408"/>
      <c r="CW2408"/>
      <c r="CX2408"/>
      <c r="CY2408"/>
      <c r="CZ2408"/>
      <c r="DA2408"/>
      <c r="DB2408"/>
      <c r="DC2408"/>
      <c r="DD2408"/>
      <c r="DE2408"/>
      <c r="DF2408"/>
      <c r="DG2408"/>
      <c r="DH2408"/>
      <c r="DI2408"/>
      <c r="DJ2408"/>
      <c r="DK2408"/>
      <c r="DL2408"/>
      <c r="DM2408"/>
      <c r="DN2408"/>
      <c r="DO2408"/>
      <c r="DP2408"/>
      <c r="DQ2408"/>
      <c r="DR2408"/>
      <c r="DS2408"/>
      <c r="DT2408"/>
      <c r="DU2408"/>
      <c r="DV2408"/>
      <c r="DW2408"/>
      <c r="DX2408"/>
      <c r="DY2408"/>
      <c r="DZ2408"/>
      <c r="EA2408"/>
      <c r="EB2408"/>
      <c r="EC2408"/>
      <c r="ED2408"/>
      <c r="EE2408"/>
      <c r="EF2408"/>
      <c r="EG2408"/>
    </row>
    <row r="2409" spans="1:137" s="22" customFormat="1" ht="15" customHeight="1" x14ac:dyDescent="0.3">
      <c r="A2409" s="19">
        <v>76123</v>
      </c>
      <c r="B2409" s="21">
        <v>46132</v>
      </c>
      <c r="C2409" s="21" t="s">
        <v>15</v>
      </c>
      <c r="D2409" s="21" t="s">
        <v>154</v>
      </c>
      <c r="E2409" s="21"/>
      <c r="F2409" s="22" t="s">
        <v>303</v>
      </c>
      <c r="G2409" s="252">
        <v>534.5</v>
      </c>
      <c r="H2409" s="19"/>
      <c r="I2409" s="19">
        <f>COUNTIF(Tabela1[NF],Tabela1[[#This Row],[NF]])</f>
        <v>1</v>
      </c>
      <c r="K2409" s="21">
        <v>46132</v>
      </c>
      <c r="N2409" s="1" t="str" cm="1">
        <f t="array" ref="N2409">_xlfn.XLOOKUP(TRIM(D2409),TRIM(DFC!A:A),DFC!A:A,"NÃO ESTÁ NA DFC")</f>
        <v xml:space="preserve">      EMBALAGENS</v>
      </c>
      <c r="O2409"/>
      <c r="P2409" s="303"/>
      <c r="Q2409" s="262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/>
      <c r="BV2409"/>
      <c r="BW2409"/>
      <c r="BX2409"/>
      <c r="BY2409"/>
      <c r="BZ2409"/>
      <c r="CA2409"/>
      <c r="CB2409"/>
      <c r="CC2409"/>
      <c r="CD2409"/>
      <c r="CE2409"/>
      <c r="CF2409"/>
      <c r="CG2409"/>
      <c r="CH2409"/>
      <c r="CI2409"/>
      <c r="CJ2409"/>
      <c r="CK2409"/>
      <c r="CL2409"/>
      <c r="CM2409"/>
      <c r="CN2409"/>
      <c r="CO2409"/>
      <c r="CP2409"/>
      <c r="CQ2409"/>
      <c r="CR2409"/>
      <c r="CS2409"/>
      <c r="CT2409"/>
      <c r="CU2409"/>
      <c r="CV2409"/>
      <c r="CW2409"/>
      <c r="CX2409"/>
      <c r="CY2409"/>
      <c r="CZ2409"/>
      <c r="DA2409"/>
      <c r="DB2409"/>
      <c r="DC2409"/>
      <c r="DD2409"/>
      <c r="DE2409"/>
      <c r="DF2409"/>
      <c r="DG2409"/>
      <c r="DH2409"/>
      <c r="DI2409"/>
      <c r="DJ2409"/>
      <c r="DK2409"/>
      <c r="DL2409"/>
      <c r="DM2409"/>
      <c r="DN2409"/>
      <c r="DO2409"/>
      <c r="DP2409"/>
      <c r="DQ2409"/>
      <c r="DR2409"/>
      <c r="DS2409"/>
      <c r="DT2409"/>
      <c r="DU2409"/>
      <c r="DV2409"/>
      <c r="DW2409"/>
      <c r="DX2409"/>
      <c r="DY2409"/>
      <c r="DZ2409"/>
      <c r="EA2409"/>
      <c r="EB2409"/>
      <c r="EC2409"/>
      <c r="ED2409"/>
      <c r="EE2409"/>
      <c r="EF2409"/>
      <c r="EG2409"/>
    </row>
    <row r="2410" spans="1:137" s="22" customFormat="1" ht="15" customHeight="1" x14ac:dyDescent="0.3">
      <c r="A2410" s="19"/>
      <c r="B2410" s="21">
        <v>46132</v>
      </c>
      <c r="C2410" s="21" t="s">
        <v>15</v>
      </c>
      <c r="D2410" s="21" t="s">
        <v>782</v>
      </c>
      <c r="E2410" s="280" t="s">
        <v>519</v>
      </c>
      <c r="F2410" s="22" t="s">
        <v>733</v>
      </c>
      <c r="G2410" s="252">
        <v>470.46</v>
      </c>
      <c r="H2410" s="19"/>
      <c r="I2410" s="19">
        <f>COUNTIF(Tabela1[NF],Tabela1[[#This Row],[NF]])</f>
        <v>0</v>
      </c>
      <c r="K2410" s="21">
        <v>46132</v>
      </c>
      <c r="N2410" s="1" t="str" cm="1">
        <f t="array" ref="N2410">_xlfn.XLOOKUP(TRIM(D2410),TRIM(DFC!A:A),DFC!A:A,"NÃO ESTÁ NA DFC")</f>
        <v xml:space="preserve">     FUNDO EDUCAÇÃO SC</v>
      </c>
      <c r="O2410"/>
      <c r="P2410" s="303"/>
      <c r="Q2410" s="262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  <c r="BV2410"/>
      <c r="BW2410"/>
      <c r="BX2410"/>
      <c r="BY2410"/>
      <c r="BZ2410"/>
      <c r="CA2410"/>
      <c r="CB2410"/>
      <c r="CC2410"/>
      <c r="CD2410"/>
      <c r="CE2410"/>
      <c r="CF2410"/>
      <c r="CG2410"/>
      <c r="CH2410"/>
      <c r="CI2410"/>
      <c r="CJ2410"/>
      <c r="CK2410"/>
      <c r="CL2410"/>
      <c r="CM2410"/>
      <c r="CN2410"/>
      <c r="CO2410"/>
      <c r="CP2410"/>
      <c r="CQ2410"/>
      <c r="CR2410"/>
      <c r="CS2410"/>
      <c r="CT2410"/>
      <c r="CU2410"/>
      <c r="CV2410"/>
      <c r="CW2410"/>
      <c r="CX2410"/>
      <c r="CY2410"/>
      <c r="CZ2410"/>
      <c r="DA2410"/>
      <c r="DB2410"/>
      <c r="DC2410"/>
      <c r="DD2410"/>
      <c r="DE2410"/>
      <c r="DF2410"/>
      <c r="DG2410"/>
      <c r="DH2410"/>
      <c r="DI2410"/>
      <c r="DJ2410"/>
      <c r="DK2410"/>
      <c r="DL2410"/>
      <c r="DM2410"/>
      <c r="DN2410"/>
      <c r="DO2410"/>
      <c r="DP2410"/>
      <c r="DQ2410"/>
      <c r="DR2410"/>
      <c r="DS2410"/>
      <c r="DT2410"/>
      <c r="DU2410"/>
      <c r="DV2410"/>
      <c r="DW2410"/>
      <c r="DX2410"/>
      <c r="DY2410"/>
      <c r="DZ2410"/>
      <c r="EA2410"/>
      <c r="EB2410"/>
      <c r="EC2410"/>
      <c r="ED2410"/>
      <c r="EE2410"/>
      <c r="EF2410"/>
      <c r="EG2410"/>
    </row>
    <row r="2411" spans="1:137" s="22" customFormat="1" ht="15" customHeight="1" x14ac:dyDescent="0.3">
      <c r="A2411" s="19"/>
      <c r="B2411" s="21">
        <v>46132</v>
      </c>
      <c r="C2411" s="21" t="s">
        <v>15</v>
      </c>
      <c r="D2411" s="21" t="s">
        <v>246</v>
      </c>
      <c r="E2411" s="21"/>
      <c r="F2411" s="22" t="s">
        <v>581</v>
      </c>
      <c r="G2411" s="252">
        <v>903.07</v>
      </c>
      <c r="H2411" s="19"/>
      <c r="I2411" s="19">
        <f>COUNTIF(Tabela1[NF],Tabela1[[#This Row],[NF]])</f>
        <v>0</v>
      </c>
      <c r="K2411" s="21">
        <v>46132</v>
      </c>
      <c r="N2411" s="1" t="str" cm="1">
        <f t="array" ref="N2411">_xlfn.XLOOKUP(TRIM(D2411),TRIM(DFC!A:A),DFC!A:A,"NÃO ESTÁ NA DFC")</f>
        <v xml:space="preserve">          VALES</v>
      </c>
      <c r="O2411"/>
      <c r="P2411" s="303"/>
      <c r="Q2411" s="262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  <c r="BV2411"/>
      <c r="BW2411"/>
      <c r="BX2411"/>
      <c r="BY2411"/>
      <c r="BZ2411"/>
      <c r="CA2411"/>
      <c r="CB2411"/>
      <c r="CC2411"/>
      <c r="CD2411"/>
      <c r="CE2411"/>
      <c r="CF2411"/>
      <c r="CG2411"/>
      <c r="CH2411"/>
      <c r="CI2411"/>
      <c r="CJ2411"/>
      <c r="CK2411"/>
      <c r="CL2411"/>
      <c r="CM2411"/>
      <c r="CN2411"/>
      <c r="CO2411"/>
      <c r="CP2411"/>
      <c r="CQ2411"/>
      <c r="CR2411"/>
      <c r="CS2411"/>
      <c r="CT2411"/>
      <c r="CU2411"/>
      <c r="CV2411"/>
      <c r="CW2411"/>
      <c r="CX2411"/>
      <c r="CY2411"/>
      <c r="CZ2411"/>
      <c r="DA2411"/>
      <c r="DB2411"/>
      <c r="DC2411"/>
      <c r="DD2411"/>
      <c r="DE2411"/>
      <c r="DF2411"/>
      <c r="DG2411"/>
      <c r="DH2411"/>
      <c r="DI2411"/>
      <c r="DJ2411"/>
      <c r="DK2411"/>
      <c r="DL2411"/>
      <c r="DM2411"/>
      <c r="DN2411"/>
      <c r="DO2411"/>
      <c r="DP2411"/>
      <c r="DQ2411"/>
      <c r="DR2411"/>
      <c r="DS2411"/>
      <c r="DT2411"/>
      <c r="DU2411"/>
      <c r="DV2411"/>
      <c r="DW2411"/>
      <c r="DX2411"/>
      <c r="DY2411"/>
      <c r="DZ2411"/>
      <c r="EA2411"/>
      <c r="EB2411"/>
      <c r="EC2411"/>
      <c r="ED2411"/>
      <c r="EE2411"/>
      <c r="EF2411"/>
      <c r="EG2411"/>
    </row>
    <row r="2412" spans="1:137" s="22" customFormat="1" ht="15" customHeight="1" x14ac:dyDescent="0.3">
      <c r="A2412" s="19"/>
      <c r="B2412" s="21">
        <v>46132</v>
      </c>
      <c r="C2412" s="21" t="s">
        <v>15</v>
      </c>
      <c r="D2412" s="21" t="s">
        <v>246</v>
      </c>
      <c r="E2412" s="21"/>
      <c r="F2412" s="22" t="s">
        <v>710</v>
      </c>
      <c r="G2412" s="252">
        <v>763.92</v>
      </c>
      <c r="H2412" s="19"/>
      <c r="I2412" s="19">
        <f>COUNTIF(Tabela1[NF],Tabela1[[#This Row],[NF]])</f>
        <v>0</v>
      </c>
      <c r="K2412" s="21">
        <v>46132</v>
      </c>
      <c r="N2412" s="1" t="str" cm="1">
        <f t="array" ref="N2412">_xlfn.XLOOKUP(TRIM(D2412),TRIM(DFC!A:A),DFC!A:A,"NÃO ESTÁ NA DFC")</f>
        <v xml:space="preserve">          VALES</v>
      </c>
      <c r="O2412"/>
      <c r="P2412" s="303"/>
      <c r="Q2412" s="26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  <c r="CA2412"/>
      <c r="CB2412"/>
      <c r="CC2412"/>
      <c r="CD2412"/>
      <c r="CE2412"/>
      <c r="CF2412"/>
      <c r="CG2412"/>
      <c r="CH2412"/>
      <c r="CI2412"/>
      <c r="CJ2412"/>
      <c r="CK2412"/>
      <c r="CL2412"/>
      <c r="CM2412"/>
      <c r="CN2412"/>
      <c r="CO2412"/>
      <c r="CP2412"/>
      <c r="CQ2412"/>
      <c r="CR2412"/>
      <c r="CS2412"/>
      <c r="CT2412"/>
      <c r="CU2412"/>
      <c r="CV2412"/>
      <c r="CW2412"/>
      <c r="CX2412"/>
      <c r="CY2412"/>
      <c r="CZ2412"/>
      <c r="DA2412"/>
      <c r="DB2412"/>
      <c r="DC2412"/>
      <c r="DD2412"/>
      <c r="DE2412"/>
      <c r="DF2412"/>
      <c r="DG2412"/>
      <c r="DH2412"/>
      <c r="DI2412"/>
      <c r="DJ2412"/>
      <c r="DK2412"/>
      <c r="DL2412"/>
      <c r="DM2412"/>
      <c r="DN2412"/>
      <c r="DO2412"/>
      <c r="DP2412"/>
      <c r="DQ2412"/>
      <c r="DR2412"/>
      <c r="DS2412"/>
      <c r="DT2412"/>
      <c r="DU2412"/>
      <c r="DV2412"/>
      <c r="DW2412"/>
      <c r="DX2412"/>
      <c r="DY2412"/>
      <c r="DZ2412"/>
      <c r="EA2412"/>
      <c r="EB2412"/>
      <c r="EC2412"/>
      <c r="ED2412"/>
      <c r="EE2412"/>
      <c r="EF2412"/>
      <c r="EG2412"/>
    </row>
    <row r="2413" spans="1:137" s="22" customFormat="1" ht="15" customHeight="1" x14ac:dyDescent="0.3">
      <c r="A2413" s="19">
        <v>3050</v>
      </c>
      <c r="B2413" s="21">
        <v>46132</v>
      </c>
      <c r="C2413" s="21" t="s">
        <v>15</v>
      </c>
      <c r="D2413" s="21" t="s">
        <v>707</v>
      </c>
      <c r="E2413" s="21"/>
      <c r="F2413" s="22" t="s">
        <v>708</v>
      </c>
      <c r="G2413" s="252">
        <v>1128</v>
      </c>
      <c r="H2413" s="19"/>
      <c r="I2413" s="19">
        <f>COUNTIF(Tabela1[NF],Tabela1[[#This Row],[NF]])</f>
        <v>1</v>
      </c>
      <c r="K2413" s="21">
        <v>46132</v>
      </c>
      <c r="N2413" s="1" t="str" cm="1">
        <f t="array" ref="N2413">_xlfn.XLOOKUP(TRIM(D2413),TRIM(DFC!A:A),DFC!A:A,"NÃO ESTÁ NA DFC")</f>
        <v xml:space="preserve">         RECRUTAMENTO</v>
      </c>
      <c r="O2413"/>
      <c r="P2413" s="303"/>
      <c r="Q2413" s="262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  <c r="BV2413"/>
      <c r="BW2413"/>
      <c r="BX2413"/>
      <c r="BY2413"/>
      <c r="BZ2413"/>
      <c r="CA2413"/>
      <c r="CB2413"/>
      <c r="CC2413"/>
      <c r="CD2413"/>
      <c r="CE2413"/>
      <c r="CF2413"/>
      <c r="CG2413"/>
      <c r="CH2413"/>
      <c r="CI2413"/>
      <c r="CJ2413"/>
      <c r="CK2413"/>
      <c r="CL2413"/>
      <c r="CM2413"/>
      <c r="CN2413"/>
      <c r="CO2413"/>
      <c r="CP2413"/>
      <c r="CQ2413"/>
      <c r="CR2413"/>
      <c r="CS2413"/>
      <c r="CT2413"/>
      <c r="CU2413"/>
      <c r="CV2413"/>
      <c r="CW2413"/>
      <c r="CX2413"/>
      <c r="CY2413"/>
      <c r="CZ2413"/>
      <c r="DA2413"/>
      <c r="DB2413"/>
      <c r="DC2413"/>
      <c r="DD2413"/>
      <c r="DE2413"/>
      <c r="DF2413"/>
      <c r="DG2413"/>
      <c r="DH2413"/>
      <c r="DI2413"/>
      <c r="DJ2413"/>
      <c r="DK2413"/>
      <c r="DL2413"/>
      <c r="DM2413"/>
      <c r="DN2413"/>
      <c r="DO2413"/>
      <c r="DP2413"/>
      <c r="DQ2413"/>
      <c r="DR2413"/>
      <c r="DS2413"/>
      <c r="DT2413"/>
      <c r="DU2413"/>
      <c r="DV2413"/>
      <c r="DW2413"/>
      <c r="DX2413"/>
      <c r="DY2413"/>
      <c r="DZ2413"/>
      <c r="EA2413"/>
      <c r="EB2413"/>
      <c r="EC2413"/>
      <c r="ED2413"/>
      <c r="EE2413"/>
      <c r="EF2413"/>
      <c r="EG2413"/>
    </row>
    <row r="2414" spans="1:137" s="22" customFormat="1" ht="15" customHeight="1" x14ac:dyDescent="0.3">
      <c r="A2414" s="19">
        <v>125961</v>
      </c>
      <c r="B2414" s="21">
        <v>46132</v>
      </c>
      <c r="C2414" s="21" t="s">
        <v>15</v>
      </c>
      <c r="D2414" s="21" t="s">
        <v>19</v>
      </c>
      <c r="E2414" s="21"/>
      <c r="F2414" s="22" t="s">
        <v>933</v>
      </c>
      <c r="G2414" s="252">
        <v>244.2</v>
      </c>
      <c r="H2414" s="19"/>
      <c r="I2414" s="19">
        <f>COUNTIF(Tabela1[NF],Tabela1[[#This Row],[NF]])</f>
        <v>1</v>
      </c>
      <c r="K2414" s="21">
        <v>46132</v>
      </c>
      <c r="N2414" s="1" t="str" cm="1">
        <f t="array" ref="N2414">_xlfn.XLOOKUP(TRIM(D2414),TRIM(DFC!A:A),DFC!A:A,"NÃO ESTÁ NA DFC")</f>
        <v xml:space="preserve">      PEÇAS</v>
      </c>
      <c r="O2414"/>
      <c r="P2414" s="303"/>
      <c r="Q2414" s="262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/>
      <c r="BV2414"/>
      <c r="BW2414"/>
      <c r="BX2414"/>
      <c r="BY2414"/>
      <c r="BZ2414"/>
      <c r="CA2414"/>
      <c r="CB2414"/>
      <c r="CC2414"/>
      <c r="CD2414"/>
      <c r="CE2414"/>
      <c r="CF2414"/>
      <c r="CG2414"/>
      <c r="CH2414"/>
      <c r="CI2414"/>
      <c r="CJ2414"/>
      <c r="CK2414"/>
      <c r="CL2414"/>
      <c r="CM2414"/>
      <c r="CN2414"/>
      <c r="CO2414"/>
      <c r="CP2414"/>
      <c r="CQ2414"/>
      <c r="CR2414"/>
      <c r="CS2414"/>
      <c r="CT2414"/>
      <c r="CU2414"/>
      <c r="CV2414"/>
      <c r="CW2414"/>
      <c r="CX2414"/>
      <c r="CY2414"/>
      <c r="CZ2414"/>
      <c r="DA2414"/>
      <c r="DB2414"/>
      <c r="DC2414"/>
      <c r="DD2414"/>
      <c r="DE2414"/>
      <c r="DF2414"/>
      <c r="DG2414"/>
      <c r="DH2414"/>
      <c r="DI2414"/>
      <c r="DJ2414"/>
      <c r="DK2414"/>
      <c r="DL2414"/>
      <c r="DM2414"/>
      <c r="DN2414"/>
      <c r="DO2414"/>
      <c r="DP2414"/>
      <c r="DQ2414"/>
      <c r="DR2414"/>
      <c r="DS2414"/>
      <c r="DT2414"/>
      <c r="DU2414"/>
      <c r="DV2414"/>
      <c r="DW2414"/>
      <c r="DX2414"/>
      <c r="DY2414"/>
      <c r="DZ2414"/>
      <c r="EA2414"/>
      <c r="EB2414"/>
      <c r="EC2414"/>
      <c r="ED2414"/>
      <c r="EE2414"/>
      <c r="EF2414"/>
      <c r="EG2414"/>
    </row>
    <row r="2415" spans="1:137" s="22" customFormat="1" ht="15" customHeight="1" x14ac:dyDescent="0.3">
      <c r="A2415" s="19">
        <v>774243962</v>
      </c>
      <c r="B2415" s="21">
        <v>46132</v>
      </c>
      <c r="C2415" s="21" t="s">
        <v>15</v>
      </c>
      <c r="D2415" s="21" t="s">
        <v>40</v>
      </c>
      <c r="E2415" s="20" t="s">
        <v>608</v>
      </c>
      <c r="F2415" s="22" t="s">
        <v>609</v>
      </c>
      <c r="G2415" s="252">
        <v>311.5</v>
      </c>
      <c r="H2415" s="19"/>
      <c r="I2415" s="19">
        <f>COUNTIF(Tabela1[NF],Tabela1[[#This Row],[NF]])</f>
        <v>1</v>
      </c>
      <c r="K2415" s="21">
        <v>46132</v>
      </c>
      <c r="N2415" s="1" t="str" cm="1">
        <f t="array" ref="N2415">_xlfn.XLOOKUP(TRIM(D2415),TRIM(DFC!A:A),DFC!A:A,"NÃO ESTÁ NA DFC")</f>
        <v xml:space="preserve">         SERVIÇO TERCEIRIZADO</v>
      </c>
      <c r="O2415"/>
      <c r="P2415" s="303"/>
      <c r="Q2415" s="262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/>
      <c r="BV2415"/>
      <c r="BW2415"/>
      <c r="BX2415"/>
      <c r="BY2415"/>
      <c r="BZ2415"/>
      <c r="CA2415"/>
      <c r="CB2415"/>
      <c r="CC2415"/>
      <c r="CD2415"/>
      <c r="CE2415"/>
      <c r="CF2415"/>
      <c r="CG2415"/>
      <c r="CH2415"/>
      <c r="CI2415"/>
      <c r="CJ2415"/>
      <c r="CK2415"/>
      <c r="CL2415"/>
      <c r="CM2415"/>
      <c r="CN2415"/>
      <c r="CO2415"/>
      <c r="CP2415"/>
      <c r="CQ2415"/>
      <c r="CR2415"/>
      <c r="CS2415"/>
      <c r="CT2415"/>
      <c r="CU2415"/>
      <c r="CV2415"/>
      <c r="CW2415"/>
      <c r="CX2415"/>
      <c r="CY2415"/>
      <c r="CZ2415"/>
      <c r="DA2415"/>
      <c r="DB2415"/>
      <c r="DC2415"/>
      <c r="DD2415"/>
      <c r="DE2415"/>
      <c r="DF2415"/>
      <c r="DG2415"/>
      <c r="DH2415"/>
      <c r="DI2415"/>
      <c r="DJ2415"/>
      <c r="DK2415"/>
      <c r="DL2415"/>
      <c r="DM2415"/>
      <c r="DN2415"/>
      <c r="DO2415"/>
      <c r="DP2415"/>
      <c r="DQ2415"/>
      <c r="DR2415"/>
      <c r="DS2415"/>
      <c r="DT2415"/>
      <c r="DU2415"/>
      <c r="DV2415"/>
      <c r="DW2415"/>
      <c r="DX2415"/>
      <c r="DY2415"/>
      <c r="DZ2415"/>
      <c r="EA2415"/>
      <c r="EB2415"/>
      <c r="EC2415"/>
      <c r="ED2415"/>
      <c r="EE2415"/>
      <c r="EF2415"/>
      <c r="EG2415"/>
    </row>
    <row r="2416" spans="1:137" s="22" customFormat="1" ht="15" customHeight="1" x14ac:dyDescent="0.3">
      <c r="A2416" s="19" t="s">
        <v>934</v>
      </c>
      <c r="B2416" s="21">
        <v>46132</v>
      </c>
      <c r="C2416" s="21" t="s">
        <v>15</v>
      </c>
      <c r="D2416" s="21" t="s">
        <v>19</v>
      </c>
      <c r="E2416" s="21"/>
      <c r="F2416" s="22" t="s">
        <v>455</v>
      </c>
      <c r="G2416" s="252">
        <v>1621.38</v>
      </c>
      <c r="H2416" s="19"/>
      <c r="I2416" s="19">
        <f>COUNTIF(Tabela1[NF],Tabela1[[#This Row],[NF]])</f>
        <v>1</v>
      </c>
      <c r="K2416" s="21">
        <v>46132</v>
      </c>
      <c r="N2416" s="1" t="str" cm="1">
        <f t="array" ref="N2416">_xlfn.XLOOKUP(TRIM(D2416),TRIM(DFC!A:A),DFC!A:A,"NÃO ESTÁ NA DFC")</f>
        <v xml:space="preserve">      PEÇAS</v>
      </c>
      <c r="O2416"/>
      <c r="P2416" s="303"/>
      <c r="Q2416" s="262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  <c r="CA2416"/>
      <c r="CB2416"/>
      <c r="CC2416"/>
      <c r="CD2416"/>
      <c r="CE2416"/>
      <c r="CF2416"/>
      <c r="CG2416"/>
      <c r="CH2416"/>
      <c r="CI2416"/>
      <c r="CJ2416"/>
      <c r="CK2416"/>
      <c r="CL2416"/>
      <c r="CM2416"/>
      <c r="CN2416"/>
      <c r="CO2416"/>
      <c r="CP2416"/>
      <c r="CQ2416"/>
      <c r="CR2416"/>
      <c r="CS2416"/>
      <c r="CT2416"/>
      <c r="CU2416"/>
      <c r="CV2416"/>
      <c r="CW2416"/>
      <c r="CX2416"/>
      <c r="CY2416"/>
      <c r="CZ2416"/>
      <c r="DA2416"/>
      <c r="DB2416"/>
      <c r="DC2416"/>
      <c r="DD2416"/>
      <c r="DE2416"/>
      <c r="DF2416"/>
      <c r="DG2416"/>
      <c r="DH2416"/>
      <c r="DI2416"/>
      <c r="DJ2416"/>
      <c r="DK2416"/>
      <c r="DL2416"/>
      <c r="DM2416"/>
      <c r="DN2416"/>
      <c r="DO2416"/>
      <c r="DP2416"/>
      <c r="DQ2416"/>
      <c r="DR2416"/>
      <c r="DS2416"/>
      <c r="DT2416"/>
      <c r="DU2416"/>
      <c r="DV2416"/>
      <c r="DW2416"/>
      <c r="DX2416"/>
      <c r="DY2416"/>
      <c r="DZ2416"/>
      <c r="EA2416"/>
      <c r="EB2416"/>
      <c r="EC2416"/>
      <c r="ED2416"/>
      <c r="EE2416"/>
      <c r="EF2416"/>
      <c r="EG2416"/>
    </row>
    <row r="2417" spans="1:137" s="22" customFormat="1" ht="15" customHeight="1" x14ac:dyDescent="0.3">
      <c r="A2417" s="19" t="s">
        <v>935</v>
      </c>
      <c r="B2417" s="21">
        <v>46132</v>
      </c>
      <c r="C2417" s="21" t="s">
        <v>15</v>
      </c>
      <c r="D2417" s="21" t="s">
        <v>19</v>
      </c>
      <c r="E2417" s="21"/>
      <c r="F2417" s="22" t="s">
        <v>691</v>
      </c>
      <c r="G2417" s="252">
        <v>1998.45</v>
      </c>
      <c r="H2417" s="19"/>
      <c r="I2417" s="19">
        <f>COUNTIF(Tabela1[NF],Tabela1[[#This Row],[NF]])</f>
        <v>1</v>
      </c>
      <c r="K2417" s="21">
        <v>46132</v>
      </c>
      <c r="N2417" s="1" t="str" cm="1">
        <f t="array" ref="N2417">_xlfn.XLOOKUP(TRIM(D2417),TRIM(DFC!A:A),DFC!A:A,"NÃO ESTÁ NA DFC")</f>
        <v xml:space="preserve">      PEÇAS</v>
      </c>
      <c r="O2417"/>
      <c r="P2417" s="303"/>
      <c r="Q2417" s="262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  <c r="BV2417"/>
      <c r="BW2417"/>
      <c r="BX2417"/>
      <c r="BY2417"/>
      <c r="BZ2417"/>
      <c r="CA2417"/>
      <c r="CB2417"/>
      <c r="CC2417"/>
      <c r="CD2417"/>
      <c r="CE2417"/>
      <c r="CF2417"/>
      <c r="CG2417"/>
      <c r="CH2417"/>
      <c r="CI2417"/>
      <c r="CJ2417"/>
      <c r="CK2417"/>
      <c r="CL2417"/>
      <c r="CM2417"/>
      <c r="CN2417"/>
      <c r="CO2417"/>
      <c r="CP2417"/>
      <c r="CQ2417"/>
      <c r="CR2417"/>
      <c r="CS2417"/>
      <c r="CT2417"/>
      <c r="CU2417"/>
      <c r="CV2417"/>
      <c r="CW2417"/>
      <c r="CX2417"/>
      <c r="CY2417"/>
      <c r="CZ2417"/>
      <c r="DA2417"/>
      <c r="DB2417"/>
      <c r="DC2417"/>
      <c r="DD2417"/>
      <c r="DE2417"/>
      <c r="DF2417"/>
      <c r="DG2417"/>
      <c r="DH2417"/>
      <c r="DI2417"/>
      <c r="DJ2417"/>
      <c r="DK2417"/>
      <c r="DL2417"/>
      <c r="DM2417"/>
      <c r="DN2417"/>
      <c r="DO2417"/>
      <c r="DP2417"/>
      <c r="DQ2417"/>
      <c r="DR2417"/>
      <c r="DS2417"/>
      <c r="DT2417"/>
      <c r="DU2417"/>
      <c r="DV2417"/>
      <c r="DW2417"/>
      <c r="DX2417"/>
      <c r="DY2417"/>
      <c r="DZ2417"/>
      <c r="EA2417"/>
      <c r="EB2417"/>
      <c r="EC2417"/>
      <c r="ED2417"/>
      <c r="EE2417"/>
      <c r="EF2417"/>
      <c r="EG2417"/>
    </row>
    <row r="2418" spans="1:137" s="22" customFormat="1" ht="15" customHeight="1" x14ac:dyDescent="0.3">
      <c r="A2418" s="19">
        <v>700</v>
      </c>
      <c r="B2418" s="21">
        <v>46132</v>
      </c>
      <c r="C2418" s="21" t="s">
        <v>15</v>
      </c>
      <c r="D2418" s="21" t="s">
        <v>31</v>
      </c>
      <c r="E2418" s="21"/>
      <c r="F2418" s="22" t="s">
        <v>408</v>
      </c>
      <c r="G2418" s="252">
        <v>2067.37</v>
      </c>
      <c r="H2418" s="19"/>
      <c r="I2418" s="19">
        <f>COUNTIF(Tabela1[NF],Tabela1[[#This Row],[NF]])</f>
        <v>2</v>
      </c>
      <c r="K2418" s="21">
        <v>46132</v>
      </c>
      <c r="N2418" s="1" t="str" cm="1">
        <f t="array" ref="N2418">_xlfn.XLOOKUP(TRIM(D2418),TRIM(DFC!A:A),DFC!A:A,"NÃO ESTÁ NA DFC")</f>
        <v xml:space="preserve">      GRAN RESIDENCE</v>
      </c>
      <c r="O2418"/>
      <c r="P2418" s="303"/>
      <c r="Q2418" s="262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  <c r="BV2418"/>
      <c r="BW2418"/>
      <c r="BX2418"/>
      <c r="BY2418"/>
      <c r="BZ2418"/>
      <c r="CA2418"/>
      <c r="CB2418"/>
      <c r="CC2418"/>
      <c r="CD2418"/>
      <c r="CE2418"/>
      <c r="CF2418"/>
      <c r="CG2418"/>
      <c r="CH2418"/>
      <c r="CI2418"/>
      <c r="CJ2418"/>
      <c r="CK2418"/>
      <c r="CL2418"/>
      <c r="CM2418"/>
      <c r="CN2418"/>
      <c r="CO2418"/>
      <c r="CP2418"/>
      <c r="CQ2418"/>
      <c r="CR2418"/>
      <c r="CS2418"/>
      <c r="CT2418"/>
      <c r="CU2418"/>
      <c r="CV2418"/>
      <c r="CW2418"/>
      <c r="CX2418"/>
      <c r="CY2418"/>
      <c r="CZ2418"/>
      <c r="DA2418"/>
      <c r="DB2418"/>
      <c r="DC2418"/>
      <c r="DD2418"/>
      <c r="DE2418"/>
      <c r="DF2418"/>
      <c r="DG2418"/>
      <c r="DH2418"/>
      <c r="DI2418"/>
      <c r="DJ2418"/>
      <c r="DK2418"/>
      <c r="DL2418"/>
      <c r="DM2418"/>
      <c r="DN2418"/>
      <c r="DO2418"/>
      <c r="DP2418"/>
      <c r="DQ2418"/>
      <c r="DR2418"/>
      <c r="DS2418"/>
      <c r="DT2418"/>
      <c r="DU2418"/>
      <c r="DV2418"/>
      <c r="DW2418"/>
      <c r="DX2418"/>
      <c r="DY2418"/>
      <c r="DZ2418"/>
      <c r="EA2418"/>
      <c r="EB2418"/>
      <c r="EC2418"/>
      <c r="ED2418"/>
      <c r="EE2418"/>
      <c r="EF2418"/>
      <c r="EG2418"/>
    </row>
    <row r="2419" spans="1:137" s="22" customFormat="1" ht="15" customHeight="1" x14ac:dyDescent="0.3">
      <c r="A2419" s="19">
        <v>112471</v>
      </c>
      <c r="B2419" s="21">
        <v>46132</v>
      </c>
      <c r="C2419" s="21" t="s">
        <v>15</v>
      </c>
      <c r="D2419" s="21" t="s">
        <v>19</v>
      </c>
      <c r="E2419" s="21"/>
      <c r="F2419" s="22" t="s">
        <v>936</v>
      </c>
      <c r="G2419" s="252">
        <v>5662.44</v>
      </c>
      <c r="H2419" s="19"/>
      <c r="I2419" s="19">
        <f>COUNTIF(Tabela1[NF],Tabela1[[#This Row],[NF]])</f>
        <v>1</v>
      </c>
      <c r="K2419" s="21">
        <v>46132</v>
      </c>
      <c r="N2419" s="1" t="str" cm="1">
        <f t="array" ref="N2419">_xlfn.XLOOKUP(TRIM(D2419),TRIM(DFC!A:A),DFC!A:A,"NÃO ESTÁ NA DFC")</f>
        <v xml:space="preserve">      PEÇAS</v>
      </c>
      <c r="O2419"/>
      <c r="P2419" s="303"/>
      <c r="Q2419" s="262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  <c r="BV2419"/>
      <c r="BW2419"/>
      <c r="BX2419"/>
      <c r="BY2419"/>
      <c r="BZ2419"/>
      <c r="CA2419"/>
      <c r="CB2419"/>
      <c r="CC2419"/>
      <c r="CD2419"/>
      <c r="CE2419"/>
      <c r="CF2419"/>
      <c r="CG2419"/>
      <c r="CH2419"/>
      <c r="CI2419"/>
      <c r="CJ2419"/>
      <c r="CK2419"/>
      <c r="CL2419"/>
      <c r="CM2419"/>
      <c r="CN2419"/>
      <c r="CO2419"/>
      <c r="CP2419"/>
      <c r="CQ2419"/>
      <c r="CR2419"/>
      <c r="CS2419"/>
      <c r="CT2419"/>
      <c r="CU2419"/>
      <c r="CV2419"/>
      <c r="CW2419"/>
      <c r="CX2419"/>
      <c r="CY2419"/>
      <c r="CZ2419"/>
      <c r="DA2419"/>
      <c r="DB2419"/>
      <c r="DC2419"/>
      <c r="DD2419"/>
      <c r="DE2419"/>
      <c r="DF2419"/>
      <c r="DG2419"/>
      <c r="DH2419"/>
      <c r="DI2419"/>
      <c r="DJ2419"/>
      <c r="DK2419"/>
      <c r="DL2419"/>
      <c r="DM2419"/>
      <c r="DN2419"/>
      <c r="DO2419"/>
      <c r="DP2419"/>
      <c r="DQ2419"/>
      <c r="DR2419"/>
      <c r="DS2419"/>
      <c r="DT2419"/>
      <c r="DU2419"/>
      <c r="DV2419"/>
      <c r="DW2419"/>
      <c r="DX2419"/>
      <c r="DY2419"/>
      <c r="DZ2419"/>
      <c r="EA2419"/>
      <c r="EB2419"/>
      <c r="EC2419"/>
      <c r="ED2419"/>
      <c r="EE2419"/>
      <c r="EF2419"/>
      <c r="EG2419"/>
    </row>
    <row r="2420" spans="1:137" ht="15" customHeight="1" x14ac:dyDescent="0.3">
      <c r="A2420" s="19"/>
      <c r="B2420" s="21">
        <v>46134</v>
      </c>
      <c r="C2420" s="21" t="s">
        <v>15</v>
      </c>
      <c r="D2420" s="21" t="s">
        <v>82</v>
      </c>
      <c r="E2420" s="21"/>
      <c r="F2420" s="22" t="s">
        <v>937</v>
      </c>
      <c r="G2420" s="252">
        <v>360</v>
      </c>
      <c r="H2420" s="19"/>
      <c r="I2420" s="19">
        <f>COUNTIF(Tabela1[NF],Tabela1[[#This Row],[NF]])</f>
        <v>0</v>
      </c>
      <c r="J2420" s="22"/>
      <c r="K2420" s="21">
        <v>46134</v>
      </c>
      <c r="L2420" s="22"/>
      <c r="M2420" s="22"/>
      <c r="N2420" s="1" t="str" cm="1">
        <f t="array" ref="N2420">_xlfn.XLOOKUP(TRIM(D2420),TRIM(DFC!A:A),DFC!A:A,"NÃO ESTÁ NA DFC")</f>
        <v xml:space="preserve">          DIÁRIAS</v>
      </c>
    </row>
    <row r="2421" spans="1:137" ht="15" customHeight="1" x14ac:dyDescent="0.3">
      <c r="A2421" s="19"/>
      <c r="B2421" s="21">
        <v>46134</v>
      </c>
      <c r="C2421" s="21" t="s">
        <v>15</v>
      </c>
      <c r="D2421" s="21" t="s">
        <v>156</v>
      </c>
      <c r="E2421" s="21"/>
      <c r="F2421" s="22" t="s">
        <v>314</v>
      </c>
      <c r="G2421" s="252">
        <v>5115</v>
      </c>
      <c r="H2421" s="19"/>
      <c r="I2421" s="19">
        <f>COUNTIF(Tabela1[NF],Tabela1[[#This Row],[NF]])</f>
        <v>0</v>
      </c>
      <c r="J2421" s="22"/>
      <c r="K2421" s="21">
        <v>46134</v>
      </c>
      <c r="L2421" s="22"/>
      <c r="M2421" s="22"/>
      <c r="N2421" s="1" t="str" cm="1">
        <f t="array" ref="N2421">_xlfn.XLOOKUP(TRIM(D2421),TRIM(DFC!A:A),DFC!A:A,"NÃO ESTÁ NA DFC")</f>
        <v xml:space="preserve">      MONTAGEM DE RODAS</v>
      </c>
    </row>
    <row r="2422" spans="1:137" ht="15" customHeight="1" x14ac:dyDescent="0.3">
      <c r="A2422" s="19">
        <v>13199</v>
      </c>
      <c r="B2422" s="21">
        <v>46134</v>
      </c>
      <c r="C2422" s="21" t="s">
        <v>15</v>
      </c>
      <c r="D2422" s="21" t="s">
        <v>37</v>
      </c>
      <c r="E2422" s="21"/>
      <c r="F2422" s="22" t="s">
        <v>341</v>
      </c>
      <c r="G2422" s="252">
        <v>82.4</v>
      </c>
      <c r="H2422" s="19"/>
      <c r="I2422" s="19">
        <f>COUNTIF(Tabela1[NF],Tabela1[[#This Row],[NF]])</f>
        <v>1</v>
      </c>
      <c r="J2422" s="22"/>
      <c r="K2422" s="21">
        <v>46134</v>
      </c>
      <c r="L2422" s="22"/>
      <c r="M2422" s="22"/>
      <c r="N2422" s="1" t="str" cm="1">
        <f t="array" ref="N2422">_xlfn.XLOOKUP(TRIM(D2422),TRIM(DFC!A:A),DFC!A:A,"NÃO ESTÁ NA DFC")</f>
        <v xml:space="preserve">          MATERIAL DE ESCRITÓRIO</v>
      </c>
    </row>
    <row r="2423" spans="1:137" ht="15" customHeight="1" x14ac:dyDescent="0.3">
      <c r="A2423" s="19">
        <v>2731</v>
      </c>
      <c r="B2423" s="21">
        <v>46134</v>
      </c>
      <c r="C2423" s="21" t="s">
        <v>15</v>
      </c>
      <c r="D2423" s="21" t="s">
        <v>19</v>
      </c>
      <c r="E2423" s="21"/>
      <c r="F2423" s="22" t="s">
        <v>911</v>
      </c>
      <c r="G2423" s="252">
        <v>2092</v>
      </c>
      <c r="H2423" s="19"/>
      <c r="I2423" s="19">
        <f>COUNTIF(Tabela1[NF],Tabela1[[#This Row],[NF]])</f>
        <v>1</v>
      </c>
      <c r="J2423" s="22"/>
      <c r="K2423" s="21">
        <v>46134</v>
      </c>
      <c r="L2423" s="22"/>
      <c r="M2423" s="22"/>
      <c r="N2423" s="1" t="str" cm="1">
        <f t="array" ref="N2423">_xlfn.XLOOKUP(TRIM(D2423),TRIM(DFC!A:A),DFC!A:A,"NÃO ESTÁ NA DFC")</f>
        <v xml:space="preserve">      PEÇAS</v>
      </c>
    </row>
    <row r="2424" spans="1:137" ht="15" customHeight="1" x14ac:dyDescent="0.3">
      <c r="A2424" s="19">
        <v>5156</v>
      </c>
      <c r="B2424" s="21">
        <v>46134</v>
      </c>
      <c r="C2424" s="21" t="s">
        <v>15</v>
      </c>
      <c r="D2424" s="21" t="s">
        <v>19</v>
      </c>
      <c r="E2424" s="21"/>
      <c r="F2424" s="22" t="s">
        <v>300</v>
      </c>
      <c r="G2424" s="252">
        <v>2504.25</v>
      </c>
      <c r="H2424" s="19"/>
      <c r="I2424" s="19">
        <f>COUNTIF(Tabela1[NF],Tabela1[[#This Row],[NF]])</f>
        <v>1</v>
      </c>
      <c r="J2424" s="22"/>
      <c r="K2424" s="21">
        <v>46134</v>
      </c>
      <c r="L2424" s="22"/>
      <c r="N2424" s="1" t="str" cm="1">
        <f t="array" ref="N2424">_xlfn.XLOOKUP(TRIM(D2424),TRIM(DFC!A:A),DFC!A:A,"NÃO ESTÁ NA DFC")</f>
        <v xml:space="preserve">      PEÇAS</v>
      </c>
    </row>
    <row r="2425" spans="1:137" ht="15" customHeight="1" x14ac:dyDescent="0.3">
      <c r="A2425" s="19">
        <v>312318</v>
      </c>
      <c r="B2425" s="21">
        <v>46134</v>
      </c>
      <c r="C2425" s="21" t="s">
        <v>15</v>
      </c>
      <c r="D2425" s="21" t="s">
        <v>19</v>
      </c>
      <c r="E2425" s="21"/>
      <c r="F2425" s="22" t="s">
        <v>385</v>
      </c>
      <c r="G2425" s="252">
        <v>3138.13</v>
      </c>
      <c r="H2425" s="19"/>
      <c r="I2425" s="19">
        <f>COUNTIF(Tabela1[NF],Tabela1[[#This Row],[NF]])</f>
        <v>1</v>
      </c>
      <c r="J2425" s="22"/>
      <c r="K2425" s="21">
        <v>46134</v>
      </c>
      <c r="L2425" s="22"/>
      <c r="M2425" s="22"/>
      <c r="N2425" s="1" t="str" cm="1">
        <f t="array" ref="N2425">_xlfn.XLOOKUP(TRIM(D2425),TRIM(DFC!A:A),DFC!A:A,"NÃO ESTÁ NA DFC")</f>
        <v xml:space="preserve">      PEÇAS</v>
      </c>
    </row>
    <row r="2426" spans="1:137" ht="15" customHeight="1" x14ac:dyDescent="0.3">
      <c r="A2426" s="19">
        <v>4639</v>
      </c>
      <c r="B2426" s="21">
        <v>46134</v>
      </c>
      <c r="C2426" s="21" t="s">
        <v>15</v>
      </c>
      <c r="D2426" s="21" t="s">
        <v>19</v>
      </c>
      <c r="E2426" s="21"/>
      <c r="F2426" s="22" t="s">
        <v>315</v>
      </c>
      <c r="G2426" s="252">
        <v>3333.33</v>
      </c>
      <c r="H2426" s="19"/>
      <c r="I2426" s="19">
        <f>COUNTIF(Tabela1[NF],Tabela1[[#This Row],[NF]])</f>
        <v>2</v>
      </c>
      <c r="J2426" s="22"/>
      <c r="K2426" s="21">
        <v>46134</v>
      </c>
      <c r="L2426" s="22"/>
      <c r="M2426" s="22">
        <v>88.89</v>
      </c>
      <c r="N2426" s="1" t="str" cm="1">
        <f t="array" ref="N2426">_xlfn.XLOOKUP(TRIM(D2426),TRIM(DFC!A:A),DFC!A:A,"NÃO ESTÁ NA DFC")</f>
        <v xml:space="preserve">      PEÇAS</v>
      </c>
    </row>
    <row r="2427" spans="1:137" ht="15" customHeight="1" x14ac:dyDescent="0.3">
      <c r="A2427" s="19">
        <v>4639</v>
      </c>
      <c r="B2427" s="21">
        <v>46134</v>
      </c>
      <c r="C2427" s="21" t="s">
        <v>15</v>
      </c>
      <c r="D2427" s="21" t="s">
        <v>19</v>
      </c>
      <c r="E2427" s="21"/>
      <c r="F2427" s="22" t="s">
        <v>315</v>
      </c>
      <c r="G2427" s="252">
        <v>3333.33</v>
      </c>
      <c r="H2427" s="19"/>
      <c r="I2427" s="19">
        <f>COUNTIF(Tabela1[NF],Tabela1[[#This Row],[NF]])</f>
        <v>2</v>
      </c>
      <c r="J2427" s="22"/>
      <c r="K2427" s="21">
        <v>46134</v>
      </c>
      <c r="L2427" s="22"/>
      <c r="M2427" s="22">
        <v>88.89</v>
      </c>
      <c r="N2427" s="1" t="str" cm="1">
        <f t="array" ref="N2427">_xlfn.XLOOKUP(TRIM(D2427),TRIM(DFC!A:A),DFC!A:A,"NÃO ESTÁ NA DFC")</f>
        <v xml:space="preserve">      PEÇAS</v>
      </c>
    </row>
    <row r="2428" spans="1:137" ht="15" customHeight="1" x14ac:dyDescent="0.3">
      <c r="A2428" s="19">
        <v>16144</v>
      </c>
      <c r="B2428" s="21">
        <v>46134</v>
      </c>
      <c r="C2428" s="21" t="s">
        <v>15</v>
      </c>
      <c r="D2428" s="21" t="s">
        <v>19</v>
      </c>
      <c r="E2428" s="21"/>
      <c r="F2428" s="22" t="s">
        <v>297</v>
      </c>
      <c r="G2428" s="252">
        <v>4828.2700000000004</v>
      </c>
      <c r="H2428" s="19"/>
      <c r="I2428" s="19">
        <f>COUNTIF(Tabela1[NF],Tabela1[[#This Row],[NF]])</f>
        <v>2</v>
      </c>
      <c r="J2428" s="22"/>
      <c r="K2428" s="21">
        <v>46134</v>
      </c>
      <c r="L2428" s="22"/>
      <c r="M2428" s="22"/>
      <c r="N2428" s="1" t="str" cm="1">
        <f t="array" ref="N2428">_xlfn.XLOOKUP(TRIM(D2428),TRIM(DFC!A:A),DFC!A:A,"NÃO ESTÁ NA DFC")</f>
        <v xml:space="preserve">      PEÇAS</v>
      </c>
    </row>
    <row r="2429" spans="1:137" ht="15" customHeight="1" x14ac:dyDescent="0.3">
      <c r="A2429" s="19">
        <v>14061</v>
      </c>
      <c r="B2429" s="21">
        <v>46134</v>
      </c>
      <c r="C2429" s="21" t="s">
        <v>15</v>
      </c>
      <c r="D2429" s="21" t="s">
        <v>19</v>
      </c>
      <c r="E2429" s="21"/>
      <c r="F2429" s="22" t="s">
        <v>340</v>
      </c>
      <c r="G2429" s="252">
        <v>15059.82</v>
      </c>
      <c r="H2429" s="19"/>
      <c r="I2429" s="19">
        <f>COUNTIF(Tabela1[NF],Tabela1[[#This Row],[NF]])</f>
        <v>2</v>
      </c>
      <c r="J2429" s="22"/>
      <c r="K2429" s="21">
        <v>46134</v>
      </c>
      <c r="L2429" s="22"/>
      <c r="M2429" s="22"/>
      <c r="N2429" s="1" t="str" cm="1">
        <f t="array" ref="N2429">_xlfn.XLOOKUP(TRIM(D2429),TRIM(DFC!A:A),DFC!A:A,"NÃO ESTÁ NA DFC")</f>
        <v xml:space="preserve">      PEÇAS</v>
      </c>
    </row>
    <row r="2430" spans="1:137" ht="15" customHeight="1" x14ac:dyDescent="0.3">
      <c r="A2430" s="19">
        <v>470384</v>
      </c>
      <c r="B2430" s="21">
        <v>46134</v>
      </c>
      <c r="C2430" s="21" t="s">
        <v>15</v>
      </c>
      <c r="D2430" s="21" t="s">
        <v>19</v>
      </c>
      <c r="E2430" s="21"/>
      <c r="F2430" s="22" t="s">
        <v>24</v>
      </c>
      <c r="G2430" s="252">
        <v>17335</v>
      </c>
      <c r="H2430" s="19"/>
      <c r="I2430" s="19">
        <f>COUNTIF(Tabela1[NF],Tabela1[[#This Row],[NF]])</f>
        <v>1</v>
      </c>
      <c r="J2430" s="22"/>
      <c r="K2430" s="21">
        <v>46134</v>
      </c>
      <c r="L2430" s="22"/>
      <c r="M2430" s="22"/>
      <c r="N2430" s="1" t="str" cm="1">
        <f t="array" ref="N2430">_xlfn.XLOOKUP(TRIM(D2430),TRIM(DFC!A:A),DFC!A:A,"NÃO ESTÁ NA DFC")</f>
        <v xml:space="preserve">      PEÇAS</v>
      </c>
    </row>
    <row r="2431" spans="1:137" ht="15" customHeight="1" x14ac:dyDescent="0.3">
      <c r="A2431" s="19">
        <v>470344</v>
      </c>
      <c r="B2431" s="21">
        <v>46134</v>
      </c>
      <c r="C2431" s="21" t="s">
        <v>15</v>
      </c>
      <c r="D2431" s="21" t="s">
        <v>19</v>
      </c>
      <c r="E2431" s="21"/>
      <c r="F2431" s="22" t="s">
        <v>24</v>
      </c>
      <c r="G2431" s="252">
        <v>21127</v>
      </c>
      <c r="H2431" s="19"/>
      <c r="I2431" s="19">
        <f>COUNTIF(Tabela1[NF],Tabela1[[#This Row],[NF]])</f>
        <v>1</v>
      </c>
      <c r="J2431" s="22"/>
      <c r="K2431" s="21">
        <v>46134</v>
      </c>
      <c r="L2431" s="22"/>
      <c r="M2431" s="22"/>
      <c r="N2431" s="1" t="str" cm="1">
        <f t="array" ref="N2431">_xlfn.XLOOKUP(TRIM(D2431),TRIM(DFC!A:A),DFC!A:A,"NÃO ESTÁ NA DFC")</f>
        <v xml:space="preserve">      PEÇAS</v>
      </c>
    </row>
    <row r="2432" spans="1:137" ht="15" customHeight="1" x14ac:dyDescent="0.3">
      <c r="A2432" s="19"/>
      <c r="B2432" s="21">
        <v>46134</v>
      </c>
      <c r="C2432" s="21" t="s">
        <v>15</v>
      </c>
      <c r="D2432" s="21" t="s">
        <v>115</v>
      </c>
      <c r="E2432" s="21"/>
      <c r="F2432" s="22" t="s">
        <v>637</v>
      </c>
      <c r="G2432" s="252">
        <v>2900</v>
      </c>
      <c r="H2432" s="19"/>
      <c r="I2432" s="19">
        <f>COUNTIF(Tabela1[NF],Tabela1[[#This Row],[NF]])</f>
        <v>0</v>
      </c>
      <c r="J2432" s="22"/>
      <c r="K2432" s="21">
        <v>46134</v>
      </c>
      <c r="L2432" s="22"/>
      <c r="M2432" s="22"/>
      <c r="N2432" s="1" t="str" cm="1">
        <f t="array" ref="N2432">_xlfn.XLOOKUP(TRIM(D2432),TRIM(DFC!A:A),DFC!A:A,"NÃO ESTÁ NA DFC")</f>
        <v xml:space="preserve">          RESCISÕES</v>
      </c>
    </row>
    <row r="2433" spans="1:14" ht="15" customHeight="1" x14ac:dyDescent="0.3">
      <c r="A2433" s="19">
        <v>470470</v>
      </c>
      <c r="B2433" s="21">
        <v>46134</v>
      </c>
      <c r="C2433" s="21" t="s">
        <v>15</v>
      </c>
      <c r="D2433" s="21" t="s">
        <v>19</v>
      </c>
      <c r="E2433" s="21"/>
      <c r="F2433" s="22" t="s">
        <v>24</v>
      </c>
      <c r="G2433" s="252">
        <v>564</v>
      </c>
      <c r="H2433" s="19"/>
      <c r="I2433" s="19">
        <f>COUNTIF(Tabela1[NF],Tabela1[[#This Row],[NF]])</f>
        <v>1</v>
      </c>
      <c r="J2433" s="22"/>
      <c r="K2433" s="21">
        <v>46134</v>
      </c>
      <c r="L2433" s="22"/>
      <c r="M2433" s="22"/>
      <c r="N2433" s="1" t="str" cm="1">
        <f t="array" ref="N2433">_xlfn.XLOOKUP(TRIM(D2433),TRIM(DFC!A:A),DFC!A:A,"NÃO ESTÁ NA DFC")</f>
        <v xml:space="preserve">      PEÇAS</v>
      </c>
    </row>
    <row r="2434" spans="1:14" ht="15" customHeight="1" x14ac:dyDescent="0.3">
      <c r="A2434" s="19">
        <v>28797</v>
      </c>
      <c r="B2434" s="21">
        <v>46134</v>
      </c>
      <c r="C2434" s="21" t="s">
        <v>15</v>
      </c>
      <c r="D2434" s="21" t="s">
        <v>19</v>
      </c>
      <c r="E2434" s="21"/>
      <c r="F2434" s="22" t="s">
        <v>132</v>
      </c>
      <c r="G2434" s="252">
        <v>899.5</v>
      </c>
      <c r="H2434" s="19"/>
      <c r="I2434" s="19">
        <f>COUNTIF(Tabela1[NF],Tabela1[[#This Row],[NF]])</f>
        <v>1</v>
      </c>
      <c r="J2434" s="22"/>
      <c r="K2434" s="21">
        <v>46134</v>
      </c>
      <c r="L2434" s="22"/>
      <c r="M2434" s="22"/>
      <c r="N2434" s="1" t="str" cm="1">
        <f t="array" ref="N2434">_xlfn.XLOOKUP(TRIM(D2434),TRIM(DFC!A:A),DFC!A:A,"NÃO ESTÁ NA DFC")</f>
        <v xml:space="preserve">      PEÇAS</v>
      </c>
    </row>
    <row r="2435" spans="1:14" ht="15" customHeight="1" x14ac:dyDescent="0.3">
      <c r="A2435" s="19">
        <v>148</v>
      </c>
      <c r="B2435" s="21">
        <v>46134</v>
      </c>
      <c r="C2435" s="21" t="s">
        <v>15</v>
      </c>
      <c r="D2435" s="21" t="s">
        <v>19</v>
      </c>
      <c r="E2435" s="21"/>
      <c r="F2435" s="22" t="s">
        <v>702</v>
      </c>
      <c r="G2435" s="252">
        <v>2278.8000000000002</v>
      </c>
      <c r="H2435" s="19"/>
      <c r="I2435" s="19">
        <f>COUNTIF(Tabela1[NF],Tabela1[[#This Row],[NF]])</f>
        <v>1</v>
      </c>
      <c r="J2435" s="22"/>
      <c r="K2435" s="21">
        <v>46134</v>
      </c>
      <c r="L2435" s="22"/>
      <c r="M2435" s="22"/>
      <c r="N2435" s="1" t="str" cm="1">
        <f t="array" ref="N2435">_xlfn.XLOOKUP(TRIM(D2435),TRIM(DFC!A:A),DFC!A:A,"NÃO ESTÁ NA DFC")</f>
        <v xml:space="preserve">      PEÇAS</v>
      </c>
    </row>
    <row r="2436" spans="1:14" ht="15" customHeight="1" x14ac:dyDescent="0.3">
      <c r="A2436" s="19">
        <v>16144</v>
      </c>
      <c r="B2436" s="21">
        <v>46134</v>
      </c>
      <c r="C2436" s="21" t="s">
        <v>15</v>
      </c>
      <c r="D2436" s="21" t="s">
        <v>19</v>
      </c>
      <c r="E2436" s="21"/>
      <c r="F2436" s="22" t="s">
        <v>455</v>
      </c>
      <c r="G2436" s="252">
        <v>2804.91</v>
      </c>
      <c r="H2436" s="19"/>
      <c r="I2436" s="19">
        <f>COUNTIF(Tabela1[NF],Tabela1[[#This Row],[NF]])</f>
        <v>2</v>
      </c>
      <c r="J2436" s="22"/>
      <c r="K2436" s="21">
        <v>46134</v>
      </c>
      <c r="L2436" s="22"/>
      <c r="M2436" s="22"/>
      <c r="N2436" s="1" t="str" cm="1">
        <f t="array" ref="N2436">_xlfn.XLOOKUP(TRIM(D2436),TRIM(DFC!A:A),DFC!A:A,"NÃO ESTÁ NA DFC")</f>
        <v xml:space="preserve">      PEÇAS</v>
      </c>
    </row>
    <row r="2437" spans="1:14" ht="15" customHeight="1" x14ac:dyDescent="0.3">
      <c r="A2437" s="19">
        <v>16379</v>
      </c>
      <c r="B2437" s="21">
        <v>46134</v>
      </c>
      <c r="C2437" s="21" t="s">
        <v>15</v>
      </c>
      <c r="D2437" s="21" t="s">
        <v>19</v>
      </c>
      <c r="E2437" s="21"/>
      <c r="F2437" s="22" t="s">
        <v>297</v>
      </c>
      <c r="G2437" s="252">
        <v>3401.12</v>
      </c>
      <c r="H2437" s="19"/>
      <c r="I2437" s="19">
        <f>COUNTIF(Tabela1[NF],Tabela1[[#This Row],[NF]])</f>
        <v>1</v>
      </c>
      <c r="J2437" s="22"/>
      <c r="K2437" s="21">
        <v>46134</v>
      </c>
      <c r="L2437" s="22"/>
      <c r="M2437" s="22"/>
      <c r="N2437" s="1" t="str" cm="1">
        <f t="array" ref="N2437">_xlfn.XLOOKUP(TRIM(D2437),TRIM(DFC!A:A),DFC!A:A,"NÃO ESTÁ NA DFC")</f>
        <v xml:space="preserve">      PEÇAS</v>
      </c>
    </row>
    <row r="2438" spans="1:14" ht="15" customHeight="1" x14ac:dyDescent="0.3">
      <c r="A2438" s="19">
        <v>466683</v>
      </c>
      <c r="B2438" s="21">
        <v>46134</v>
      </c>
      <c r="C2438" s="21" t="s">
        <v>15</v>
      </c>
      <c r="D2438" s="21" t="s">
        <v>19</v>
      </c>
      <c r="E2438" s="21"/>
      <c r="F2438" s="22" t="s">
        <v>24</v>
      </c>
      <c r="G2438" s="252">
        <v>6022</v>
      </c>
      <c r="H2438" s="19"/>
      <c r="I2438" s="19">
        <f>COUNTIF(Tabela1[NF],Tabela1[[#This Row],[NF]])</f>
        <v>2</v>
      </c>
      <c r="J2438" s="22"/>
      <c r="K2438" s="21">
        <v>46134</v>
      </c>
      <c r="L2438" s="22"/>
      <c r="M2438" s="22"/>
      <c r="N2438" s="1" t="str" cm="1">
        <f t="array" ref="N2438">_xlfn.XLOOKUP(TRIM(D2438),TRIM(DFC!A:A),DFC!A:A,"NÃO ESTÁ NA DFC")</f>
        <v xml:space="preserve">      PEÇAS</v>
      </c>
    </row>
    <row r="2439" spans="1:14" ht="15" customHeight="1" x14ac:dyDescent="0.3">
      <c r="A2439" s="19">
        <v>14061</v>
      </c>
      <c r="B2439" s="21">
        <v>46134</v>
      </c>
      <c r="C2439" s="21" t="s">
        <v>15</v>
      </c>
      <c r="D2439" s="21" t="s">
        <v>19</v>
      </c>
      <c r="E2439" s="21"/>
      <c r="F2439" s="22" t="s">
        <v>344</v>
      </c>
      <c r="G2439" s="252">
        <v>15059.82</v>
      </c>
      <c r="H2439" s="19"/>
      <c r="I2439" s="19">
        <f>COUNTIF(Tabela1[NF],Tabela1[[#This Row],[NF]])</f>
        <v>2</v>
      </c>
      <c r="J2439" s="22"/>
      <c r="K2439" s="21">
        <v>46134</v>
      </c>
      <c r="L2439" s="22"/>
      <c r="M2439" s="22"/>
      <c r="N2439" s="1" t="str" cm="1">
        <f t="array" ref="N2439">_xlfn.XLOOKUP(TRIM(D2439),TRIM(DFC!A:A),DFC!A:A,"NÃO ESTÁ NA DFC")</f>
        <v xml:space="preserve">      PEÇAS</v>
      </c>
    </row>
    <row r="2440" spans="1:14" ht="15" customHeight="1" x14ac:dyDescent="0.3">
      <c r="A2440" s="19"/>
      <c r="B2440" s="21">
        <v>46134</v>
      </c>
      <c r="C2440" s="21" t="s">
        <v>15</v>
      </c>
      <c r="D2440" s="84" t="s">
        <v>205</v>
      </c>
      <c r="E2440" s="21"/>
      <c r="F2440" s="22" t="s">
        <v>938</v>
      </c>
      <c r="G2440" s="252">
        <v>382.96</v>
      </c>
      <c r="H2440" s="19"/>
      <c r="I2440" s="19">
        <f>COUNTIF(Tabela1[NF],Tabela1[[#This Row],[NF]])</f>
        <v>0</v>
      </c>
      <c r="J2440" s="22"/>
      <c r="K2440" s="21">
        <v>46134</v>
      </c>
      <c r="L2440" s="22"/>
      <c r="M2440" s="22"/>
      <c r="N2440" s="1" t="str" cm="1">
        <f t="array" ref="N2440">_xlfn.XLOOKUP(TRIM(D2440),TRIM(DFC!A:A),DFC!A:A,"NÃO ESTÁ NA DFC")</f>
        <v xml:space="preserve">          DESPESAS DE VIAGEM</v>
      </c>
    </row>
    <row r="2441" spans="1:14" ht="15" customHeight="1" x14ac:dyDescent="0.3">
      <c r="A2441" s="19"/>
      <c r="B2441" s="21">
        <v>46134</v>
      </c>
      <c r="C2441" s="21" t="s">
        <v>15</v>
      </c>
      <c r="D2441" s="84" t="s">
        <v>265</v>
      </c>
      <c r="E2441" s="21"/>
      <c r="F2441" s="22" t="s">
        <v>939</v>
      </c>
      <c r="G2441" s="252">
        <v>2340</v>
      </c>
      <c r="H2441" s="19"/>
      <c r="I2441" s="19">
        <f>COUNTIF(Tabela1[NF],Tabela1[[#This Row],[NF]])</f>
        <v>0</v>
      </c>
      <c r="J2441" s="22"/>
      <c r="K2441" s="21">
        <v>46135</v>
      </c>
      <c r="L2441" s="22"/>
      <c r="M2441" s="22"/>
      <c r="N2441" s="1" t="str" cm="1">
        <f t="array" ref="N2441">_xlfn.XLOOKUP(TRIM(D2441),TRIM(DFC!A:A),DFC!A:A,"NÃO ESTÁ NA DFC")</f>
        <v xml:space="preserve">      PROJETO CASAS CONSTRUIR</v>
      </c>
    </row>
    <row r="2442" spans="1:14" ht="15" customHeight="1" x14ac:dyDescent="0.3">
      <c r="A2442" s="19">
        <v>308231</v>
      </c>
      <c r="B2442" s="21">
        <v>46135</v>
      </c>
      <c r="C2442" s="21" t="s">
        <v>15</v>
      </c>
      <c r="D2442" s="84" t="s">
        <v>29</v>
      </c>
      <c r="E2442" s="21"/>
      <c r="F2442" s="22" t="s">
        <v>122</v>
      </c>
      <c r="G2442" s="252">
        <v>83.72</v>
      </c>
      <c r="H2442" s="19"/>
      <c r="I2442" s="19">
        <f>COUNTIF(Tabela1[NF],Tabela1[[#This Row],[NF]])</f>
        <v>1</v>
      </c>
      <c r="J2442" s="22"/>
      <c r="K2442" s="21">
        <v>46135</v>
      </c>
      <c r="L2442" s="22"/>
      <c r="M2442" s="22"/>
      <c r="N2442" s="1" t="str" cm="1">
        <f t="array" ref="N2442">_xlfn.XLOOKUP(TRIM(D2442),TRIM(DFC!A:A),DFC!A:A,"NÃO ESTÁ NA DFC")</f>
        <v xml:space="preserve">      FRETE DE SAÍDA</v>
      </c>
    </row>
    <row r="2443" spans="1:14" ht="15" customHeight="1" x14ac:dyDescent="0.3">
      <c r="A2443" s="19">
        <v>3162</v>
      </c>
      <c r="B2443" s="21">
        <v>46135</v>
      </c>
      <c r="C2443" s="21" t="s">
        <v>15</v>
      </c>
      <c r="D2443" s="84" t="s">
        <v>19</v>
      </c>
      <c r="E2443" s="21" t="s">
        <v>717</v>
      </c>
      <c r="F2443" s="22" t="s">
        <v>329</v>
      </c>
      <c r="G2443" s="252">
        <v>308</v>
      </c>
      <c r="H2443" s="19"/>
      <c r="I2443" s="19">
        <f>COUNTIF(Tabela1[NF],Tabela1[[#This Row],[NF]])</f>
        <v>1</v>
      </c>
      <c r="J2443" s="22"/>
      <c r="K2443" s="21">
        <v>46135</v>
      </c>
      <c r="L2443" s="22"/>
      <c r="M2443" s="22"/>
      <c r="N2443" s="1" t="str" cm="1">
        <f t="array" ref="N2443">_xlfn.XLOOKUP(TRIM(D2443),TRIM(DFC!A:A),DFC!A:A,"NÃO ESTÁ NA DFC")</f>
        <v xml:space="preserve">      PEÇAS</v>
      </c>
    </row>
    <row r="2444" spans="1:14" ht="15" customHeight="1" x14ac:dyDescent="0.3">
      <c r="A2444" s="19">
        <v>484863</v>
      </c>
      <c r="B2444" s="21">
        <v>46135</v>
      </c>
      <c r="C2444" s="21" t="s">
        <v>15</v>
      </c>
      <c r="D2444" s="84" t="s">
        <v>19</v>
      </c>
      <c r="E2444" s="21"/>
      <c r="F2444" s="22" t="s">
        <v>24</v>
      </c>
      <c r="G2444" s="252">
        <v>2393.71</v>
      </c>
      <c r="H2444" s="19"/>
      <c r="I2444" s="19">
        <f>COUNTIF(Tabela1[NF],Tabela1[[#This Row],[NF]])</f>
        <v>1</v>
      </c>
      <c r="J2444" s="22"/>
      <c r="K2444" s="21">
        <v>46135</v>
      </c>
      <c r="L2444" s="22"/>
      <c r="M2444" s="22"/>
      <c r="N2444" s="1" t="str" cm="1">
        <f t="array" ref="N2444">_xlfn.XLOOKUP(TRIM(D2444),TRIM(DFC!A:A),DFC!A:A,"NÃO ESTÁ NA DFC")</f>
        <v xml:space="preserve">      PEÇAS</v>
      </c>
    </row>
    <row r="2445" spans="1:14" ht="15" customHeight="1" x14ac:dyDescent="0.3">
      <c r="A2445" s="19">
        <v>30423</v>
      </c>
      <c r="B2445" s="21">
        <v>46135</v>
      </c>
      <c r="C2445" s="21" t="s">
        <v>15</v>
      </c>
      <c r="D2445" s="84" t="s">
        <v>19</v>
      </c>
      <c r="E2445" s="21"/>
      <c r="F2445" s="22" t="s">
        <v>302</v>
      </c>
      <c r="G2445" s="252">
        <v>2959.84</v>
      </c>
      <c r="H2445" s="19"/>
      <c r="I2445" s="19">
        <f>COUNTIF(Tabela1[NF],Tabela1[[#This Row],[NF]])</f>
        <v>1</v>
      </c>
      <c r="J2445" s="22"/>
      <c r="K2445" s="21">
        <v>46135</v>
      </c>
      <c r="L2445" s="22"/>
      <c r="M2445" s="22"/>
      <c r="N2445" s="1" t="str" cm="1">
        <f t="array" ref="N2445">_xlfn.XLOOKUP(TRIM(D2445),TRIM(DFC!A:A),DFC!A:A,"NÃO ESTÁ NA DFC")</f>
        <v xml:space="preserve">      PEÇAS</v>
      </c>
    </row>
    <row r="2446" spans="1:14" ht="15" customHeight="1" x14ac:dyDescent="0.3">
      <c r="A2446" s="19">
        <v>167497</v>
      </c>
      <c r="B2446" s="21">
        <v>46135</v>
      </c>
      <c r="C2446" s="21" t="s">
        <v>15</v>
      </c>
      <c r="D2446" s="84" t="s">
        <v>19</v>
      </c>
      <c r="E2446" s="21"/>
      <c r="F2446" s="22" t="s">
        <v>228</v>
      </c>
      <c r="G2446" s="252">
        <v>3218.6</v>
      </c>
      <c r="H2446" s="19"/>
      <c r="I2446" s="19">
        <f>COUNTIF(Tabela1[NF],Tabela1[[#This Row],[NF]])</f>
        <v>1</v>
      </c>
      <c r="J2446" s="22"/>
      <c r="K2446" s="21">
        <v>46135</v>
      </c>
      <c r="L2446" s="22"/>
      <c r="M2446" s="22"/>
      <c r="N2446" s="1" t="str" cm="1">
        <f t="array" ref="N2446">_xlfn.XLOOKUP(TRIM(D2446),TRIM(DFC!A:A),DFC!A:A,"NÃO ESTÁ NA DFC")</f>
        <v xml:space="preserve">      PEÇAS</v>
      </c>
    </row>
    <row r="2447" spans="1:14" ht="15" customHeight="1" x14ac:dyDescent="0.3">
      <c r="A2447" s="19">
        <v>165287</v>
      </c>
      <c r="B2447" s="21">
        <v>46135</v>
      </c>
      <c r="C2447" s="21" t="s">
        <v>15</v>
      </c>
      <c r="D2447" s="84" t="s">
        <v>19</v>
      </c>
      <c r="E2447" s="21"/>
      <c r="F2447" s="22" t="s">
        <v>228</v>
      </c>
      <c r="G2447" s="252">
        <v>5461.88</v>
      </c>
      <c r="H2447" s="19"/>
      <c r="I2447" s="19">
        <f>COUNTIF(Tabela1[NF],Tabela1[[#This Row],[NF]])</f>
        <v>2</v>
      </c>
      <c r="J2447" s="22"/>
      <c r="K2447" s="21">
        <v>46135</v>
      </c>
      <c r="L2447" s="22"/>
      <c r="M2447" s="22"/>
      <c r="N2447" s="1" t="str" cm="1">
        <f t="array" ref="N2447">_xlfn.XLOOKUP(TRIM(D2447),TRIM(DFC!A:A),DFC!A:A,"NÃO ESTÁ NA DFC")</f>
        <v xml:space="preserve">      PEÇAS</v>
      </c>
    </row>
    <row r="2448" spans="1:14" ht="15" customHeight="1" x14ac:dyDescent="0.3">
      <c r="A2448" s="19">
        <v>359</v>
      </c>
      <c r="B2448" s="21">
        <v>46135</v>
      </c>
      <c r="C2448" s="21" t="s">
        <v>15</v>
      </c>
      <c r="D2448" s="21" t="s">
        <v>232</v>
      </c>
      <c r="E2448" s="21"/>
      <c r="F2448" s="22" t="s">
        <v>234</v>
      </c>
      <c r="G2448" s="252">
        <v>15970.84</v>
      </c>
      <c r="H2448" s="19"/>
      <c r="I2448" s="19">
        <f>COUNTIF(Tabela1[NF],Tabela1[[#This Row],[NF]])</f>
        <v>1</v>
      </c>
      <c r="J2448" s="22"/>
      <c r="K2448" s="21">
        <v>46135</v>
      </c>
      <c r="L2448" s="22"/>
      <c r="M2448" s="22"/>
      <c r="N2448" s="1" t="str" cm="1">
        <f t="array" ref="N2448">_xlfn.XLOOKUP(TRIM(D2448),TRIM(DFC!A:A),DFC!A:A,"NÃO ESTÁ NA DFC")</f>
        <v xml:space="preserve">          COMPRA DE MÁQUINA</v>
      </c>
    </row>
    <row r="2449" spans="1:14" ht="15" customHeight="1" x14ac:dyDescent="0.3">
      <c r="A2449" s="19">
        <v>90720296163</v>
      </c>
      <c r="B2449" s="21">
        <v>46135</v>
      </c>
      <c r="C2449" s="21" t="s">
        <v>15</v>
      </c>
      <c r="D2449" s="84" t="s">
        <v>731</v>
      </c>
      <c r="E2449" s="21" t="s">
        <v>810</v>
      </c>
      <c r="F2449" s="22" t="s">
        <v>811</v>
      </c>
      <c r="G2449" s="252">
        <v>104.52</v>
      </c>
      <c r="H2449" s="19"/>
      <c r="I2449" s="19">
        <f>COUNTIF(Tabela1[NF],Tabela1[[#This Row],[NF]])</f>
        <v>1</v>
      </c>
      <c r="J2449" s="22"/>
      <c r="K2449" s="21">
        <v>46135</v>
      </c>
      <c r="L2449" s="22"/>
      <c r="M2449" s="22"/>
      <c r="N2449" s="1" t="str" cm="1">
        <f t="array" ref="N2449">_xlfn.XLOOKUP(TRIM(D2449),TRIM(DFC!A:A),DFC!A:A,"NÃO ESTÁ NA DFC")</f>
        <v xml:space="preserve">     DIFAL</v>
      </c>
    </row>
    <row r="2450" spans="1:14" ht="15" customHeight="1" x14ac:dyDescent="0.3">
      <c r="A2450" s="19"/>
      <c r="B2450" s="21">
        <v>46135</v>
      </c>
      <c r="C2450" s="21" t="s">
        <v>15</v>
      </c>
      <c r="D2450" s="84" t="s">
        <v>110</v>
      </c>
      <c r="E2450" s="21"/>
      <c r="F2450" s="22" t="s">
        <v>940</v>
      </c>
      <c r="G2450" s="252">
        <v>37.25</v>
      </c>
      <c r="H2450" s="19"/>
      <c r="I2450" s="19">
        <f>COUNTIF(Tabela1[NF],Tabela1[[#This Row],[NF]])</f>
        <v>0</v>
      </c>
      <c r="J2450" s="22"/>
      <c r="K2450" s="21">
        <v>46135</v>
      </c>
      <c r="L2450" s="22"/>
      <c r="M2450" s="22"/>
      <c r="N2450" s="1" t="str" cm="1">
        <f t="array" ref="N2450">_xlfn.XLOOKUP(TRIM(D2450),TRIM(DFC!A:A),DFC!A:A,"NÃO ESTÁ NA DFC")</f>
        <v xml:space="preserve">          REEMBOLSO</v>
      </c>
    </row>
    <row r="2451" spans="1:14" ht="15" customHeight="1" x14ac:dyDescent="0.3">
      <c r="A2451" s="19"/>
      <c r="B2451" s="21">
        <v>46136</v>
      </c>
      <c r="C2451" s="21" t="s">
        <v>15</v>
      </c>
      <c r="D2451" s="84" t="s">
        <v>98</v>
      </c>
      <c r="E2451" s="21"/>
      <c r="F2451" s="22" t="s">
        <v>941</v>
      </c>
      <c r="G2451" s="252">
        <v>50</v>
      </c>
      <c r="H2451" s="19"/>
      <c r="I2451" s="19">
        <f>COUNTIF(Tabela1[NF],Tabela1[[#This Row],[NF]])</f>
        <v>0</v>
      </c>
      <c r="J2451" s="22"/>
      <c r="K2451" s="21">
        <v>46136</v>
      </c>
      <c r="L2451" s="22"/>
      <c r="M2451" s="22"/>
      <c r="N2451" s="1" t="str" cm="1">
        <f t="array" ref="N2451">_xlfn.XLOOKUP(TRIM(D2451),TRIM(DFC!A:A),DFC!A:A,"NÃO ESTÁ NA DFC")</f>
        <v xml:space="preserve">     REEMBOLSO SAC</v>
      </c>
    </row>
    <row r="2452" spans="1:14" ht="15" customHeight="1" x14ac:dyDescent="0.3">
      <c r="A2452" s="19"/>
      <c r="B2452" s="21">
        <v>46136</v>
      </c>
      <c r="C2452" s="21" t="s">
        <v>15</v>
      </c>
      <c r="D2452" s="21" t="s">
        <v>386</v>
      </c>
      <c r="E2452" s="21"/>
      <c r="F2452" s="22" t="s">
        <v>942</v>
      </c>
      <c r="G2452" s="252">
        <v>185</v>
      </c>
      <c r="H2452" s="19"/>
      <c r="I2452" s="19">
        <f>COUNTIF(Tabela1[NF],Tabela1[[#This Row],[NF]])</f>
        <v>0</v>
      </c>
      <c r="J2452" s="22"/>
      <c r="K2452" s="21">
        <v>46136</v>
      </c>
      <c r="L2452" s="22"/>
      <c r="M2452" s="22"/>
      <c r="N2452" s="1" t="str" cm="1">
        <f t="array" ref="N2452">_xlfn.XLOOKUP(TRIM(D2452),TRIM(DFC!A:A),DFC!A:A,"NÃO ESTÁ NA DFC")</f>
        <v xml:space="preserve">          MATERIAIS DE USO E CONSUMO</v>
      </c>
    </row>
    <row r="2453" spans="1:14" ht="15" customHeight="1" x14ac:dyDescent="0.3">
      <c r="A2453" s="19"/>
      <c r="B2453" s="21">
        <v>46136</v>
      </c>
      <c r="C2453" s="21" t="s">
        <v>15</v>
      </c>
      <c r="D2453" s="21" t="s">
        <v>29</v>
      </c>
      <c r="E2453" s="21"/>
      <c r="F2453" s="22" t="s">
        <v>294</v>
      </c>
      <c r="G2453" s="252">
        <v>600</v>
      </c>
      <c r="H2453" s="19"/>
      <c r="I2453" s="19">
        <f>COUNTIF(Tabela1[NF],Tabela1[[#This Row],[NF]])</f>
        <v>0</v>
      </c>
      <c r="J2453" s="22"/>
      <c r="K2453" s="21">
        <v>46136</v>
      </c>
      <c r="L2453" s="22"/>
      <c r="M2453" s="22"/>
      <c r="N2453" s="1" t="str" cm="1">
        <f t="array" ref="N2453">_xlfn.XLOOKUP(TRIM(D2453),TRIM(DFC!A:A),DFC!A:A,"NÃO ESTÁ NA DFC")</f>
        <v xml:space="preserve">      FRETE DE SAÍDA</v>
      </c>
    </row>
    <row r="2454" spans="1:14" ht="15" customHeight="1" x14ac:dyDescent="0.3">
      <c r="A2454" s="19"/>
      <c r="B2454" s="21">
        <v>46136</v>
      </c>
      <c r="C2454" s="21" t="s">
        <v>15</v>
      </c>
      <c r="D2454" s="21" t="s">
        <v>110</v>
      </c>
      <c r="E2454" s="21" t="s">
        <v>943</v>
      </c>
      <c r="F2454" s="22" t="s">
        <v>944</v>
      </c>
      <c r="G2454" s="252">
        <v>1019.45</v>
      </c>
      <c r="I2454" s="1">
        <f>COUNTIF(Tabela1[NF],Tabela1[[#This Row],[NF]])</f>
        <v>0</v>
      </c>
      <c r="K2454" s="21">
        <v>46136</v>
      </c>
      <c r="L2454" s="22"/>
      <c r="M2454" s="22"/>
      <c r="N2454" s="1" t="str" cm="1">
        <f t="array" ref="N2454">_xlfn.XLOOKUP(TRIM(D2454),TRIM(DFC!A:A),DFC!A:A,"NÃO ESTÁ NA DFC")</f>
        <v xml:space="preserve">          REEMBOLSO</v>
      </c>
    </row>
    <row r="2455" spans="1:14" ht="15" customHeight="1" x14ac:dyDescent="0.3">
      <c r="A2455" s="19"/>
      <c r="B2455" s="21">
        <v>46136</v>
      </c>
      <c r="C2455" s="21" t="s">
        <v>15</v>
      </c>
      <c r="D2455" s="21" t="s">
        <v>22</v>
      </c>
      <c r="E2455" s="21"/>
      <c r="F2455" s="22" t="s">
        <v>428</v>
      </c>
      <c r="G2455" s="252">
        <v>4000</v>
      </c>
      <c r="I2455" s="1">
        <f>COUNTIF(Tabela1[NF],Tabela1[[#This Row],[NF]])</f>
        <v>0</v>
      </c>
      <c r="K2455" s="91">
        <v>46136</v>
      </c>
      <c r="L2455" s="22"/>
      <c r="M2455" s="22"/>
      <c r="N2455" s="1" t="str" cm="1">
        <f t="array" ref="N2455">_xlfn.XLOOKUP(TRIM(D2455),TRIM(DFC!A:A),DFC!A:A,"NÃO ESTÁ NA DFC")</f>
        <v xml:space="preserve">         CONSULTORIAS</v>
      </c>
    </row>
    <row r="2456" spans="1:14" ht="15" customHeight="1" x14ac:dyDescent="0.3">
      <c r="A2456" s="19"/>
      <c r="B2456" s="21">
        <v>46136</v>
      </c>
      <c r="C2456" s="21" t="s">
        <v>15</v>
      </c>
      <c r="D2456" s="21" t="s">
        <v>731</v>
      </c>
      <c r="E2456" s="21" t="s">
        <v>810</v>
      </c>
      <c r="F2456" s="22" t="s">
        <v>811</v>
      </c>
      <c r="G2456" s="252">
        <v>126.87</v>
      </c>
      <c r="I2456" s="1">
        <f>COUNTIF(Tabela1[NF],Tabela1[[#This Row],[NF]])</f>
        <v>0</v>
      </c>
      <c r="K2456" s="91">
        <v>46136</v>
      </c>
      <c r="L2456" s="22"/>
      <c r="M2456" s="22"/>
      <c r="N2456" s="1" t="str" cm="1">
        <f t="array" ref="N2456">_xlfn.XLOOKUP(TRIM(D2456),TRIM(DFC!A:A),DFC!A:A,"NÃO ESTÁ NA DFC")</f>
        <v xml:space="preserve">     DIFAL</v>
      </c>
    </row>
    <row r="2457" spans="1:14" ht="15" customHeight="1" x14ac:dyDescent="0.3">
      <c r="A2457" s="19"/>
      <c r="B2457" s="21">
        <v>46136</v>
      </c>
      <c r="C2457" s="21" t="s">
        <v>15</v>
      </c>
      <c r="D2457" s="21" t="s">
        <v>110</v>
      </c>
      <c r="E2457" s="21" t="s">
        <v>945</v>
      </c>
      <c r="F2457" s="22" t="s">
        <v>326</v>
      </c>
      <c r="G2457" s="252">
        <v>145.99</v>
      </c>
      <c r="I2457" s="1">
        <f>COUNTIF(Tabela1[NF],Tabela1[[#This Row],[NF]])</f>
        <v>0</v>
      </c>
      <c r="K2457" s="91">
        <v>46136</v>
      </c>
      <c r="L2457" s="22"/>
      <c r="M2457" s="22"/>
      <c r="N2457" s="1" t="str" cm="1">
        <f t="array" ref="N2457">_xlfn.XLOOKUP(TRIM(D2457),TRIM(DFC!A:A),DFC!A:A,"NÃO ESTÁ NA DFC")</f>
        <v xml:space="preserve">          REEMBOLSO</v>
      </c>
    </row>
    <row r="2458" spans="1:14" ht="15" customHeight="1" x14ac:dyDescent="0.3">
      <c r="A2458" s="19"/>
      <c r="B2458" s="21">
        <v>46136</v>
      </c>
      <c r="C2458" s="21" t="s">
        <v>15</v>
      </c>
      <c r="D2458" s="21" t="s">
        <v>82</v>
      </c>
      <c r="E2458" s="21"/>
      <c r="F2458" s="22" t="s">
        <v>905</v>
      </c>
      <c r="G2458" s="252">
        <v>458.33</v>
      </c>
      <c r="I2458" s="1">
        <f>COUNTIF(Tabela1[NF],Tabela1[[#This Row],[NF]])</f>
        <v>0</v>
      </c>
      <c r="K2458" s="91">
        <v>46136</v>
      </c>
      <c r="L2458" s="22"/>
      <c r="M2458" s="22"/>
      <c r="N2458" s="1" t="str" cm="1">
        <f t="array" ref="N2458">_xlfn.XLOOKUP(TRIM(D2458),TRIM(DFC!A:A),DFC!A:A,"NÃO ESTÁ NA DFC")</f>
        <v xml:space="preserve">          DIÁRIAS</v>
      </c>
    </row>
    <row r="2459" spans="1:14" ht="15" customHeight="1" x14ac:dyDescent="0.3">
      <c r="A2459" s="19"/>
      <c r="B2459" s="21">
        <v>46136</v>
      </c>
      <c r="C2459" s="21" t="s">
        <v>15</v>
      </c>
      <c r="D2459" s="21" t="s">
        <v>92</v>
      </c>
      <c r="E2459" s="280" t="s">
        <v>519</v>
      </c>
      <c r="F2459" s="22" t="s">
        <v>398</v>
      </c>
      <c r="G2459" s="252">
        <v>8982.7099999999991</v>
      </c>
      <c r="I2459" s="1">
        <f>COUNTIF(Tabela1[NF],Tabela1[[#This Row],[NF]])</f>
        <v>0</v>
      </c>
      <c r="K2459" s="91">
        <v>46136</v>
      </c>
      <c r="L2459" s="22"/>
      <c r="M2459" s="22"/>
      <c r="N2459" s="1" t="str" cm="1">
        <f t="array" ref="N2459">_xlfn.XLOOKUP(TRIM(D2459),TRIM(DFC!A:A),DFC!A:A,"NÃO ESTÁ NA DFC")</f>
        <v xml:space="preserve">          INSS</v>
      </c>
    </row>
    <row r="2460" spans="1:14" ht="15" customHeight="1" x14ac:dyDescent="0.3">
      <c r="A2460" s="19">
        <v>8301</v>
      </c>
      <c r="B2460" s="21">
        <v>46136</v>
      </c>
      <c r="C2460" s="21" t="s">
        <v>15</v>
      </c>
      <c r="D2460" s="21" t="s">
        <v>386</v>
      </c>
      <c r="E2460" s="21"/>
      <c r="F2460" s="22" t="s">
        <v>946</v>
      </c>
      <c r="G2460" s="252">
        <v>438.72</v>
      </c>
      <c r="I2460" s="1">
        <f>COUNTIF(Tabela1[NF],Tabela1[[#This Row],[NF]])</f>
        <v>1</v>
      </c>
      <c r="K2460" s="91">
        <v>46136</v>
      </c>
      <c r="L2460" s="22"/>
      <c r="M2460" s="22"/>
      <c r="N2460" s="1" t="str" cm="1">
        <f t="array" ref="N2460">_xlfn.XLOOKUP(TRIM(D2460),TRIM(DFC!A:A),DFC!A:A,"NÃO ESTÁ NA DFC")</f>
        <v xml:space="preserve">          MATERIAIS DE USO E CONSUMO</v>
      </c>
    </row>
    <row r="2461" spans="1:14" ht="15" customHeight="1" x14ac:dyDescent="0.3">
      <c r="A2461" s="19">
        <v>241</v>
      </c>
      <c r="B2461" s="21">
        <v>46136</v>
      </c>
      <c r="C2461" s="21" t="s">
        <v>15</v>
      </c>
      <c r="D2461" s="21" t="s">
        <v>19</v>
      </c>
      <c r="E2461" s="21"/>
      <c r="F2461" s="22" t="s">
        <v>702</v>
      </c>
      <c r="G2461" s="252">
        <v>2278.8000000000002</v>
      </c>
      <c r="I2461" s="1">
        <f>COUNTIF(Tabela1[NF],Tabela1[[#This Row],[NF]])</f>
        <v>1</v>
      </c>
      <c r="K2461" s="91">
        <v>46136</v>
      </c>
      <c r="L2461" s="22"/>
      <c r="M2461" s="22"/>
      <c r="N2461" s="1" t="str" cm="1">
        <f t="array" ref="N2461">_xlfn.XLOOKUP(TRIM(D2461),TRIM(DFC!A:A),DFC!A:A,"NÃO ESTÁ NA DFC")</f>
        <v xml:space="preserve">      PEÇAS</v>
      </c>
    </row>
    <row r="2462" spans="1:14" ht="15" customHeight="1" x14ac:dyDescent="0.3">
      <c r="A2462" s="19"/>
      <c r="B2462" s="21">
        <v>46136</v>
      </c>
      <c r="C2462" s="21" t="s">
        <v>15</v>
      </c>
      <c r="D2462" s="21" t="s">
        <v>29</v>
      </c>
      <c r="E2462" s="21"/>
      <c r="F2462" s="22" t="s">
        <v>450</v>
      </c>
      <c r="G2462" s="252">
        <v>1700</v>
      </c>
      <c r="I2462" s="1">
        <f>COUNTIF(Tabela1[NF],Tabela1[[#This Row],[NF]])</f>
        <v>0</v>
      </c>
      <c r="K2462" s="91">
        <v>46136</v>
      </c>
      <c r="L2462" s="22"/>
      <c r="M2462" s="22"/>
      <c r="N2462" s="1" t="str" cm="1">
        <f t="array" ref="N2462">_xlfn.XLOOKUP(TRIM(D2462),TRIM(DFC!A:A),DFC!A:A,"NÃO ESTÁ NA DFC")</f>
        <v xml:space="preserve">      FRETE DE SAÍDA</v>
      </c>
    </row>
    <row r="2463" spans="1:14" ht="15" customHeight="1" x14ac:dyDescent="0.3">
      <c r="A2463" s="19">
        <v>24025</v>
      </c>
      <c r="B2463" s="21">
        <v>46136</v>
      </c>
      <c r="C2463" s="21" t="s">
        <v>15</v>
      </c>
      <c r="D2463" s="21" t="s">
        <v>29</v>
      </c>
      <c r="E2463" s="21"/>
      <c r="F2463" s="22" t="s">
        <v>467</v>
      </c>
      <c r="G2463" s="252">
        <v>115.6</v>
      </c>
      <c r="I2463" s="1">
        <f>COUNTIF(Tabela1[NF],Tabela1[[#This Row],[NF]])</f>
        <v>1</v>
      </c>
      <c r="K2463" s="91">
        <v>46136</v>
      </c>
      <c r="L2463" s="22"/>
      <c r="M2463" s="22"/>
      <c r="N2463" s="1" t="str" cm="1">
        <f t="array" ref="N2463">_xlfn.XLOOKUP(TRIM(D2463),TRIM(DFC!A:A),DFC!A:A,"NÃO ESTÁ NA DFC")</f>
        <v xml:space="preserve">      FRETE DE SAÍDA</v>
      </c>
    </row>
    <row r="2464" spans="1:14" ht="15" customHeight="1" x14ac:dyDescent="0.3">
      <c r="A2464" s="19"/>
      <c r="B2464" s="21">
        <v>46136</v>
      </c>
      <c r="C2464" s="21" t="s">
        <v>15</v>
      </c>
      <c r="D2464" s="21" t="s">
        <v>29</v>
      </c>
      <c r="E2464" s="21"/>
      <c r="F2464" s="22" t="s">
        <v>922</v>
      </c>
      <c r="G2464" s="252">
        <v>258.01</v>
      </c>
      <c r="I2464" s="1">
        <f>COUNTIF(Tabela1[NF],Tabela1[[#This Row],[NF]])</f>
        <v>0</v>
      </c>
      <c r="K2464" s="91">
        <v>46136</v>
      </c>
      <c r="L2464" s="22"/>
      <c r="M2464" s="22"/>
      <c r="N2464" s="1" t="str" cm="1">
        <f t="array" ref="N2464">_xlfn.XLOOKUP(TRIM(D2464),TRIM(DFC!A:A),DFC!A:A,"NÃO ESTÁ NA DFC")</f>
        <v xml:space="preserve">      FRETE DE SAÍDA</v>
      </c>
    </row>
    <row r="2465" spans="1:14" ht="15" customHeight="1" x14ac:dyDescent="0.3">
      <c r="A2465" s="19">
        <v>2053442</v>
      </c>
      <c r="B2465" s="21">
        <v>46136</v>
      </c>
      <c r="C2465" s="21" t="s">
        <v>15</v>
      </c>
      <c r="D2465" s="21" t="s">
        <v>63</v>
      </c>
      <c r="E2465" s="21"/>
      <c r="F2465" s="22" t="s">
        <v>404</v>
      </c>
      <c r="G2465" s="252">
        <v>1244.3</v>
      </c>
      <c r="I2465" s="1">
        <f>COUNTIF(Tabela1[NF],Tabela1[[#This Row],[NF]])</f>
        <v>1</v>
      </c>
      <c r="K2465" s="91">
        <v>46136</v>
      </c>
      <c r="L2465" s="22"/>
      <c r="M2465" s="22"/>
      <c r="N2465" s="1" t="str" cm="1">
        <f t="array" ref="N2465">_xlfn.XLOOKUP(TRIM(D2465),TRIM(DFC!A:A),DFC!A:A,"NÃO ESTÁ NA DFC")</f>
        <v xml:space="preserve">          ALVARÁ</v>
      </c>
    </row>
    <row r="2466" spans="1:14" ht="15" customHeight="1" x14ac:dyDescent="0.3">
      <c r="A2466" s="19">
        <v>25122</v>
      </c>
      <c r="B2466" s="21">
        <v>46136</v>
      </c>
      <c r="C2466" s="21" t="s">
        <v>15</v>
      </c>
      <c r="D2466" s="21" t="s">
        <v>386</v>
      </c>
      <c r="E2466" s="21"/>
      <c r="F2466" s="22" t="s">
        <v>946</v>
      </c>
      <c r="G2466" s="252">
        <v>826.34</v>
      </c>
      <c r="I2466" s="1">
        <f>COUNTIF(Tabela1[NF],Tabela1[[#This Row],[NF]])</f>
        <v>1</v>
      </c>
      <c r="K2466" s="91">
        <v>46136</v>
      </c>
      <c r="L2466" s="22"/>
      <c r="M2466" s="22"/>
      <c r="N2466" s="1" t="str" cm="1">
        <f t="array" ref="N2466">_xlfn.XLOOKUP(TRIM(D2466),TRIM(DFC!A:A),DFC!A:A,"NÃO ESTÁ NA DFC")</f>
        <v xml:space="preserve">          MATERIAIS DE USO E CONSUMO</v>
      </c>
    </row>
    <row r="2467" spans="1:14" ht="15" customHeight="1" x14ac:dyDescent="0.3">
      <c r="A2467" s="19">
        <v>1270</v>
      </c>
      <c r="B2467" s="21">
        <v>46136</v>
      </c>
      <c r="C2467" s="21" t="s">
        <v>15</v>
      </c>
      <c r="D2467" s="21" t="s">
        <v>19</v>
      </c>
      <c r="E2467" s="21"/>
      <c r="F2467" s="22" t="s">
        <v>936</v>
      </c>
      <c r="G2467" s="252">
        <v>3941.28</v>
      </c>
      <c r="I2467" s="1">
        <f>COUNTIF(Tabela1[NF],Tabela1[[#This Row],[NF]])</f>
        <v>1</v>
      </c>
      <c r="K2467" s="91">
        <v>46136</v>
      </c>
      <c r="L2467" s="22"/>
      <c r="M2467" s="22"/>
      <c r="N2467" s="1" t="str" cm="1">
        <f t="array" ref="N2467">_xlfn.XLOOKUP(TRIM(D2467),TRIM(DFC!A:A),DFC!A:A,"NÃO ESTÁ NA DFC")</f>
        <v xml:space="preserve">      PEÇAS</v>
      </c>
    </row>
    <row r="2468" spans="1:14" ht="15" customHeight="1" x14ac:dyDescent="0.3">
      <c r="A2468" s="19">
        <v>471217</v>
      </c>
      <c r="B2468" s="21">
        <v>46136</v>
      </c>
      <c r="C2468" s="21" t="s">
        <v>15</v>
      </c>
      <c r="D2468" s="21" t="s">
        <v>19</v>
      </c>
      <c r="E2468" s="21"/>
      <c r="F2468" s="22" t="s">
        <v>24</v>
      </c>
      <c r="G2468" s="252">
        <v>8219</v>
      </c>
      <c r="I2468" s="1">
        <f>COUNTIF(Tabela1[NF],Tabela1[[#This Row],[NF]])</f>
        <v>1</v>
      </c>
      <c r="K2468" s="91">
        <v>46136</v>
      </c>
      <c r="L2468" s="22"/>
      <c r="M2468" s="22"/>
      <c r="N2468" s="1" t="str" cm="1">
        <f t="array" ref="N2468">_xlfn.XLOOKUP(TRIM(D2468),TRIM(DFC!A:A),DFC!A:A,"NÃO ESTÁ NA DFC")</f>
        <v xml:space="preserve">      PEÇAS</v>
      </c>
    </row>
    <row r="2469" spans="1:14" ht="15" customHeight="1" x14ac:dyDescent="0.3">
      <c r="A2469" s="253"/>
      <c r="B2469" s="21">
        <v>46139</v>
      </c>
      <c r="C2469" s="21" t="s">
        <v>15</v>
      </c>
      <c r="D2469" s="84" t="s">
        <v>823</v>
      </c>
      <c r="E2469" s="84" t="s">
        <v>947</v>
      </c>
      <c r="F2469" s="472" t="s">
        <v>460</v>
      </c>
      <c r="G2469" s="252">
        <v>1359.89</v>
      </c>
      <c r="H2469" s="253"/>
      <c r="I2469" s="253">
        <f>COUNTIF(Tabela1[NF],Tabela1[[#This Row],[NF]])</f>
        <v>0</v>
      </c>
      <c r="J2469" s="85"/>
      <c r="K2469" s="21">
        <v>46139</v>
      </c>
      <c r="L2469" s="85"/>
      <c r="M2469" s="85"/>
      <c r="N2469" s="1" t="str" cm="1">
        <f t="array" ref="N2469">_xlfn.XLOOKUP(TRIM(D2469),TRIM(DFC!A:A),DFC!A:A,"NÃO ESTÁ NA DFC")</f>
        <v xml:space="preserve">     LANÇAMENTO DE PRODUTOS</v>
      </c>
    </row>
    <row r="2470" spans="1:14" ht="15" customHeight="1" x14ac:dyDescent="0.3">
      <c r="A2470" s="253"/>
      <c r="B2470" s="21">
        <v>46139</v>
      </c>
      <c r="C2470" s="21" t="s">
        <v>15</v>
      </c>
      <c r="D2470" s="84" t="s">
        <v>156</v>
      </c>
      <c r="E2470" s="21" t="s">
        <v>948</v>
      </c>
      <c r="F2470" s="472" t="s">
        <v>949</v>
      </c>
      <c r="G2470" s="252">
        <v>2400</v>
      </c>
      <c r="H2470" s="253"/>
      <c r="I2470" s="253">
        <f>COUNTIF(Tabela1[NF],Tabela1[[#This Row],[NF]])</f>
        <v>0</v>
      </c>
      <c r="J2470" s="85"/>
      <c r="K2470" s="21">
        <v>46139</v>
      </c>
      <c r="L2470" s="85"/>
      <c r="M2470" s="85"/>
      <c r="N2470" s="1" t="str" cm="1">
        <f t="array" ref="N2470">_xlfn.XLOOKUP(TRIM(D2470),TRIM(DFC!A:A),DFC!A:A,"NÃO ESTÁ NA DFC")</f>
        <v xml:space="preserve">      MONTAGEM DE RODAS</v>
      </c>
    </row>
    <row r="2471" spans="1:14" ht="15" customHeight="1" x14ac:dyDescent="0.3">
      <c r="A2471" s="253"/>
      <c r="B2471" s="21">
        <v>46139</v>
      </c>
      <c r="C2471" s="21" t="s">
        <v>15</v>
      </c>
      <c r="D2471" s="84" t="s">
        <v>19</v>
      </c>
      <c r="E2471" s="21"/>
      <c r="F2471" s="472" t="s">
        <v>852</v>
      </c>
      <c r="G2471" s="252">
        <v>100</v>
      </c>
      <c r="H2471" s="253"/>
      <c r="I2471" s="253">
        <f>COUNTIF(Tabela1[NF],Tabela1[[#This Row],[NF]])</f>
        <v>0</v>
      </c>
      <c r="J2471" s="85"/>
      <c r="K2471" s="21">
        <v>46139</v>
      </c>
      <c r="L2471" s="85"/>
      <c r="M2471" s="85"/>
      <c r="N2471" s="1" t="str" cm="1">
        <f t="array" ref="N2471">_xlfn.XLOOKUP(TRIM(D2471),TRIM(DFC!A:A),DFC!A:A,"NÃO ESTÁ NA DFC")</f>
        <v xml:space="preserve">      PEÇAS</v>
      </c>
    </row>
    <row r="2472" spans="1:14" ht="15" customHeight="1" x14ac:dyDescent="0.3">
      <c r="A2472" s="253"/>
      <c r="B2472" s="21">
        <v>46139</v>
      </c>
      <c r="C2472" s="21" t="s">
        <v>15</v>
      </c>
      <c r="D2472" s="84" t="s">
        <v>57</v>
      </c>
      <c r="E2472" s="21"/>
      <c r="F2472" s="495" t="s">
        <v>950</v>
      </c>
      <c r="G2472" s="252">
        <v>183</v>
      </c>
      <c r="H2472" s="253"/>
      <c r="I2472" s="253">
        <f>COUNTIF(Tabela1[NF],Tabela1[[#This Row],[NF]])</f>
        <v>0</v>
      </c>
      <c r="J2472" s="85"/>
      <c r="K2472" s="21">
        <v>46139</v>
      </c>
      <c r="L2472" s="85"/>
      <c r="M2472" s="85"/>
      <c r="N2472" s="1" t="str" cm="1">
        <f t="array" ref="N2472">_xlfn.XLOOKUP(TRIM(D2472),TRIM(DFC!A:A),DFC!A:A,"NÃO ESTÁ NA DFC")</f>
        <v xml:space="preserve">          ALIMENTAÇÃO</v>
      </c>
    </row>
    <row r="2473" spans="1:14" ht="15" customHeight="1" x14ac:dyDescent="0.3">
      <c r="A2473" s="253"/>
      <c r="B2473" s="21">
        <v>46139</v>
      </c>
      <c r="C2473" s="21" t="s">
        <v>15</v>
      </c>
      <c r="D2473" s="84" t="s">
        <v>19</v>
      </c>
      <c r="E2473" s="21"/>
      <c r="F2473" s="472" t="s">
        <v>951</v>
      </c>
      <c r="G2473" s="252">
        <v>142.69999999999999</v>
      </c>
      <c r="H2473" s="253"/>
      <c r="I2473" s="253">
        <f>COUNTIF(Tabela1[NF],Tabela1[[#This Row],[NF]])</f>
        <v>0</v>
      </c>
      <c r="J2473" s="85"/>
      <c r="K2473" s="21">
        <v>46139</v>
      </c>
      <c r="L2473" s="85"/>
      <c r="M2473" s="85"/>
      <c r="N2473" s="1" t="str" cm="1">
        <f t="array" ref="N2473">_xlfn.XLOOKUP(TRIM(D2473),TRIM(DFC!A:A),DFC!A:A,"NÃO ESTÁ NA DFC")</f>
        <v xml:space="preserve">      PEÇAS</v>
      </c>
    </row>
    <row r="2474" spans="1:14" ht="15" customHeight="1" x14ac:dyDescent="0.3">
      <c r="A2474" s="253"/>
      <c r="B2474" s="21">
        <v>46139</v>
      </c>
      <c r="C2474" s="21" t="s">
        <v>15</v>
      </c>
      <c r="D2474" s="84" t="s">
        <v>40</v>
      </c>
      <c r="E2474" s="21"/>
      <c r="F2474" s="472" t="s">
        <v>827</v>
      </c>
      <c r="G2474" s="252">
        <v>600</v>
      </c>
      <c r="H2474" s="253"/>
      <c r="I2474" s="253">
        <f>COUNTIF(Tabela1[NF],Tabela1[[#This Row],[NF]])</f>
        <v>0</v>
      </c>
      <c r="J2474" s="85"/>
      <c r="K2474" s="21">
        <v>46139</v>
      </c>
      <c r="L2474" s="85"/>
      <c r="M2474" s="85"/>
      <c r="N2474" s="1" t="str" cm="1">
        <f t="array" ref="N2474">_xlfn.XLOOKUP(TRIM(D2474),TRIM(DFC!A:A),DFC!A:A,"NÃO ESTÁ NA DFC")</f>
        <v xml:space="preserve">         SERVIÇO TERCEIRIZADO</v>
      </c>
    </row>
    <row r="2475" spans="1:14" ht="15" customHeight="1" x14ac:dyDescent="0.3">
      <c r="A2475" s="253"/>
      <c r="B2475" s="21">
        <v>46139</v>
      </c>
      <c r="C2475" s="21" t="s">
        <v>15</v>
      </c>
      <c r="D2475" s="84" t="s">
        <v>154</v>
      </c>
      <c r="E2475" s="21" t="s">
        <v>952</v>
      </c>
      <c r="F2475" s="472" t="s">
        <v>953</v>
      </c>
      <c r="G2475" s="252">
        <v>185.6</v>
      </c>
      <c r="H2475" s="253"/>
      <c r="I2475" s="253">
        <f>COUNTIF(Tabela1[NF],Tabela1[[#This Row],[NF]])</f>
        <v>0</v>
      </c>
      <c r="J2475" s="85"/>
      <c r="K2475" s="21">
        <v>46139</v>
      </c>
      <c r="L2475" s="85"/>
      <c r="M2475" s="85"/>
      <c r="N2475" s="1" t="str" cm="1">
        <f t="array" ref="N2475">_xlfn.XLOOKUP(TRIM(D2475),TRIM(DFC!A:A),DFC!A:A,"NÃO ESTÁ NA DFC")</f>
        <v xml:space="preserve">      EMBALAGENS</v>
      </c>
    </row>
    <row r="2476" spans="1:14" ht="15" customHeight="1" x14ac:dyDescent="0.3">
      <c r="A2476" s="253"/>
      <c r="B2476" s="21">
        <v>46139</v>
      </c>
      <c r="C2476" s="21" t="s">
        <v>15</v>
      </c>
      <c r="D2476" s="21" t="s">
        <v>156</v>
      </c>
      <c r="E2476" s="21"/>
      <c r="F2476" s="472" t="s">
        <v>314</v>
      </c>
      <c r="G2476" s="252">
        <v>3480</v>
      </c>
      <c r="H2476" s="253"/>
      <c r="I2476" s="253">
        <f>COUNTIF(Tabela1[NF],Tabela1[[#This Row],[NF]])</f>
        <v>0</v>
      </c>
      <c r="J2476" s="85"/>
      <c r="K2476" s="21">
        <v>46139</v>
      </c>
      <c r="L2476" s="85"/>
      <c r="M2476" s="85"/>
      <c r="N2476" s="1" t="str" cm="1">
        <f t="array" ref="N2476">_xlfn.XLOOKUP(TRIM(D2476),TRIM(DFC!A:A),DFC!A:A,"NÃO ESTÁ NA DFC")</f>
        <v xml:space="preserve">      MONTAGEM DE RODAS</v>
      </c>
    </row>
    <row r="2477" spans="1:14" ht="15" customHeight="1" x14ac:dyDescent="0.3">
      <c r="A2477" s="253"/>
      <c r="B2477" s="21">
        <v>46139</v>
      </c>
      <c r="C2477" s="21" t="s">
        <v>15</v>
      </c>
      <c r="D2477" s="84" t="s">
        <v>111</v>
      </c>
      <c r="E2477" s="84" t="s">
        <v>954</v>
      </c>
      <c r="F2477" s="472" t="s">
        <v>955</v>
      </c>
      <c r="G2477" s="252">
        <v>975</v>
      </c>
      <c r="H2477" s="253"/>
      <c r="I2477" s="253">
        <f>COUNTIF(Tabela1[NF],Tabela1[[#This Row],[NF]])</f>
        <v>0</v>
      </c>
      <c r="J2477" s="85"/>
      <c r="K2477" s="21">
        <v>46139</v>
      </c>
      <c r="L2477" s="85"/>
      <c r="M2477" s="85"/>
      <c r="N2477" s="1" t="str" cm="1">
        <f t="array" ref="N2477">_xlfn.XLOOKUP(TRIM(D2477),TRIM(DFC!A:A),DFC!A:A,"NÃO ESTÁ NA DFC")</f>
        <v xml:space="preserve">          TX. BANCÁRIA</v>
      </c>
    </row>
    <row r="2478" spans="1:14" ht="15" customHeight="1" x14ac:dyDescent="0.3">
      <c r="A2478" s="253">
        <v>13250</v>
      </c>
      <c r="B2478" s="21">
        <v>46139</v>
      </c>
      <c r="C2478" s="21" t="s">
        <v>15</v>
      </c>
      <c r="D2478" s="21" t="s">
        <v>37</v>
      </c>
      <c r="E2478" s="21"/>
      <c r="F2478" s="472" t="s">
        <v>341</v>
      </c>
      <c r="G2478" s="252">
        <v>38</v>
      </c>
      <c r="H2478" s="253"/>
      <c r="I2478" s="253">
        <f>COUNTIF(Tabela1[NF],Tabela1[[#This Row],[NF]])</f>
        <v>1</v>
      </c>
      <c r="J2478" s="85"/>
      <c r="K2478" s="21">
        <v>46139</v>
      </c>
      <c r="L2478" s="85"/>
      <c r="M2478" s="85"/>
      <c r="N2478" s="1" t="str" cm="1">
        <f t="array" ref="N2478">_xlfn.XLOOKUP(TRIM(D2478),TRIM(DFC!A:A),DFC!A:A,"NÃO ESTÁ NA DFC")</f>
        <v xml:space="preserve">          MATERIAL DE ESCRITÓRIO</v>
      </c>
    </row>
    <row r="2479" spans="1:14" ht="15" customHeight="1" x14ac:dyDescent="0.3">
      <c r="A2479" s="253"/>
      <c r="B2479" s="21">
        <v>46139</v>
      </c>
      <c r="C2479" s="21" t="s">
        <v>15</v>
      </c>
      <c r="D2479" s="21" t="s">
        <v>215</v>
      </c>
      <c r="E2479" s="21"/>
      <c r="F2479" s="472" t="s">
        <v>381</v>
      </c>
      <c r="G2479" s="252">
        <v>2900</v>
      </c>
      <c r="H2479" s="253"/>
      <c r="I2479" s="253">
        <f>COUNTIF(Tabela1[NF],Tabela1[[#This Row],[NF]])</f>
        <v>0</v>
      </c>
      <c r="J2479" s="85"/>
      <c r="K2479" s="21">
        <v>46139</v>
      </c>
      <c r="L2479" s="85"/>
      <c r="M2479" s="85"/>
      <c r="N2479" s="1" t="str" cm="1">
        <f t="array" ref="N2479">_xlfn.XLOOKUP(TRIM(D2479),TRIM(DFC!A:A),DFC!A:A,"NÃO ESTÁ NA DFC")</f>
        <v xml:space="preserve">         DESIGNER GRAFICO</v>
      </c>
    </row>
    <row r="2480" spans="1:14" ht="15" customHeight="1" x14ac:dyDescent="0.3">
      <c r="A2480" s="253">
        <v>13234</v>
      </c>
      <c r="B2480" s="21">
        <v>46139</v>
      </c>
      <c r="C2480" s="21" t="s">
        <v>15</v>
      </c>
      <c r="D2480" s="21" t="s">
        <v>37</v>
      </c>
      <c r="E2480" s="21"/>
      <c r="F2480" s="472" t="s">
        <v>341</v>
      </c>
      <c r="G2480" s="252">
        <v>70.3</v>
      </c>
      <c r="H2480" s="253"/>
      <c r="I2480" s="253">
        <f>COUNTIF(Tabela1[NF],Tabela1[[#This Row],[NF]])</f>
        <v>1</v>
      </c>
      <c r="J2480" s="85"/>
      <c r="K2480" s="21">
        <v>46139</v>
      </c>
      <c r="L2480" s="85"/>
      <c r="M2480" s="85"/>
      <c r="N2480" s="1" t="str" cm="1">
        <f t="array" ref="N2480">_xlfn.XLOOKUP(TRIM(D2480),TRIM(DFC!A:A),DFC!A:A,"NÃO ESTÁ NA DFC")</f>
        <v xml:space="preserve">          MATERIAL DE ESCRITÓRIO</v>
      </c>
    </row>
    <row r="2481" spans="1:14" ht="15" customHeight="1" x14ac:dyDescent="0.3">
      <c r="A2481" s="253"/>
      <c r="B2481" s="21">
        <v>46139</v>
      </c>
      <c r="C2481" s="21" t="s">
        <v>15</v>
      </c>
      <c r="D2481" s="21" t="s">
        <v>85</v>
      </c>
      <c r="E2481" s="21" t="s">
        <v>956</v>
      </c>
      <c r="F2481" s="472" t="s">
        <v>224</v>
      </c>
      <c r="G2481" s="252">
        <v>280</v>
      </c>
      <c r="H2481" s="253"/>
      <c r="I2481" s="253">
        <f>COUNTIF(Tabela1[NF],Tabela1[[#This Row],[NF]])</f>
        <v>0</v>
      </c>
      <c r="J2481" s="85"/>
      <c r="K2481" s="21">
        <v>46139</v>
      </c>
      <c r="L2481" s="85"/>
      <c r="M2481" s="85"/>
      <c r="N2481" s="1" t="str" cm="1">
        <f t="array" ref="N2481">_xlfn.XLOOKUP(TRIM(D2481),TRIM(DFC!A:A),DFC!A:A,"NÃO ESTÁ NA DFC")</f>
        <v xml:space="preserve">         EQUIPAMENTOS DE INFORMÁTICA</v>
      </c>
    </row>
    <row r="2482" spans="1:14" ht="15" customHeight="1" x14ac:dyDescent="0.3">
      <c r="A2482" s="253">
        <v>505</v>
      </c>
      <c r="B2482" s="21">
        <v>46139</v>
      </c>
      <c r="C2482" s="21" t="s">
        <v>15</v>
      </c>
      <c r="D2482" s="84" t="s">
        <v>154</v>
      </c>
      <c r="E2482" s="21"/>
      <c r="F2482" s="472" t="s">
        <v>390</v>
      </c>
      <c r="G2482" s="252">
        <v>3513.53</v>
      </c>
      <c r="H2482" s="253"/>
      <c r="I2482" s="253">
        <f>COUNTIF(Tabela1[NF],Tabela1[[#This Row],[NF]])</f>
        <v>1</v>
      </c>
      <c r="J2482" s="85"/>
      <c r="K2482" s="21">
        <v>46139</v>
      </c>
      <c r="L2482" s="85"/>
      <c r="M2482" s="85"/>
      <c r="N2482" s="1" t="str" cm="1">
        <f t="array" ref="N2482">_xlfn.XLOOKUP(TRIM(D2482),TRIM(DFC!A:A),DFC!A:A,"NÃO ESTÁ NA DFC")</f>
        <v xml:space="preserve">      EMBALAGENS</v>
      </c>
    </row>
    <row r="2483" spans="1:14" ht="15" customHeight="1" x14ac:dyDescent="0.3">
      <c r="A2483" s="253">
        <v>14064</v>
      </c>
      <c r="B2483" s="21">
        <v>46139</v>
      </c>
      <c r="C2483" s="21" t="s">
        <v>15</v>
      </c>
      <c r="D2483" s="84" t="s">
        <v>19</v>
      </c>
      <c r="E2483" s="21"/>
      <c r="F2483" s="472" t="s">
        <v>340</v>
      </c>
      <c r="G2483" s="252">
        <v>6271.38</v>
      </c>
      <c r="H2483" s="253"/>
      <c r="I2483" s="253">
        <f>COUNTIF(Tabela1[NF],Tabela1[[#This Row],[NF]])</f>
        <v>1</v>
      </c>
      <c r="J2483" s="85"/>
      <c r="K2483" s="21">
        <v>46139</v>
      </c>
      <c r="L2483" s="85"/>
      <c r="M2483" s="85"/>
      <c r="N2483" s="1" t="str" cm="1">
        <f t="array" ref="N2483">_xlfn.XLOOKUP(TRIM(D2483),TRIM(DFC!A:A),DFC!A:A,"NÃO ESTÁ NA DFC")</f>
        <v xml:space="preserve">      PEÇAS</v>
      </c>
    </row>
    <row r="2484" spans="1:14" ht="15" customHeight="1" x14ac:dyDescent="0.3">
      <c r="A2484" s="253">
        <v>123650</v>
      </c>
      <c r="B2484" s="21">
        <v>46139</v>
      </c>
      <c r="C2484" s="21" t="s">
        <v>15</v>
      </c>
      <c r="D2484" s="84" t="s">
        <v>19</v>
      </c>
      <c r="E2484" s="21"/>
      <c r="F2484" s="472" t="s">
        <v>304</v>
      </c>
      <c r="G2484" s="252">
        <v>757.43</v>
      </c>
      <c r="H2484" s="253"/>
      <c r="I2484" s="253">
        <f>COUNTIF(Tabela1[NF],Tabela1[[#This Row],[NF]])</f>
        <v>1</v>
      </c>
      <c r="J2484" s="85"/>
      <c r="K2484" s="21">
        <v>46139</v>
      </c>
      <c r="L2484" s="85"/>
      <c r="M2484" s="85"/>
      <c r="N2484" s="1" t="str" cm="1">
        <f t="array" ref="N2484">_xlfn.XLOOKUP(TRIM(D2484),TRIM(DFC!A:A),DFC!A:A,"NÃO ESTÁ NA DFC")</f>
        <v xml:space="preserve">      PEÇAS</v>
      </c>
    </row>
    <row r="2485" spans="1:14" ht="15" customHeight="1" x14ac:dyDescent="0.3">
      <c r="A2485" s="253" t="s">
        <v>957</v>
      </c>
      <c r="B2485" s="21">
        <v>46139</v>
      </c>
      <c r="C2485" s="21" t="s">
        <v>15</v>
      </c>
      <c r="D2485" s="84" t="s">
        <v>19</v>
      </c>
      <c r="E2485" s="21"/>
      <c r="F2485" s="472" t="s">
        <v>344</v>
      </c>
      <c r="G2485" s="252">
        <v>6271.38</v>
      </c>
      <c r="H2485" s="253"/>
      <c r="I2485" s="253">
        <f>COUNTIF(Tabela1[NF],Tabela1[[#This Row],[NF]])</f>
        <v>1</v>
      </c>
      <c r="J2485" s="85"/>
      <c r="K2485" s="21">
        <v>46139</v>
      </c>
      <c r="L2485" s="85"/>
      <c r="M2485" s="85"/>
      <c r="N2485" s="1" t="str" cm="1">
        <f t="array" ref="N2485">_xlfn.XLOOKUP(TRIM(D2485),TRIM(DFC!A:A),DFC!A:A,"NÃO ESTÁ NA DFC")</f>
        <v xml:space="preserve">      PEÇAS</v>
      </c>
    </row>
    <row r="2486" spans="1:14" ht="15" customHeight="1" x14ac:dyDescent="0.3">
      <c r="A2486" s="253">
        <v>9738</v>
      </c>
      <c r="B2486" s="21">
        <v>46139</v>
      </c>
      <c r="C2486" s="21" t="s">
        <v>15</v>
      </c>
      <c r="D2486" s="84" t="s">
        <v>19</v>
      </c>
      <c r="E2486" s="21"/>
      <c r="F2486" s="472" t="s">
        <v>689</v>
      </c>
      <c r="G2486" s="252">
        <v>833.33</v>
      </c>
      <c r="H2486" s="253"/>
      <c r="I2486" s="253">
        <f>COUNTIF(Tabela1[NF],Tabela1[[#This Row],[NF]])</f>
        <v>1</v>
      </c>
      <c r="J2486" s="85"/>
      <c r="K2486" s="21">
        <v>46139</v>
      </c>
      <c r="L2486" s="85"/>
      <c r="M2486" s="85"/>
      <c r="N2486" s="1" t="str" cm="1">
        <f t="array" ref="N2486">_xlfn.XLOOKUP(TRIM(D2486),TRIM(DFC!A:A),DFC!A:A,"NÃO ESTÁ NA DFC")</f>
        <v xml:space="preserve">      PEÇAS</v>
      </c>
    </row>
    <row r="2487" spans="1:14" ht="15" customHeight="1" x14ac:dyDescent="0.3">
      <c r="A2487" s="253" t="s">
        <v>958</v>
      </c>
      <c r="B2487" s="21">
        <v>46139</v>
      </c>
      <c r="C2487" s="21" t="s">
        <v>15</v>
      </c>
      <c r="D2487" s="84" t="s">
        <v>19</v>
      </c>
      <c r="E2487" s="21"/>
      <c r="F2487" s="472" t="s">
        <v>340</v>
      </c>
      <c r="G2487" s="252">
        <v>7500.02</v>
      </c>
      <c r="H2487" s="253"/>
      <c r="I2487" s="253">
        <f>COUNTIF(Tabela1[NF],Tabela1[[#This Row],[NF]])</f>
        <v>1</v>
      </c>
      <c r="J2487" s="85"/>
      <c r="K2487" s="21">
        <v>46139</v>
      </c>
      <c r="L2487" s="85"/>
      <c r="M2487" s="85"/>
      <c r="N2487" s="1" t="str" cm="1">
        <f t="array" ref="N2487">_xlfn.XLOOKUP(TRIM(D2487),TRIM(DFC!A:A),DFC!A:A,"NÃO ESTÁ NA DFC")</f>
        <v xml:space="preserve">      PEÇAS</v>
      </c>
    </row>
    <row r="2488" spans="1:14" ht="15" customHeight="1" x14ac:dyDescent="0.3">
      <c r="A2488" s="253">
        <v>175844</v>
      </c>
      <c r="B2488" s="21">
        <v>46139</v>
      </c>
      <c r="C2488" s="21" t="s">
        <v>15</v>
      </c>
      <c r="D2488" s="84" t="s">
        <v>19</v>
      </c>
      <c r="E2488" s="21"/>
      <c r="F2488" s="472" t="s">
        <v>228</v>
      </c>
      <c r="G2488" s="252">
        <v>859.48</v>
      </c>
      <c r="H2488" s="253"/>
      <c r="I2488" s="253">
        <f>COUNTIF(Tabela1[NF],Tabela1[[#This Row],[NF]])</f>
        <v>1</v>
      </c>
      <c r="J2488" s="85"/>
      <c r="K2488" s="21">
        <v>46139</v>
      </c>
      <c r="L2488" s="85"/>
      <c r="M2488" s="85"/>
      <c r="N2488" s="1" t="str" cm="1">
        <f t="array" ref="N2488">_xlfn.XLOOKUP(TRIM(D2488),TRIM(DFC!A:A),DFC!A:A,"NÃO ESTÁ NA DFC")</f>
        <v xml:space="preserve">      PEÇAS</v>
      </c>
    </row>
    <row r="2489" spans="1:14" ht="15" customHeight="1" x14ac:dyDescent="0.3">
      <c r="A2489" s="253">
        <v>174098</v>
      </c>
      <c r="B2489" s="21">
        <v>46139</v>
      </c>
      <c r="C2489" s="21" t="s">
        <v>15</v>
      </c>
      <c r="D2489" s="84" t="s">
        <v>19</v>
      </c>
      <c r="E2489" s="21"/>
      <c r="F2489" s="472" t="s">
        <v>909</v>
      </c>
      <c r="G2489" s="252">
        <v>8948.49</v>
      </c>
      <c r="H2489" s="253"/>
      <c r="I2489" s="253">
        <f>COUNTIF(Tabela1[NF],Tabela1[[#This Row],[NF]])</f>
        <v>2</v>
      </c>
      <c r="J2489" s="85"/>
      <c r="K2489" s="21">
        <v>46139</v>
      </c>
      <c r="L2489" s="85"/>
      <c r="M2489" s="85"/>
      <c r="N2489" s="1" t="str" cm="1">
        <f t="array" ref="N2489">_xlfn.XLOOKUP(TRIM(D2489),TRIM(DFC!A:A),DFC!A:A,"NÃO ESTÁ NA DFC")</f>
        <v xml:space="preserve">      PEÇAS</v>
      </c>
    </row>
    <row r="2490" spans="1:14" ht="15" customHeight="1" x14ac:dyDescent="0.3">
      <c r="A2490" s="253">
        <v>16402</v>
      </c>
      <c r="B2490" s="21">
        <v>46139</v>
      </c>
      <c r="C2490" s="21" t="s">
        <v>15</v>
      </c>
      <c r="D2490" s="84" t="s">
        <v>19</v>
      </c>
      <c r="E2490" s="21"/>
      <c r="F2490" s="472" t="s">
        <v>297</v>
      </c>
      <c r="G2490" s="252">
        <v>880.28</v>
      </c>
      <c r="H2490" s="253"/>
      <c r="I2490" s="253">
        <f>COUNTIF(Tabela1[NF],Tabela1[[#This Row],[NF]])</f>
        <v>1</v>
      </c>
      <c r="J2490" s="85"/>
      <c r="K2490" s="21">
        <v>46139</v>
      </c>
      <c r="L2490" s="85"/>
      <c r="M2490" s="85"/>
      <c r="N2490" s="1" t="str" cm="1">
        <f t="array" ref="N2490">_xlfn.XLOOKUP(TRIM(D2490),TRIM(DFC!A:A),DFC!A:A,"NÃO ESTÁ NA DFC")</f>
        <v xml:space="preserve">      PEÇAS</v>
      </c>
    </row>
    <row r="2491" spans="1:14" ht="15" customHeight="1" x14ac:dyDescent="0.3">
      <c r="A2491" s="253">
        <v>642457</v>
      </c>
      <c r="B2491" s="21">
        <v>46139</v>
      </c>
      <c r="C2491" s="21" t="s">
        <v>15</v>
      </c>
      <c r="D2491" s="84" t="s">
        <v>19</v>
      </c>
      <c r="E2491" s="21"/>
      <c r="F2491" s="472" t="s">
        <v>24</v>
      </c>
      <c r="G2491" s="252">
        <v>1542.56</v>
      </c>
      <c r="H2491" s="253"/>
      <c r="I2491" s="253">
        <f>COUNTIF(Tabela1[NF],Tabela1[[#This Row],[NF]])</f>
        <v>1</v>
      </c>
      <c r="J2491" s="85"/>
      <c r="K2491" s="21">
        <v>46139</v>
      </c>
      <c r="L2491" s="85"/>
      <c r="M2491" s="85"/>
      <c r="N2491" s="1" t="str" cm="1">
        <f t="array" ref="N2491">_xlfn.XLOOKUP(TRIM(D2491),TRIM(DFC!A:A),DFC!A:A,"NÃO ESTÁ NA DFC")</f>
        <v xml:space="preserve">      PEÇAS</v>
      </c>
    </row>
    <row r="2492" spans="1:14" ht="15" customHeight="1" x14ac:dyDescent="0.3">
      <c r="A2492" s="253">
        <v>188</v>
      </c>
      <c r="B2492" s="21">
        <v>46139</v>
      </c>
      <c r="C2492" s="21" t="s">
        <v>15</v>
      </c>
      <c r="D2492" s="84" t="s">
        <v>19</v>
      </c>
      <c r="E2492" s="21"/>
      <c r="F2492" s="472" t="s">
        <v>702</v>
      </c>
      <c r="G2492" s="252">
        <v>1717.5</v>
      </c>
      <c r="H2492" s="253"/>
      <c r="I2492" s="253">
        <f>COUNTIF(Tabela1[NF],Tabela1[[#This Row],[NF]])</f>
        <v>1</v>
      </c>
      <c r="J2492" s="85"/>
      <c r="K2492" s="21">
        <v>46139</v>
      </c>
      <c r="L2492" s="85"/>
      <c r="M2492" s="85"/>
      <c r="N2492" s="1" t="str" cm="1">
        <f t="array" ref="N2492">_xlfn.XLOOKUP(TRIM(D2492),TRIM(DFC!A:A),DFC!A:A,"NÃO ESTÁ NA DFC")</f>
        <v xml:space="preserve">      PEÇAS</v>
      </c>
    </row>
    <row r="2493" spans="1:14" ht="15" customHeight="1" x14ac:dyDescent="0.3">
      <c r="A2493" s="253">
        <v>53551</v>
      </c>
      <c r="B2493" s="21">
        <v>46139</v>
      </c>
      <c r="C2493" s="21" t="s">
        <v>15</v>
      </c>
      <c r="D2493" s="84" t="s">
        <v>19</v>
      </c>
      <c r="E2493" s="21"/>
      <c r="F2493" s="472" t="s">
        <v>385</v>
      </c>
      <c r="G2493" s="252">
        <v>2072.1</v>
      </c>
      <c r="H2493" s="253"/>
      <c r="I2493" s="253">
        <f>COUNTIF(Tabela1[NF],Tabela1[[#This Row],[NF]])</f>
        <v>1</v>
      </c>
      <c r="J2493" s="85"/>
      <c r="K2493" s="21">
        <v>46139</v>
      </c>
      <c r="L2493" s="85"/>
      <c r="M2493" s="85"/>
      <c r="N2493" s="1" t="str" cm="1">
        <f t="array" ref="N2493">_xlfn.XLOOKUP(TRIM(D2493),TRIM(DFC!A:A),DFC!A:A,"NÃO ESTÁ NA DFC")</f>
        <v xml:space="preserve">      PEÇAS</v>
      </c>
    </row>
    <row r="2494" spans="1:14" ht="15" customHeight="1" x14ac:dyDescent="0.3">
      <c r="A2494" s="253">
        <v>5368</v>
      </c>
      <c r="B2494" s="21">
        <v>46139</v>
      </c>
      <c r="C2494" s="21" t="s">
        <v>15</v>
      </c>
      <c r="D2494" s="84" t="s">
        <v>19</v>
      </c>
      <c r="E2494" s="21"/>
      <c r="F2494" s="472" t="s">
        <v>344</v>
      </c>
      <c r="G2494" s="252">
        <v>2500</v>
      </c>
      <c r="H2494" s="253"/>
      <c r="I2494" s="253">
        <f>COUNTIF(Tabela1[NF],Tabela1[[#This Row],[NF]])</f>
        <v>1</v>
      </c>
      <c r="J2494" s="85"/>
      <c r="K2494" s="21">
        <v>46139</v>
      </c>
      <c r="L2494" s="85"/>
      <c r="M2494" s="85"/>
      <c r="N2494" s="1" t="str" cm="1">
        <f t="array" ref="N2494">_xlfn.XLOOKUP(TRIM(D2494),TRIM(DFC!A:A),DFC!A:A,"NÃO ESTÁ NA DFC")</f>
        <v xml:space="preserve">      PEÇAS</v>
      </c>
    </row>
    <row r="2495" spans="1:14" ht="15" customHeight="1" x14ac:dyDescent="0.3">
      <c r="A2495" s="253">
        <v>5185</v>
      </c>
      <c r="B2495" s="21">
        <v>46139</v>
      </c>
      <c r="C2495" s="21" t="s">
        <v>15</v>
      </c>
      <c r="D2495" s="84" t="s">
        <v>19</v>
      </c>
      <c r="E2495" s="21"/>
      <c r="F2495" s="472" t="s">
        <v>300</v>
      </c>
      <c r="G2495" s="252">
        <v>2504.25</v>
      </c>
      <c r="H2495" s="253"/>
      <c r="I2495" s="253">
        <f>COUNTIF(Tabela1[NF],Tabela1[[#This Row],[NF]])</f>
        <v>1</v>
      </c>
      <c r="J2495" s="85"/>
      <c r="K2495" s="21">
        <v>46139</v>
      </c>
      <c r="L2495" s="85"/>
      <c r="M2495" s="85"/>
      <c r="N2495" s="1" t="str" cm="1">
        <f t="array" ref="N2495">_xlfn.XLOOKUP(TRIM(D2495),TRIM(DFC!A:A),DFC!A:A,"NÃO ESTÁ NA DFC")</f>
        <v xml:space="preserve">      PEÇAS</v>
      </c>
    </row>
    <row r="2496" spans="1:14" ht="15" customHeight="1" x14ac:dyDescent="0.3">
      <c r="A2496" s="253">
        <v>485385</v>
      </c>
      <c r="B2496" s="21">
        <v>46139</v>
      </c>
      <c r="C2496" s="21" t="s">
        <v>15</v>
      </c>
      <c r="D2496" s="84" t="s">
        <v>19</v>
      </c>
      <c r="E2496" s="21"/>
      <c r="F2496" s="472" t="s">
        <v>24</v>
      </c>
      <c r="G2496" s="252">
        <v>12788.27</v>
      </c>
      <c r="H2496" s="253"/>
      <c r="I2496" s="253">
        <f>COUNTIF(Tabela1[NF],Tabela1[[#This Row],[NF]])</f>
        <v>1</v>
      </c>
      <c r="J2496" s="85"/>
      <c r="K2496" s="21">
        <v>46139</v>
      </c>
      <c r="L2496" s="85"/>
      <c r="M2496" s="85"/>
      <c r="N2496" s="1" t="str" cm="1">
        <f t="array" ref="N2496">_xlfn.XLOOKUP(TRIM(D2496),TRIM(DFC!A:A),DFC!A:A,"NÃO ESTÁ NA DFC")</f>
        <v xml:space="preserve">      PEÇAS</v>
      </c>
    </row>
    <row r="2497" spans="1:14" ht="15" customHeight="1" x14ac:dyDescent="0.3">
      <c r="A2497" s="253">
        <v>29073</v>
      </c>
      <c r="B2497" s="21">
        <v>46139</v>
      </c>
      <c r="C2497" s="21" t="s">
        <v>15</v>
      </c>
      <c r="D2497" s="84" t="s">
        <v>19</v>
      </c>
      <c r="E2497" s="21"/>
      <c r="F2497" s="472" t="s">
        <v>132</v>
      </c>
      <c r="G2497" s="252">
        <v>2667.6</v>
      </c>
      <c r="H2497" s="253"/>
      <c r="I2497" s="253">
        <f>COUNTIF(Tabela1[NF],Tabela1[[#This Row],[NF]])</f>
        <v>1</v>
      </c>
      <c r="J2497" s="85"/>
      <c r="K2497" s="21">
        <v>46139</v>
      </c>
      <c r="L2497" s="85"/>
      <c r="M2497" s="85"/>
      <c r="N2497" s="1" t="str" cm="1">
        <f t="array" ref="N2497">_xlfn.XLOOKUP(TRIM(D2497),TRIM(DFC!A:A),DFC!A:A,"NÃO ESTÁ NA DFC")</f>
        <v xml:space="preserve">      PEÇAS</v>
      </c>
    </row>
    <row r="2498" spans="1:14" ht="15" customHeight="1" x14ac:dyDescent="0.3">
      <c r="A2498" s="253"/>
      <c r="B2498" s="21">
        <v>46139</v>
      </c>
      <c r="C2498" s="21" t="s">
        <v>15</v>
      </c>
      <c r="D2498" s="84" t="s">
        <v>29</v>
      </c>
      <c r="E2498" s="21"/>
      <c r="F2498" s="472" t="s">
        <v>922</v>
      </c>
      <c r="G2498" s="252">
        <v>130</v>
      </c>
      <c r="H2498" s="253"/>
      <c r="I2498" s="253">
        <f>COUNTIF(Tabela1[NF],Tabela1[[#This Row],[NF]])</f>
        <v>0</v>
      </c>
      <c r="J2498" s="85"/>
      <c r="K2498" s="21">
        <v>46139</v>
      </c>
      <c r="L2498" s="85"/>
      <c r="M2498" s="85"/>
      <c r="N2498" s="1" t="str" cm="1">
        <f t="array" ref="N2498">_xlfn.XLOOKUP(TRIM(D2498),TRIM(DFC!A:A),DFC!A:A,"NÃO ESTÁ NA DFC")</f>
        <v xml:space="preserve">      FRETE DE SAÍDA</v>
      </c>
    </row>
    <row r="2499" spans="1:14" ht="15" customHeight="1" x14ac:dyDescent="0.3">
      <c r="A2499" s="253">
        <v>485748</v>
      </c>
      <c r="B2499" s="21">
        <v>46139</v>
      </c>
      <c r="C2499" s="21" t="s">
        <v>15</v>
      </c>
      <c r="D2499" s="84" t="s">
        <v>19</v>
      </c>
      <c r="E2499" s="21"/>
      <c r="F2499" s="472" t="s">
        <v>24</v>
      </c>
      <c r="G2499" s="252">
        <v>3214.63</v>
      </c>
      <c r="H2499" s="253"/>
      <c r="I2499" s="253">
        <f>COUNTIF(Tabela1[NF],Tabela1[[#This Row],[NF]])</f>
        <v>1</v>
      </c>
      <c r="J2499" s="85"/>
      <c r="K2499" s="21">
        <v>46139</v>
      </c>
      <c r="L2499" s="85"/>
      <c r="M2499" s="85"/>
      <c r="N2499" s="1" t="str" cm="1">
        <f t="array" ref="N2499">_xlfn.XLOOKUP(TRIM(D2499),TRIM(DFC!A:A),DFC!A:A,"NÃO ESTÁ NA DFC")</f>
        <v xml:space="preserve">      PEÇAS</v>
      </c>
    </row>
    <row r="2500" spans="1:14" ht="15" customHeight="1" x14ac:dyDescent="0.3">
      <c r="A2500" s="253">
        <v>13241</v>
      </c>
      <c r="B2500" s="21">
        <v>46139</v>
      </c>
      <c r="C2500" s="21" t="s">
        <v>15</v>
      </c>
      <c r="D2500" s="21" t="s">
        <v>37</v>
      </c>
      <c r="E2500" s="21"/>
      <c r="F2500" s="472" t="s">
        <v>341</v>
      </c>
      <c r="G2500" s="252">
        <v>359.29</v>
      </c>
      <c r="H2500" s="253"/>
      <c r="I2500" s="253">
        <f>COUNTIF(Tabela1[NF],Tabela1[[#This Row],[NF]])</f>
        <v>2</v>
      </c>
      <c r="J2500" s="85"/>
      <c r="K2500" s="21">
        <v>46139</v>
      </c>
      <c r="L2500" s="85"/>
      <c r="M2500" s="85"/>
      <c r="N2500" s="1" t="str" cm="1">
        <f t="array" ref="N2500">_xlfn.XLOOKUP(TRIM(D2500),TRIM(DFC!A:A),DFC!A:A,"NÃO ESTÁ NA DFC")</f>
        <v xml:space="preserve">          MATERIAL DE ESCRITÓRIO</v>
      </c>
    </row>
    <row r="2501" spans="1:14" ht="15" customHeight="1" x14ac:dyDescent="0.3">
      <c r="A2501" s="253"/>
      <c r="B2501" s="21">
        <v>46139</v>
      </c>
      <c r="C2501" s="21" t="s">
        <v>15</v>
      </c>
      <c r="D2501" s="84" t="s">
        <v>644</v>
      </c>
      <c r="E2501" s="21"/>
      <c r="F2501" s="472" t="s">
        <v>959</v>
      </c>
      <c r="G2501" s="252">
        <v>1150</v>
      </c>
      <c r="H2501" s="253"/>
      <c r="I2501" s="253">
        <f>COUNTIF(Tabela1[NF],Tabela1[[#This Row],[NF]])</f>
        <v>0</v>
      </c>
      <c r="J2501" s="85"/>
      <c r="K2501" s="21">
        <v>46139</v>
      </c>
      <c r="L2501" s="85"/>
      <c r="M2501" s="85"/>
      <c r="N2501" s="1" t="str" cm="1">
        <f t="array" ref="N2501">_xlfn.XLOOKUP(TRIM(D2501),TRIM(DFC!A:A),DFC!A:A,"NÃO ESTÁ NA DFC")</f>
        <v xml:space="preserve">         MARCAS E PATENTES</v>
      </c>
    </row>
    <row r="2502" spans="1:14" ht="15" customHeight="1" x14ac:dyDescent="0.3">
      <c r="A2502" s="253">
        <v>5367</v>
      </c>
      <c r="B2502" s="21">
        <v>46139</v>
      </c>
      <c r="C2502" s="21" t="s">
        <v>15</v>
      </c>
      <c r="D2502" s="84" t="s">
        <v>19</v>
      </c>
      <c r="E2502" s="21"/>
      <c r="F2502" s="472" t="s">
        <v>344</v>
      </c>
      <c r="G2502" s="252">
        <v>1416</v>
      </c>
      <c r="H2502" s="253"/>
      <c r="I2502" s="253">
        <f>COUNTIF(Tabela1[NF],Tabela1[[#This Row],[NF]])</f>
        <v>1</v>
      </c>
      <c r="J2502" s="85"/>
      <c r="K2502" s="21">
        <v>46139</v>
      </c>
      <c r="L2502" s="85"/>
      <c r="M2502" s="85"/>
      <c r="N2502" s="1" t="str" cm="1">
        <f t="array" ref="N2502">_xlfn.XLOOKUP(TRIM(D2502),TRIM(DFC!A:A),DFC!A:A,"NÃO ESTÁ NA DFC")</f>
        <v xml:space="preserve">      PEÇAS</v>
      </c>
    </row>
    <row r="2503" spans="1:14" ht="15" customHeight="1" x14ac:dyDescent="0.3">
      <c r="A2503" s="253">
        <v>30613</v>
      </c>
      <c r="B2503" s="21">
        <v>46139</v>
      </c>
      <c r="C2503" s="21" t="s">
        <v>15</v>
      </c>
      <c r="D2503" s="84" t="s">
        <v>154</v>
      </c>
      <c r="E2503" s="21"/>
      <c r="F2503" s="472" t="s">
        <v>302</v>
      </c>
      <c r="G2503" s="252">
        <v>1775.9</v>
      </c>
      <c r="H2503" s="253"/>
      <c r="I2503" s="253">
        <f>COUNTIF(Tabela1[NF],Tabela1[[#This Row],[NF]])</f>
        <v>1</v>
      </c>
      <c r="J2503" s="85"/>
      <c r="K2503" s="21">
        <v>46139</v>
      </c>
      <c r="L2503" s="85"/>
      <c r="M2503" s="85"/>
      <c r="N2503" s="1" t="str" cm="1">
        <f t="array" ref="N2503">_xlfn.XLOOKUP(TRIM(D2503),TRIM(DFC!A:A),DFC!A:A,"NÃO ESTÁ NA DFC")</f>
        <v xml:space="preserve">      EMBALAGENS</v>
      </c>
    </row>
    <row r="2504" spans="1:14" ht="15" customHeight="1" x14ac:dyDescent="0.3">
      <c r="A2504" s="253">
        <v>485756</v>
      </c>
      <c r="B2504" s="21">
        <v>46139</v>
      </c>
      <c r="C2504" s="21" t="s">
        <v>15</v>
      </c>
      <c r="D2504" s="84" t="s">
        <v>19</v>
      </c>
      <c r="E2504" s="21"/>
      <c r="F2504" s="472" t="s">
        <v>24</v>
      </c>
      <c r="G2504" s="252">
        <v>1787.14</v>
      </c>
      <c r="H2504" s="253"/>
      <c r="I2504" s="253">
        <f>COUNTIF(Tabela1[NF],Tabela1[[#This Row],[NF]])</f>
        <v>1</v>
      </c>
      <c r="J2504" s="85"/>
      <c r="K2504" s="21">
        <v>46139</v>
      </c>
      <c r="L2504" s="85"/>
      <c r="M2504" s="85"/>
      <c r="N2504" s="1" t="str" cm="1">
        <f t="array" ref="N2504">_xlfn.XLOOKUP(TRIM(D2504),TRIM(DFC!A:A),DFC!A:A,"NÃO ESTÁ NA DFC")</f>
        <v xml:space="preserve">      PEÇAS</v>
      </c>
    </row>
    <row r="2505" spans="1:14" ht="15" customHeight="1" x14ac:dyDescent="0.3">
      <c r="A2505" s="253">
        <v>174098</v>
      </c>
      <c r="B2505" s="21">
        <v>46139</v>
      </c>
      <c r="C2505" s="21" t="s">
        <v>15</v>
      </c>
      <c r="D2505" s="84" t="s">
        <v>19</v>
      </c>
      <c r="E2505" s="21"/>
      <c r="F2505" s="472" t="s">
        <v>909</v>
      </c>
      <c r="G2505" s="252">
        <v>27086.73</v>
      </c>
      <c r="H2505" s="253"/>
      <c r="I2505" s="253">
        <f>COUNTIF(Tabela1[NF],Tabela1[[#This Row],[NF]])</f>
        <v>2</v>
      </c>
      <c r="J2505" s="85"/>
      <c r="K2505" s="21">
        <v>46139</v>
      </c>
      <c r="L2505" s="85"/>
      <c r="M2505" s="85"/>
      <c r="N2505" s="1" t="str" cm="1">
        <f t="array" ref="N2505">_xlfn.XLOOKUP(TRIM(D2505),TRIM(DFC!A:A),DFC!A:A,"NÃO ESTÁ NA DFC")</f>
        <v xml:space="preserve">      PEÇAS</v>
      </c>
    </row>
    <row r="2506" spans="1:14" ht="15" customHeight="1" x14ac:dyDescent="0.3">
      <c r="A2506" s="253"/>
      <c r="B2506" s="21">
        <v>46140</v>
      </c>
      <c r="C2506" s="21" t="s">
        <v>15</v>
      </c>
      <c r="D2506" s="84" t="s">
        <v>72</v>
      </c>
      <c r="E2506" s="21"/>
      <c r="F2506" s="472" t="s">
        <v>380</v>
      </c>
      <c r="G2506" s="252">
        <v>643.91</v>
      </c>
      <c r="H2506" s="253"/>
      <c r="I2506" s="253">
        <f>COUNTIF(Tabela1[NF],Tabela1[[#This Row],[NF]])</f>
        <v>0</v>
      </c>
      <c r="J2506" s="85"/>
      <c r="K2506" s="21">
        <v>46140</v>
      </c>
      <c r="L2506" s="85"/>
      <c r="M2506" s="85"/>
      <c r="N2506" s="1" t="str" cm="1">
        <f t="array" ref="N2506">_xlfn.XLOOKUP(TRIM(D2506),TRIM(DFC!A:A),DFC!A:A,"NÃO ESTÁ NA DFC")</f>
        <v xml:space="preserve">          COMBUSTÍVEL</v>
      </c>
    </row>
    <row r="2507" spans="1:14" ht="15" customHeight="1" x14ac:dyDescent="0.3">
      <c r="A2507" s="253"/>
      <c r="B2507" s="21">
        <v>46140</v>
      </c>
      <c r="C2507" s="21" t="s">
        <v>15</v>
      </c>
      <c r="D2507" s="84" t="s">
        <v>79</v>
      </c>
      <c r="E2507" s="21"/>
      <c r="F2507" s="472" t="s">
        <v>960</v>
      </c>
      <c r="G2507" s="252">
        <v>51.65</v>
      </c>
      <c r="H2507" s="253"/>
      <c r="I2507" s="253">
        <f>COUNTIF(Tabela1[NF],Tabela1[[#This Row],[NF]])</f>
        <v>0</v>
      </c>
      <c r="J2507" s="85"/>
      <c r="K2507" s="21">
        <v>46140</v>
      </c>
      <c r="L2507" s="85"/>
      <c r="M2507" s="85"/>
      <c r="N2507" s="1" t="str" cm="1">
        <f t="array" ref="N2507">_xlfn.XLOOKUP(TRIM(D2507),TRIM(DFC!A:A),DFC!A:A,"NÃO ESTÁ NA DFC")</f>
        <v xml:space="preserve">     DESP DE MARKETING E PROPAGANDA</v>
      </c>
    </row>
    <row r="2508" spans="1:14" ht="15" customHeight="1" x14ac:dyDescent="0.3">
      <c r="A2508" s="253"/>
      <c r="B2508" s="21">
        <v>46140</v>
      </c>
      <c r="C2508" s="21" t="s">
        <v>15</v>
      </c>
      <c r="D2508" s="84" t="s">
        <v>731</v>
      </c>
      <c r="E2508" s="21" t="s">
        <v>961</v>
      </c>
      <c r="F2508" s="472" t="s">
        <v>732</v>
      </c>
      <c r="G2508" s="252">
        <v>254.09</v>
      </c>
      <c r="H2508" s="253"/>
      <c r="I2508" s="253">
        <f>COUNTIF(Tabela1[NF],Tabela1[[#This Row],[NF]])</f>
        <v>0</v>
      </c>
      <c r="J2508" s="85"/>
      <c r="K2508" s="21">
        <v>46140</v>
      </c>
      <c r="L2508" s="85"/>
      <c r="M2508" s="85"/>
      <c r="N2508" s="1" t="str" cm="1">
        <f t="array" ref="N2508">_xlfn.XLOOKUP(TRIM(D2508),TRIM(DFC!A:A),DFC!A:A,"NÃO ESTÁ NA DFC")</f>
        <v xml:space="preserve">     DIFAL</v>
      </c>
    </row>
    <row r="2509" spans="1:14" ht="15" customHeight="1" x14ac:dyDescent="0.3">
      <c r="A2509" s="253">
        <v>30449</v>
      </c>
      <c r="B2509" s="21">
        <v>46140</v>
      </c>
      <c r="C2509" s="21" t="s">
        <v>15</v>
      </c>
      <c r="D2509" s="84" t="s">
        <v>19</v>
      </c>
      <c r="E2509" s="21"/>
      <c r="F2509" s="472" t="s">
        <v>302</v>
      </c>
      <c r="G2509" s="252">
        <v>3255.81</v>
      </c>
      <c r="H2509" s="253"/>
      <c r="I2509" s="253">
        <f>COUNTIF(Tabela1[NF],Tabela1[[#This Row],[NF]])</f>
        <v>1</v>
      </c>
      <c r="J2509" s="85"/>
      <c r="K2509" s="21">
        <v>46140</v>
      </c>
      <c r="L2509" s="85"/>
      <c r="M2509" s="85"/>
      <c r="N2509" s="1" t="str" cm="1">
        <f t="array" ref="N2509">_xlfn.XLOOKUP(TRIM(D2509),TRIM(DFC!A:A),DFC!A:A,"NÃO ESTÁ NA DFC")</f>
        <v xml:space="preserve">      PEÇAS</v>
      </c>
    </row>
    <row r="2510" spans="1:14" ht="15" customHeight="1" x14ac:dyDescent="0.3">
      <c r="A2510" s="253">
        <v>28770</v>
      </c>
      <c r="B2510" s="21">
        <v>46140</v>
      </c>
      <c r="C2510" s="21" t="s">
        <v>15</v>
      </c>
      <c r="D2510" s="84" t="s">
        <v>19</v>
      </c>
      <c r="E2510" s="21"/>
      <c r="F2510" s="472" t="s">
        <v>433</v>
      </c>
      <c r="G2510" s="252">
        <v>3657.97</v>
      </c>
      <c r="H2510" s="253"/>
      <c r="I2510" s="253">
        <f>COUNTIF(Tabela1[NF],Tabela1[[#This Row],[NF]])</f>
        <v>2</v>
      </c>
      <c r="J2510" s="85"/>
      <c r="K2510" s="21">
        <v>46140</v>
      </c>
      <c r="L2510" s="85"/>
      <c r="M2510" s="85"/>
      <c r="N2510" s="1" t="str" cm="1">
        <f t="array" ref="N2510">_xlfn.XLOOKUP(TRIM(D2510),TRIM(DFC!A:A),DFC!A:A,"NÃO ESTÁ NA DFC")</f>
        <v xml:space="preserve">      PEÇAS</v>
      </c>
    </row>
    <row r="2511" spans="1:14" ht="15" customHeight="1" x14ac:dyDescent="0.3">
      <c r="A2511" s="253"/>
      <c r="B2511" s="21">
        <v>46140</v>
      </c>
      <c r="C2511" s="21" t="s">
        <v>15</v>
      </c>
      <c r="D2511" s="84" t="s">
        <v>19</v>
      </c>
      <c r="E2511" s="84" t="s">
        <v>864</v>
      </c>
      <c r="F2511" s="472" t="s">
        <v>103</v>
      </c>
      <c r="G2511" s="252">
        <v>6666.67</v>
      </c>
      <c r="H2511" s="253"/>
      <c r="I2511" s="253">
        <f>COUNTIF(Tabela1[NF],Tabela1[[#This Row],[NF]])</f>
        <v>0</v>
      </c>
      <c r="J2511" s="85"/>
      <c r="K2511" s="21">
        <v>46140</v>
      </c>
      <c r="L2511" s="85"/>
      <c r="M2511" s="85"/>
      <c r="N2511" s="1" t="str" cm="1">
        <f t="array" ref="N2511">_xlfn.XLOOKUP(TRIM(D2511),TRIM(DFC!A:A),DFC!A:A,"NÃO ESTÁ NA DFC")</f>
        <v xml:space="preserve">      PEÇAS</v>
      </c>
    </row>
    <row r="2512" spans="1:14" ht="15" customHeight="1" x14ac:dyDescent="0.3">
      <c r="A2512" s="253"/>
      <c r="B2512" s="21">
        <v>46140</v>
      </c>
      <c r="C2512" s="21" t="s">
        <v>15</v>
      </c>
      <c r="D2512" s="84" t="s">
        <v>65</v>
      </c>
      <c r="E2512" s="84" t="s">
        <v>962</v>
      </c>
      <c r="F2512" s="472" t="s">
        <v>103</v>
      </c>
      <c r="G2512" s="252">
        <v>10000</v>
      </c>
      <c r="H2512" s="253"/>
      <c r="I2512" s="253">
        <f>COUNTIF(Tabela1[NF],Tabela1[[#This Row],[NF]])</f>
        <v>0</v>
      </c>
      <c r="J2512" s="85"/>
      <c r="K2512" s="21">
        <v>46140</v>
      </c>
      <c r="L2512" s="85"/>
      <c r="M2512" s="85"/>
      <c r="N2512" s="1" t="str" cm="1">
        <f t="array" ref="N2512">_xlfn.XLOOKUP(TRIM(D2512),TRIM(DFC!A:A),DFC!A:A,"NÃO ESTÁ NA DFC")</f>
        <v xml:space="preserve">          AMORTIZAÇÃO FELIPE </v>
      </c>
    </row>
    <row r="2513" spans="1:14" ht="15" customHeight="1" x14ac:dyDescent="0.3">
      <c r="A2513" s="253"/>
      <c r="B2513" s="21">
        <v>46140</v>
      </c>
      <c r="C2513" s="21" t="s">
        <v>15</v>
      </c>
      <c r="D2513" s="84" t="s">
        <v>19</v>
      </c>
      <c r="E2513" s="84" t="s">
        <v>864</v>
      </c>
      <c r="F2513" s="472" t="s">
        <v>103</v>
      </c>
      <c r="G2513" s="252">
        <v>3333.34</v>
      </c>
      <c r="H2513" s="253"/>
      <c r="I2513" s="253">
        <f>COUNTIF(Tabela1[NF],Tabela1[[#This Row],[NF]])</f>
        <v>0</v>
      </c>
      <c r="J2513" s="85"/>
      <c r="K2513" s="21">
        <v>46140</v>
      </c>
      <c r="L2513" s="85"/>
      <c r="M2513" s="85"/>
      <c r="N2513" s="1" t="str" cm="1">
        <f t="array" ref="N2513">_xlfn.XLOOKUP(TRIM(D2513),TRIM(DFC!A:A),DFC!A:A,"NÃO ESTÁ NA DFC")</f>
        <v xml:space="preserve">      PEÇAS</v>
      </c>
    </row>
    <row r="2514" spans="1:14" ht="15" customHeight="1" x14ac:dyDescent="0.3">
      <c r="A2514" s="253"/>
      <c r="B2514" s="21">
        <v>46141</v>
      </c>
      <c r="C2514" s="21" t="s">
        <v>15</v>
      </c>
      <c r="D2514" s="91" t="s">
        <v>111</v>
      </c>
      <c r="E2514" s="21"/>
      <c r="F2514" s="472" t="s">
        <v>114</v>
      </c>
      <c r="G2514" s="252">
        <v>6.67</v>
      </c>
      <c r="H2514" s="253"/>
      <c r="I2514" s="253">
        <f>COUNTIF(Tabela1[NF],Tabela1[[#This Row],[NF]])</f>
        <v>0</v>
      </c>
      <c r="J2514" s="85"/>
      <c r="K2514" s="21">
        <v>46141</v>
      </c>
      <c r="L2514" s="85"/>
      <c r="M2514" s="85"/>
      <c r="N2514" s="1" t="str" cm="1">
        <f t="array" ref="N2514">_xlfn.XLOOKUP(TRIM(D2514),TRIM(DFC!A:A),DFC!A:A,"NÃO ESTÁ NA DFC")</f>
        <v xml:space="preserve">          TX. BANCÁRIA</v>
      </c>
    </row>
    <row r="2515" spans="1:14" ht="15" customHeight="1" x14ac:dyDescent="0.3">
      <c r="A2515" s="253"/>
      <c r="B2515" s="21">
        <v>46141</v>
      </c>
      <c r="C2515" s="21" t="s">
        <v>15</v>
      </c>
      <c r="D2515" s="91" t="s">
        <v>111</v>
      </c>
      <c r="E2515" s="21"/>
      <c r="F2515" s="472" t="s">
        <v>114</v>
      </c>
      <c r="G2515" s="252">
        <v>10</v>
      </c>
      <c r="H2515" s="253"/>
      <c r="I2515" s="253">
        <f>COUNTIF(Tabela1[NF],Tabela1[[#This Row],[NF]])</f>
        <v>0</v>
      </c>
      <c r="J2515" s="85"/>
      <c r="K2515" s="21">
        <v>46141</v>
      </c>
      <c r="L2515" s="85"/>
      <c r="M2515" s="85"/>
      <c r="N2515" s="1" t="str" cm="1">
        <f t="array" ref="N2515">_xlfn.XLOOKUP(TRIM(D2515),TRIM(DFC!A:A),DFC!A:A,"NÃO ESTÁ NA DFC")</f>
        <v xml:space="preserve">          TX. BANCÁRIA</v>
      </c>
    </row>
    <row r="2516" spans="1:14" ht="15" customHeight="1" x14ac:dyDescent="0.3">
      <c r="A2516" s="253"/>
      <c r="B2516" s="21">
        <v>46141</v>
      </c>
      <c r="C2516" s="21" t="s">
        <v>15</v>
      </c>
      <c r="D2516" s="84" t="s">
        <v>79</v>
      </c>
      <c r="E2516" s="21" t="s">
        <v>963</v>
      </c>
      <c r="F2516" s="472" t="s">
        <v>960</v>
      </c>
      <c r="G2516" s="252">
        <v>39.229999999999997</v>
      </c>
      <c r="H2516" s="253"/>
      <c r="I2516" s="253">
        <f>COUNTIF(Tabela1[NF],Tabela1[[#This Row],[NF]])</f>
        <v>0</v>
      </c>
      <c r="J2516" s="85"/>
      <c r="K2516" s="21">
        <v>46141</v>
      </c>
      <c r="L2516" s="85"/>
      <c r="M2516" s="85"/>
      <c r="N2516" s="1" t="str" cm="1">
        <f t="array" ref="N2516">_xlfn.XLOOKUP(TRIM(D2516),TRIM(DFC!A:A),DFC!A:A,"NÃO ESTÁ NA DFC")</f>
        <v xml:space="preserve">     DESP DE MARKETING E PROPAGANDA</v>
      </c>
    </row>
    <row r="2517" spans="1:14" ht="15" customHeight="1" x14ac:dyDescent="0.3">
      <c r="A2517" s="19"/>
      <c r="B2517" s="21">
        <v>46141</v>
      </c>
      <c r="C2517" s="21" t="s">
        <v>15</v>
      </c>
      <c r="D2517" s="84" t="s">
        <v>79</v>
      </c>
      <c r="E2517" s="21" t="s">
        <v>963</v>
      </c>
      <c r="F2517" s="22" t="s">
        <v>960</v>
      </c>
      <c r="G2517" s="252">
        <v>51.65</v>
      </c>
      <c r="H2517" s="19"/>
      <c r="I2517" s="19">
        <f>COUNTIF(Tabela1[NF],Tabela1[[#This Row],[NF]])</f>
        <v>0</v>
      </c>
      <c r="J2517" s="22"/>
      <c r="K2517" s="21">
        <v>46141</v>
      </c>
      <c r="L2517" s="22"/>
      <c r="M2517" s="22"/>
      <c r="N2517" s="1" t="str" cm="1">
        <f t="array" ref="N2517">_xlfn.XLOOKUP(TRIM(D2517),TRIM(DFC!A:A),DFC!A:A,"NÃO ESTÁ NA DFC")</f>
        <v xml:space="preserve">     DESP DE MARKETING E PROPAGANDA</v>
      </c>
    </row>
    <row r="2518" spans="1:14" ht="15" customHeight="1" x14ac:dyDescent="0.3">
      <c r="A2518" s="19"/>
      <c r="B2518" s="21">
        <v>46141</v>
      </c>
      <c r="C2518" s="21" t="s">
        <v>15</v>
      </c>
      <c r="D2518" s="21" t="s">
        <v>79</v>
      </c>
      <c r="E2518" s="21" t="s">
        <v>964</v>
      </c>
      <c r="F2518" s="22" t="s">
        <v>965</v>
      </c>
      <c r="G2518" s="252">
        <v>750</v>
      </c>
      <c r="H2518" s="19"/>
      <c r="I2518" s="19">
        <f>COUNTIF(Tabela1[NF],Tabela1[[#This Row],[NF]])</f>
        <v>0</v>
      </c>
      <c r="J2518" s="22"/>
      <c r="K2518" s="21">
        <v>46141</v>
      </c>
      <c r="L2518" s="22"/>
      <c r="M2518" s="22"/>
      <c r="N2518" s="1" t="str" cm="1">
        <f t="array" ref="N2518">_xlfn.XLOOKUP(TRIM(D2518),TRIM(DFC!A:A),DFC!A:A,"NÃO ESTÁ NA DFC")</f>
        <v xml:space="preserve">     DESP DE MARKETING E PROPAGANDA</v>
      </c>
    </row>
    <row r="2519" spans="1:14" ht="15" customHeight="1" x14ac:dyDescent="0.3">
      <c r="A2519" s="19"/>
      <c r="B2519" s="21">
        <v>46141</v>
      </c>
      <c r="C2519" s="21" t="s">
        <v>15</v>
      </c>
      <c r="D2519" s="21" t="s">
        <v>79</v>
      </c>
      <c r="E2519" s="21" t="s">
        <v>964</v>
      </c>
      <c r="F2519" s="22" t="s">
        <v>966</v>
      </c>
      <c r="G2519" s="252">
        <v>720</v>
      </c>
      <c r="H2519" s="19"/>
      <c r="I2519" s="19">
        <f>COUNTIF(Tabela1[NF],Tabela1[[#This Row],[NF]])</f>
        <v>0</v>
      </c>
      <c r="J2519" s="22"/>
      <c r="K2519" s="21">
        <v>46141</v>
      </c>
      <c r="L2519" s="22"/>
      <c r="M2519" s="22"/>
      <c r="N2519" s="1" t="str" cm="1">
        <f t="array" ref="N2519">_xlfn.XLOOKUP(TRIM(D2519),TRIM(DFC!A:A),DFC!A:A,"NÃO ESTÁ NA DFC")</f>
        <v xml:space="preserve">     DESP DE MARKETING E PROPAGANDA</v>
      </c>
    </row>
    <row r="2520" spans="1:14" ht="15" customHeight="1" x14ac:dyDescent="0.3">
      <c r="A2520" s="19"/>
      <c r="B2520" s="21">
        <v>46141</v>
      </c>
      <c r="C2520" s="21" t="s">
        <v>15</v>
      </c>
      <c r="D2520" s="475" t="s">
        <v>18</v>
      </c>
      <c r="E2520" s="21"/>
      <c r="F2520" s="22" t="s">
        <v>578</v>
      </c>
      <c r="G2520" s="252">
        <v>198.4</v>
      </c>
      <c r="H2520" s="19"/>
      <c r="I2520" s="19">
        <f>COUNTIF(Tabela1[NF],Tabela1[[#This Row],[NF]])</f>
        <v>0</v>
      </c>
      <c r="J2520" s="22"/>
      <c r="K2520" s="21">
        <v>46141</v>
      </c>
      <c r="L2520" s="22"/>
      <c r="M2520" s="22"/>
      <c r="N2520" s="1" t="str" cm="1">
        <f t="array" ref="N2520">_xlfn.XLOOKUP(TRIM(D2520),TRIM(DFC!A:A),DFC!A:A,"NÃO ESTÁ NA DFC")</f>
        <v xml:space="preserve">     COMISSÕES E TAXAS DOS MARKETPLACES</v>
      </c>
    </row>
    <row r="2521" spans="1:14" ht="15" customHeight="1" x14ac:dyDescent="0.3">
      <c r="A2521" s="19"/>
      <c r="B2521" s="21">
        <v>46141</v>
      </c>
      <c r="C2521" s="21" t="s">
        <v>15</v>
      </c>
      <c r="D2521" s="21" t="s">
        <v>29</v>
      </c>
      <c r="E2521" s="21"/>
      <c r="F2521" s="22" t="s">
        <v>922</v>
      </c>
      <c r="G2521" s="252">
        <v>106.06</v>
      </c>
      <c r="H2521" s="19"/>
      <c r="I2521" s="19">
        <f>COUNTIF(Tabela1[NF],Tabela1[[#This Row],[NF]])</f>
        <v>0</v>
      </c>
      <c r="J2521" s="22"/>
      <c r="K2521" s="21">
        <v>46141</v>
      </c>
      <c r="L2521" s="22"/>
      <c r="M2521" s="22"/>
      <c r="N2521" s="1" t="str" cm="1">
        <f t="array" ref="N2521">_xlfn.XLOOKUP(TRIM(D2521),TRIM(DFC!A:A),DFC!A:A,"NÃO ESTÁ NA DFC")</f>
        <v xml:space="preserve">      FRETE DE SAÍDA</v>
      </c>
    </row>
    <row r="2522" spans="1:14" ht="15" customHeight="1" x14ac:dyDescent="0.3">
      <c r="A2522" s="19">
        <v>5392</v>
      </c>
      <c r="B2522" s="21">
        <v>46141</v>
      </c>
      <c r="C2522" s="21" t="s">
        <v>15</v>
      </c>
      <c r="D2522" s="21" t="s">
        <v>19</v>
      </c>
      <c r="E2522" s="21"/>
      <c r="F2522" s="22" t="s">
        <v>344</v>
      </c>
      <c r="G2522" s="252">
        <v>1666.68</v>
      </c>
      <c r="H2522" s="19"/>
      <c r="I2522" s="19">
        <f>COUNTIF(Tabela1[NF],Tabela1[[#This Row],[NF]])</f>
        <v>1</v>
      </c>
      <c r="J2522" s="22"/>
      <c r="K2522" s="21">
        <v>46141</v>
      </c>
      <c r="L2522" s="22"/>
      <c r="M2522" s="22"/>
      <c r="N2522" s="1" t="str" cm="1">
        <f t="array" ref="N2522">_xlfn.XLOOKUP(TRIM(D2522),TRIM(DFC!A:A),DFC!A:A,"NÃO ESTÁ NA DFC")</f>
        <v xml:space="preserve">      PEÇAS</v>
      </c>
    </row>
    <row r="2523" spans="1:14" ht="15" customHeight="1" x14ac:dyDescent="0.3">
      <c r="A2523" s="19">
        <v>5394</v>
      </c>
      <c r="B2523" s="21">
        <v>46141</v>
      </c>
      <c r="C2523" s="21" t="s">
        <v>15</v>
      </c>
      <c r="D2523" s="21" t="s">
        <v>19</v>
      </c>
      <c r="E2523" s="21"/>
      <c r="F2523" s="22" t="s">
        <v>344</v>
      </c>
      <c r="G2523" s="252">
        <v>833.34</v>
      </c>
      <c r="H2523" s="19"/>
      <c r="I2523" s="19">
        <f>COUNTIF(Tabela1[NF],Tabela1[[#This Row],[NF]])</f>
        <v>1</v>
      </c>
      <c r="J2523" s="22"/>
      <c r="K2523" s="21">
        <v>46141</v>
      </c>
      <c r="L2523" s="22"/>
      <c r="M2523" s="22"/>
      <c r="N2523" s="1" t="str" cm="1">
        <f t="array" ref="N2523">_xlfn.XLOOKUP(TRIM(D2523),TRIM(DFC!A:A),DFC!A:A,"NÃO ESTÁ NA DFC")</f>
        <v xml:space="preserve">      PEÇAS</v>
      </c>
    </row>
    <row r="2524" spans="1:14" ht="15" customHeight="1" x14ac:dyDescent="0.3">
      <c r="A2524" s="19">
        <v>5393</v>
      </c>
      <c r="B2524" s="21">
        <v>46141</v>
      </c>
      <c r="C2524" s="21" t="s">
        <v>15</v>
      </c>
      <c r="D2524" s="21" t="s">
        <v>19</v>
      </c>
      <c r="E2524" s="21"/>
      <c r="F2524" s="22" t="s">
        <v>344</v>
      </c>
      <c r="G2524" s="252">
        <v>7473.34</v>
      </c>
      <c r="H2524" s="19"/>
      <c r="I2524" s="19">
        <f>COUNTIF(Tabela1[NF],Tabela1[[#This Row],[NF]])</f>
        <v>1</v>
      </c>
      <c r="J2524" s="22"/>
      <c r="K2524" s="21">
        <v>46141</v>
      </c>
      <c r="L2524" s="22"/>
      <c r="M2524" s="22"/>
      <c r="N2524" s="1" t="str" cm="1">
        <f t="array" ref="N2524">_xlfn.XLOOKUP(TRIM(D2524),TRIM(DFC!A:A),DFC!A:A,"NÃO ESTÁ NA DFC")</f>
        <v xml:space="preserve">      PEÇAS</v>
      </c>
    </row>
    <row r="2525" spans="1:14" ht="15" customHeight="1" x14ac:dyDescent="0.3">
      <c r="A2525" s="19">
        <v>536493</v>
      </c>
      <c r="B2525" s="21">
        <v>46141</v>
      </c>
      <c r="C2525" s="21" t="s">
        <v>15</v>
      </c>
      <c r="D2525" s="21" t="s">
        <v>29</v>
      </c>
      <c r="E2525" s="21"/>
      <c r="F2525" s="22" t="s">
        <v>420</v>
      </c>
      <c r="G2525" s="252">
        <v>553.07000000000005</v>
      </c>
      <c r="H2525" s="19"/>
      <c r="I2525" s="19">
        <f>COUNTIF(Tabela1[NF],Tabela1[[#This Row],[NF]])</f>
        <v>1</v>
      </c>
      <c r="J2525" s="22"/>
      <c r="K2525" s="21">
        <v>46141</v>
      </c>
      <c r="L2525" s="22"/>
      <c r="M2525" s="22"/>
      <c r="N2525" s="1" t="str" cm="1">
        <f t="array" ref="N2525">_xlfn.XLOOKUP(TRIM(D2525),TRIM(DFC!A:A),DFC!A:A,"NÃO ESTÁ NA DFC")</f>
        <v xml:space="preserve">      FRETE DE SAÍDA</v>
      </c>
    </row>
    <row r="2526" spans="1:14" ht="15" customHeight="1" x14ac:dyDescent="0.3">
      <c r="A2526" s="19" t="s">
        <v>968</v>
      </c>
      <c r="B2526" s="21">
        <v>46141</v>
      </c>
      <c r="C2526" s="21" t="s">
        <v>15</v>
      </c>
      <c r="D2526" s="21" t="s">
        <v>19</v>
      </c>
      <c r="E2526" s="21"/>
      <c r="F2526" s="22" t="s">
        <v>340</v>
      </c>
      <c r="G2526" s="252">
        <v>2500</v>
      </c>
      <c r="H2526" s="19"/>
      <c r="I2526" s="19">
        <f>COUNTIF(Tabela1[NF],Tabela1[[#This Row],[NF]])</f>
        <v>1</v>
      </c>
      <c r="J2526" s="22"/>
      <c r="K2526" s="21">
        <v>46141</v>
      </c>
      <c r="L2526" s="22"/>
      <c r="M2526" s="22"/>
      <c r="N2526" s="1" t="str" cm="1">
        <f t="array" ref="N2526">_xlfn.XLOOKUP(TRIM(D2526),TRIM(DFC!A:A),DFC!A:A,"NÃO ESTÁ NA DFC")</f>
        <v xml:space="preserve">      PEÇAS</v>
      </c>
    </row>
    <row r="2527" spans="1:14" ht="15" customHeight="1" x14ac:dyDescent="0.3">
      <c r="A2527" s="19">
        <v>403080</v>
      </c>
      <c r="B2527" s="21">
        <v>46141</v>
      </c>
      <c r="C2527" s="21" t="s">
        <v>15</v>
      </c>
      <c r="D2527" s="21" t="s">
        <v>19</v>
      </c>
      <c r="E2527" s="21"/>
      <c r="F2527" s="22" t="s">
        <v>148</v>
      </c>
      <c r="G2527" s="252">
        <v>3462.58</v>
      </c>
      <c r="H2527" s="19"/>
      <c r="I2527" s="19">
        <f>COUNTIF(Tabela1[NF],Tabela1[[#This Row],[NF]])</f>
        <v>1</v>
      </c>
      <c r="J2527" s="22"/>
      <c r="K2527" s="21">
        <v>46141</v>
      </c>
      <c r="L2527" s="22"/>
      <c r="M2527" s="22"/>
      <c r="N2527" s="1" t="str" cm="1">
        <f t="array" ref="N2527">_xlfn.XLOOKUP(TRIM(D2527),TRIM(DFC!A:A),DFC!A:A,"NÃO ESTÁ NA DFC")</f>
        <v xml:space="preserve">      PEÇAS</v>
      </c>
    </row>
    <row r="2528" spans="1:14" ht="15" customHeight="1" x14ac:dyDescent="0.3">
      <c r="A2528" s="19"/>
      <c r="B2528" s="21">
        <v>46141</v>
      </c>
      <c r="C2528" s="21" t="s">
        <v>15</v>
      </c>
      <c r="D2528" s="475" t="s">
        <v>425</v>
      </c>
      <c r="E2528" s="21" t="s">
        <v>970</v>
      </c>
      <c r="F2528" s="22" t="s">
        <v>615</v>
      </c>
      <c r="G2528" s="252">
        <v>792.5</v>
      </c>
      <c r="H2528" s="19"/>
      <c r="I2528" s="19">
        <f>COUNTIF(Tabela1[NF],Tabela1[[#This Row],[NF]])</f>
        <v>0</v>
      </c>
      <c r="J2528" s="22"/>
      <c r="K2528" s="21">
        <v>46141</v>
      </c>
      <c r="L2528" s="22"/>
      <c r="M2528" s="22">
        <v>33.81</v>
      </c>
      <c r="N2528" s="1" t="str" cm="1">
        <f t="array" ref="N2528">_xlfn.XLOOKUP(TRIM(D2528),TRIM(DFC!A:A),DFC!A:A,"NÃO ESTÁ NA DFC")</f>
        <v xml:space="preserve">          SERVIÇOS DE MANUTENÇÃO INDUSTRIAL</v>
      </c>
    </row>
    <row r="2529" spans="1:14" ht="15" customHeight="1" x14ac:dyDescent="0.3">
      <c r="A2529" s="19">
        <v>1259</v>
      </c>
      <c r="B2529" s="21">
        <v>46141</v>
      </c>
      <c r="C2529" s="21" t="s">
        <v>15</v>
      </c>
      <c r="D2529" s="21" t="s">
        <v>19</v>
      </c>
      <c r="E2529" s="21"/>
      <c r="F2529" s="22" t="s">
        <v>936</v>
      </c>
      <c r="G2529" s="252">
        <v>3941.28</v>
      </c>
      <c r="H2529" s="19"/>
      <c r="I2529" s="19">
        <f>COUNTIF(Tabela1[NF],Tabela1[[#This Row],[NF]])</f>
        <v>1</v>
      </c>
      <c r="J2529" s="22"/>
      <c r="K2529" s="21">
        <v>46141</v>
      </c>
      <c r="L2529" s="22"/>
      <c r="M2529" s="22"/>
      <c r="N2529" s="1" t="str" cm="1">
        <f t="array" ref="N2529">_xlfn.XLOOKUP(TRIM(D2529),TRIM(DFC!A:A),DFC!A:A,"NÃO ESTÁ NA DFC")</f>
        <v xml:space="preserve">      PEÇAS</v>
      </c>
    </row>
    <row r="2530" spans="1:14" ht="15" customHeight="1" x14ac:dyDescent="0.3">
      <c r="A2530" s="19" t="s">
        <v>971</v>
      </c>
      <c r="B2530" s="21">
        <v>46141</v>
      </c>
      <c r="C2530" s="21" t="s">
        <v>15</v>
      </c>
      <c r="D2530" s="21" t="s">
        <v>19</v>
      </c>
      <c r="E2530" s="21"/>
      <c r="F2530" s="22" t="s">
        <v>340</v>
      </c>
      <c r="G2530" s="252">
        <v>5000.0200000000004</v>
      </c>
      <c r="H2530" s="19"/>
      <c r="I2530" s="19">
        <f>COUNTIF(Tabela1[NF],Tabela1[[#This Row],[NF]])</f>
        <v>1</v>
      </c>
      <c r="J2530" s="22"/>
      <c r="K2530" s="21">
        <v>46141</v>
      </c>
      <c r="L2530" s="22"/>
      <c r="M2530" s="22"/>
      <c r="N2530" s="1" t="str" cm="1">
        <f t="array" ref="N2530">_xlfn.XLOOKUP(TRIM(D2530),TRIM(DFC!A:A),DFC!A:A,"NÃO ESTÁ NA DFC")</f>
        <v xml:space="preserve">      PEÇAS</v>
      </c>
    </row>
    <row r="2531" spans="1:14" ht="15" customHeight="1" x14ac:dyDescent="0.3">
      <c r="A2531" s="19">
        <v>29085</v>
      </c>
      <c r="B2531" s="21">
        <v>46141</v>
      </c>
      <c r="C2531" s="21" t="s">
        <v>15</v>
      </c>
      <c r="D2531" s="21" t="s">
        <v>19</v>
      </c>
      <c r="E2531" s="21"/>
      <c r="F2531" s="22" t="s">
        <v>132</v>
      </c>
      <c r="G2531" s="252">
        <v>5889.67</v>
      </c>
      <c r="H2531" s="19"/>
      <c r="I2531" s="19">
        <f>COUNTIF(Tabela1[NF],Tabela1[[#This Row],[NF]])</f>
        <v>1</v>
      </c>
      <c r="J2531" s="22"/>
      <c r="K2531" s="21">
        <v>46141</v>
      </c>
      <c r="L2531" s="22"/>
      <c r="M2531" s="22"/>
      <c r="N2531" s="1" t="str" cm="1">
        <f t="array" ref="N2531">_xlfn.XLOOKUP(TRIM(D2531),TRIM(DFC!A:A),DFC!A:A,"NÃO ESTÁ NA DFC")</f>
        <v xml:space="preserve">      PEÇAS</v>
      </c>
    </row>
    <row r="2532" spans="1:14" ht="15" customHeight="1" x14ac:dyDescent="0.3">
      <c r="A2532" s="19"/>
      <c r="B2532" s="21">
        <v>46141</v>
      </c>
      <c r="C2532" s="21" t="s">
        <v>15</v>
      </c>
      <c r="D2532" s="21" t="s">
        <v>29</v>
      </c>
      <c r="E2532" s="21"/>
      <c r="F2532" s="22" t="s">
        <v>450</v>
      </c>
      <c r="G2532" s="252">
        <v>50</v>
      </c>
      <c r="H2532" s="19"/>
      <c r="I2532" s="19">
        <f>COUNTIF(Tabela1[NF],Tabela1[[#This Row],[NF]])</f>
        <v>0</v>
      </c>
      <c r="J2532" s="22"/>
      <c r="K2532" s="21">
        <v>46141</v>
      </c>
      <c r="L2532" s="22"/>
      <c r="M2532" s="22"/>
      <c r="N2532" s="1" t="str" cm="1">
        <f t="array" ref="N2532">_xlfn.XLOOKUP(TRIM(D2532),TRIM(DFC!A:A),DFC!A:A,"NÃO ESTÁ NA DFC")</f>
        <v xml:space="preserve">      FRETE DE SAÍDA</v>
      </c>
    </row>
    <row r="2533" spans="1:14" ht="15" customHeight="1" x14ac:dyDescent="0.3">
      <c r="A2533" s="487">
        <v>168040</v>
      </c>
      <c r="B2533" s="21">
        <v>46142</v>
      </c>
      <c r="C2533" s="21" t="s">
        <v>15</v>
      </c>
      <c r="D2533" s="21" t="s">
        <v>19</v>
      </c>
      <c r="E2533" s="20"/>
      <c r="F2533" s="486" t="s">
        <v>736</v>
      </c>
      <c r="G2533" s="488">
        <v>4439.88</v>
      </c>
      <c r="H2533" s="19"/>
      <c r="I2533" s="19">
        <f>COUNTIF(Tabela1[NF],Tabela1[[#This Row],[NF]])</f>
        <v>1</v>
      </c>
      <c r="J2533" s="22"/>
      <c r="K2533" s="21">
        <v>46142</v>
      </c>
      <c r="L2533" s="22"/>
      <c r="M2533" s="22"/>
      <c r="N2533" s="1" t="str" cm="1">
        <f t="array" ref="N2533">_xlfn.XLOOKUP(TRIM(D2533),TRIM(DFC!A:A),DFC!A:A,"NÃO ESTÁ NA DFC")</f>
        <v xml:space="preserve">      PEÇAS</v>
      </c>
    </row>
    <row r="2534" spans="1:14" ht="15" customHeight="1" x14ac:dyDescent="0.3">
      <c r="A2534" s="487">
        <v>123731</v>
      </c>
      <c r="B2534" s="21">
        <v>46142</v>
      </c>
      <c r="C2534" s="21" t="s">
        <v>15</v>
      </c>
      <c r="D2534" s="21" t="s">
        <v>19</v>
      </c>
      <c r="E2534" s="20"/>
      <c r="F2534" s="486" t="s">
        <v>61</v>
      </c>
      <c r="G2534" s="488">
        <v>565.52</v>
      </c>
      <c r="H2534" s="19"/>
      <c r="I2534" s="19">
        <f>COUNTIF(Tabela1[NF],Tabela1[[#This Row],[NF]])</f>
        <v>1</v>
      </c>
      <c r="J2534" s="22"/>
      <c r="K2534" s="21">
        <v>46142</v>
      </c>
      <c r="L2534" s="22"/>
      <c r="M2534" s="22"/>
      <c r="N2534" s="1" t="str" cm="1">
        <f t="array" ref="N2534">_xlfn.XLOOKUP(TRIM(D2534),TRIM(DFC!A:A),DFC!A:A,"NÃO ESTÁ NA DFC")</f>
        <v xml:space="preserve">      PEÇAS</v>
      </c>
    </row>
    <row r="2535" spans="1:14" ht="15" customHeight="1" x14ac:dyDescent="0.3">
      <c r="A2535" s="487">
        <v>642927</v>
      </c>
      <c r="B2535" s="21">
        <v>46142</v>
      </c>
      <c r="C2535" s="21" t="s">
        <v>15</v>
      </c>
      <c r="D2535" s="21" t="s">
        <v>19</v>
      </c>
      <c r="E2535" s="20"/>
      <c r="F2535" s="486" t="s">
        <v>282</v>
      </c>
      <c r="G2535" s="488">
        <v>5359.45</v>
      </c>
      <c r="H2535" s="19"/>
      <c r="I2535" s="19">
        <f>COUNTIF(Tabela1[NF],Tabela1[[#This Row],[NF]])</f>
        <v>1</v>
      </c>
      <c r="J2535" s="22"/>
      <c r="K2535" s="21">
        <v>46142</v>
      </c>
      <c r="L2535" s="22"/>
      <c r="M2535" s="22"/>
      <c r="N2535" s="1" t="str" cm="1">
        <f t="array" ref="N2535">_xlfn.XLOOKUP(TRIM(D2535),TRIM(DFC!A:A),DFC!A:A,"NÃO ESTÁ NA DFC")</f>
        <v xml:space="preserve">      PEÇAS</v>
      </c>
    </row>
    <row r="2536" spans="1:14" ht="15" customHeight="1" x14ac:dyDescent="0.3">
      <c r="A2536" s="487">
        <v>488531</v>
      </c>
      <c r="B2536" s="21">
        <v>46142</v>
      </c>
      <c r="C2536" s="21" t="s">
        <v>15</v>
      </c>
      <c r="D2536" s="21" t="s">
        <v>19</v>
      </c>
      <c r="E2536" s="20"/>
      <c r="F2536" s="486" t="s">
        <v>282</v>
      </c>
      <c r="G2536" s="488">
        <v>3504.91</v>
      </c>
      <c r="H2536" s="19"/>
      <c r="I2536" s="19">
        <f>COUNTIF(Tabela1[NF],Tabela1[[#This Row],[NF]])</f>
        <v>1</v>
      </c>
      <c r="J2536" s="22"/>
      <c r="K2536" s="21">
        <v>46142</v>
      </c>
      <c r="L2536" s="22"/>
      <c r="M2536" s="22"/>
      <c r="N2536" s="1" t="str" cm="1">
        <f t="array" ref="N2536">_xlfn.XLOOKUP(TRIM(D2536),TRIM(DFC!A:A),DFC!A:A,"NÃO ESTÁ NA DFC")</f>
        <v xml:space="preserve">      PEÇAS</v>
      </c>
    </row>
    <row r="2537" spans="1:14" ht="15" customHeight="1" x14ac:dyDescent="0.3">
      <c r="A2537" s="487" t="s">
        <v>972</v>
      </c>
      <c r="B2537" s="21">
        <v>46142</v>
      </c>
      <c r="C2537" s="21" t="s">
        <v>15</v>
      </c>
      <c r="D2537" s="21" t="s">
        <v>19</v>
      </c>
      <c r="E2537" s="20"/>
      <c r="F2537" s="486" t="s">
        <v>270</v>
      </c>
      <c r="G2537" s="488">
        <v>86</v>
      </c>
      <c r="H2537" s="19"/>
      <c r="I2537" s="19">
        <f>COUNTIF(Tabela1[NF],Tabela1[[#This Row],[NF]])</f>
        <v>1</v>
      </c>
      <c r="J2537" s="22"/>
      <c r="K2537" s="21">
        <v>46142</v>
      </c>
      <c r="L2537" s="22"/>
      <c r="M2537" s="22"/>
      <c r="N2537" s="1" t="str" cm="1">
        <f t="array" ref="N2537">_xlfn.XLOOKUP(TRIM(D2537),TRIM(DFC!A:A),DFC!A:A,"NÃO ESTÁ NA DFC")</f>
        <v xml:space="preserve">      PEÇAS</v>
      </c>
    </row>
    <row r="2538" spans="1:14" ht="15" customHeight="1" x14ac:dyDescent="0.3">
      <c r="A2538" s="487">
        <v>76397</v>
      </c>
      <c r="B2538" s="21">
        <v>46142</v>
      </c>
      <c r="C2538" s="21" t="s">
        <v>15</v>
      </c>
      <c r="D2538" s="21" t="s">
        <v>19</v>
      </c>
      <c r="E2538" s="20"/>
      <c r="F2538" s="486" t="s">
        <v>973</v>
      </c>
      <c r="G2538" s="488">
        <v>680</v>
      </c>
      <c r="H2538" s="19"/>
      <c r="I2538" s="19">
        <f>COUNTIF(Tabela1[NF],Tabela1[[#This Row],[NF]])</f>
        <v>1</v>
      </c>
      <c r="J2538" s="22"/>
      <c r="K2538" s="21">
        <v>46142</v>
      </c>
      <c r="L2538" s="22"/>
      <c r="M2538" s="22"/>
      <c r="N2538" s="1" t="str" cm="1">
        <f t="array" ref="N2538">_xlfn.XLOOKUP(TRIM(D2538),TRIM(DFC!A:A),DFC!A:A,"NÃO ESTÁ NA DFC")</f>
        <v xml:space="preserve">      PEÇAS</v>
      </c>
    </row>
    <row r="2539" spans="1:14" ht="15" customHeight="1" x14ac:dyDescent="0.3">
      <c r="A2539" s="487"/>
      <c r="B2539" s="21">
        <v>46142</v>
      </c>
      <c r="C2539" s="21" t="s">
        <v>15</v>
      </c>
      <c r="D2539" s="21" t="s">
        <v>82</v>
      </c>
      <c r="E2539" s="20"/>
      <c r="F2539" s="489" t="s">
        <v>974</v>
      </c>
      <c r="G2539" s="488">
        <v>567.79999999999995</v>
      </c>
      <c r="H2539" s="19"/>
      <c r="I2539" s="19">
        <f>COUNTIF(Tabela1[NF],Tabela1[[#This Row],[NF]])</f>
        <v>0</v>
      </c>
      <c r="J2539" s="22"/>
      <c r="K2539" s="21">
        <v>46142</v>
      </c>
      <c r="L2539" s="22"/>
      <c r="M2539" s="22"/>
      <c r="N2539" s="1" t="str" cm="1">
        <f t="array" ref="N2539">_xlfn.XLOOKUP(TRIM(D2539),TRIM(DFC!A:A),DFC!A:A,"NÃO ESTÁ NA DFC")</f>
        <v xml:space="preserve">          DIÁRIAS</v>
      </c>
    </row>
    <row r="2540" spans="1:14" ht="15" customHeight="1" x14ac:dyDescent="0.3">
      <c r="A2540" s="487"/>
      <c r="B2540" s="21">
        <v>46142</v>
      </c>
      <c r="C2540" s="21" t="s">
        <v>15</v>
      </c>
      <c r="D2540" s="21" t="s">
        <v>82</v>
      </c>
      <c r="E2540" s="20"/>
      <c r="F2540" s="489" t="s">
        <v>975</v>
      </c>
      <c r="G2540" s="488">
        <v>486.24</v>
      </c>
      <c r="H2540" s="19"/>
      <c r="I2540" s="19">
        <f>COUNTIF(Tabela1[NF],Tabela1[[#This Row],[NF]])</f>
        <v>0</v>
      </c>
      <c r="J2540" s="22"/>
      <c r="K2540" s="21">
        <v>46142</v>
      </c>
      <c r="L2540" s="22"/>
      <c r="M2540" s="22"/>
      <c r="N2540" s="1" t="str" cm="1">
        <f t="array" ref="N2540">_xlfn.XLOOKUP(TRIM(D2540),TRIM(DFC!A:A),DFC!A:A,"NÃO ESTÁ NA DFC")</f>
        <v xml:space="preserve">          DIÁRIAS</v>
      </c>
    </row>
    <row r="2541" spans="1:14" ht="15" customHeight="1" x14ac:dyDescent="0.3">
      <c r="A2541" s="487"/>
      <c r="B2541" s="21">
        <v>46142</v>
      </c>
      <c r="C2541" s="21" t="s">
        <v>15</v>
      </c>
      <c r="D2541" s="425" t="s">
        <v>82</v>
      </c>
      <c r="E2541" s="84" t="s">
        <v>861</v>
      </c>
      <c r="F2541" s="489" t="s">
        <v>976</v>
      </c>
      <c r="G2541" s="488">
        <v>430</v>
      </c>
      <c r="H2541" s="19"/>
      <c r="I2541" s="19">
        <f>COUNTIF(Tabela1[NF],Tabela1[[#This Row],[NF]])</f>
        <v>0</v>
      </c>
      <c r="J2541" s="22"/>
      <c r="K2541" s="21">
        <v>46142</v>
      </c>
      <c r="L2541" s="22"/>
      <c r="M2541" s="22"/>
      <c r="N2541" s="1" t="str" cm="1">
        <f t="array" ref="N2541">_xlfn.XLOOKUP(TRIM(D2541),TRIM(DFC!A:A),DFC!A:A,"NÃO ESTÁ NA DFC")</f>
        <v xml:space="preserve">          DIÁRIAS</v>
      </c>
    </row>
    <row r="2542" spans="1:14" ht="15" customHeight="1" x14ac:dyDescent="0.3">
      <c r="A2542" s="487"/>
      <c r="B2542" s="21">
        <v>46142</v>
      </c>
      <c r="C2542" s="21" t="s">
        <v>15</v>
      </c>
      <c r="D2542" s="21" t="s">
        <v>29</v>
      </c>
      <c r="E2542" s="20"/>
      <c r="F2542" s="489" t="s">
        <v>977</v>
      </c>
      <c r="G2542" s="488">
        <v>350.8</v>
      </c>
      <c r="H2542" s="19"/>
      <c r="I2542" s="19">
        <f>COUNTIF(Tabela1[NF],Tabela1[[#This Row],[NF]])</f>
        <v>0</v>
      </c>
      <c r="J2542" s="22"/>
      <c r="K2542" s="21">
        <v>46142</v>
      </c>
      <c r="L2542" s="22"/>
      <c r="M2542" s="22"/>
      <c r="N2542" s="1" t="str" cm="1">
        <f t="array" ref="N2542">_xlfn.XLOOKUP(TRIM(D2542),TRIM(DFC!A:A),DFC!A:A,"NÃO ESTÁ NA DFC")</f>
        <v xml:space="preserve">      FRETE DE SAÍDA</v>
      </c>
    </row>
    <row r="2543" spans="1:14" ht="15" customHeight="1" x14ac:dyDescent="0.3">
      <c r="A2543" s="487"/>
      <c r="B2543" s="21">
        <v>46142</v>
      </c>
      <c r="C2543" s="21" t="s">
        <v>15</v>
      </c>
      <c r="D2543" s="21" t="s">
        <v>98</v>
      </c>
      <c r="E2543" s="20"/>
      <c r="F2543" s="489" t="s">
        <v>978</v>
      </c>
      <c r="G2543" s="488">
        <v>8</v>
      </c>
      <c r="H2543" s="19"/>
      <c r="I2543" s="19">
        <f>COUNTIF(Tabela1[NF],Tabela1[[#This Row],[NF]])</f>
        <v>0</v>
      </c>
      <c r="J2543" s="22"/>
      <c r="K2543" s="21">
        <v>46142</v>
      </c>
      <c r="L2543" s="22"/>
      <c r="M2543" s="22"/>
      <c r="N2543" s="1" t="str" cm="1">
        <f t="array" ref="N2543">_xlfn.XLOOKUP(TRIM(D2543),TRIM(DFC!A:A),DFC!A:A,"NÃO ESTÁ NA DFC")</f>
        <v xml:space="preserve">     REEMBOLSO SAC</v>
      </c>
    </row>
    <row r="2544" spans="1:14" ht="15" customHeight="1" x14ac:dyDescent="0.3">
      <c r="A2544" s="487"/>
      <c r="B2544" s="21">
        <v>46142</v>
      </c>
      <c r="C2544" s="21" t="s">
        <v>15</v>
      </c>
      <c r="D2544" s="21" t="s">
        <v>98</v>
      </c>
      <c r="E2544" s="20"/>
      <c r="F2544" s="489" t="s">
        <v>979</v>
      </c>
      <c r="G2544" s="488">
        <v>45</v>
      </c>
      <c r="H2544" s="19"/>
      <c r="I2544" s="19">
        <f>COUNTIF(Tabela1[NF],Tabela1[[#This Row],[NF]])</f>
        <v>0</v>
      </c>
      <c r="J2544" s="22"/>
      <c r="K2544" s="21">
        <v>46142</v>
      </c>
      <c r="L2544" s="22"/>
      <c r="M2544" s="22"/>
      <c r="N2544" s="1" t="str" cm="1">
        <f t="array" ref="N2544">_xlfn.XLOOKUP(TRIM(D2544),TRIM(DFC!A:A),DFC!A:A,"NÃO ESTÁ NA DFC")</f>
        <v xml:space="preserve">     REEMBOLSO SAC</v>
      </c>
    </row>
    <row r="2545" spans="1:14" ht="15" customHeight="1" x14ac:dyDescent="0.3">
      <c r="A2545" s="487"/>
      <c r="B2545" s="21">
        <v>46142</v>
      </c>
      <c r="C2545" s="21" t="s">
        <v>15</v>
      </c>
      <c r="D2545" s="21" t="s">
        <v>249</v>
      </c>
      <c r="E2545" s="490" t="s">
        <v>980</v>
      </c>
      <c r="F2545" s="486" t="s">
        <v>981</v>
      </c>
      <c r="G2545" s="488">
        <v>1764.47</v>
      </c>
      <c r="H2545" s="19"/>
      <c r="I2545" s="19">
        <f>COUNTIF(Tabela1[NF],Tabela1[[#This Row],[NF]])</f>
        <v>0</v>
      </c>
      <c r="J2545" s="22"/>
      <c r="K2545" s="21">
        <v>46142</v>
      </c>
      <c r="L2545" s="22"/>
      <c r="M2545" s="22"/>
      <c r="N2545" s="1" t="str" cm="1">
        <f t="array" ref="N2545">_xlfn.XLOOKUP(TRIM(D2545),TRIM(DFC!A:A),DFC!A:A,"NÃO ESTÁ NA DFC")</f>
        <v xml:space="preserve">          SIMPLES NACIONAL PARCELAMENTO</v>
      </c>
    </row>
    <row r="2546" spans="1:14" ht="15" customHeight="1" x14ac:dyDescent="0.3">
      <c r="A2546" s="487"/>
      <c r="B2546" s="21">
        <v>46142</v>
      </c>
      <c r="C2546" s="21" t="s">
        <v>15</v>
      </c>
      <c r="D2546" s="21" t="s">
        <v>249</v>
      </c>
      <c r="E2546" s="20" t="s">
        <v>982</v>
      </c>
      <c r="F2546" s="486" t="s">
        <v>983</v>
      </c>
      <c r="G2546" s="488">
        <v>1764.47</v>
      </c>
      <c r="H2546" s="19"/>
      <c r="I2546" s="19">
        <f>COUNTIF(Tabela1[NF],Tabela1[[#This Row],[NF]])</f>
        <v>0</v>
      </c>
      <c r="J2546" s="22"/>
      <c r="K2546" s="21">
        <v>46142</v>
      </c>
      <c r="L2546" s="22"/>
      <c r="M2546" s="22"/>
      <c r="N2546" s="1" t="str" cm="1">
        <f t="array" ref="N2546">_xlfn.XLOOKUP(TRIM(D2546),TRIM(DFC!A:A),DFC!A:A,"NÃO ESTÁ NA DFC")</f>
        <v xml:space="preserve">          SIMPLES NACIONAL PARCELAMENTO</v>
      </c>
    </row>
    <row r="2547" spans="1:14" ht="15" customHeight="1" x14ac:dyDescent="0.3">
      <c r="A2547" s="487"/>
      <c r="B2547" s="21">
        <v>46142</v>
      </c>
      <c r="C2547" s="21" t="s">
        <v>15</v>
      </c>
      <c r="D2547" s="21" t="s">
        <v>19</v>
      </c>
      <c r="E2547" s="20"/>
      <c r="F2547" s="372" t="s">
        <v>526</v>
      </c>
      <c r="G2547" s="488">
        <v>116.5</v>
      </c>
      <c r="H2547" s="19"/>
      <c r="I2547" s="19">
        <f>COUNTIF(Tabela1[NF],Tabela1[[#This Row],[NF]])</f>
        <v>0</v>
      </c>
      <c r="J2547" s="22"/>
      <c r="K2547" s="21">
        <v>46142</v>
      </c>
      <c r="L2547" s="22"/>
      <c r="M2547" s="22"/>
      <c r="N2547" s="1" t="str" cm="1">
        <f t="array" ref="N2547">_xlfn.XLOOKUP(TRIM(D2547),TRIM(DFC!A:A),DFC!A:A,"NÃO ESTÁ NA DFC")</f>
        <v xml:space="preserve">      PEÇAS</v>
      </c>
    </row>
    <row r="2548" spans="1:14" ht="15" customHeight="1" x14ac:dyDescent="0.3">
      <c r="A2548" s="487"/>
      <c r="B2548" s="21">
        <v>46142</v>
      </c>
      <c r="C2548" s="21" t="s">
        <v>15</v>
      </c>
      <c r="D2548" s="21" t="s">
        <v>19</v>
      </c>
      <c r="E2548" s="20"/>
      <c r="F2548" s="372" t="s">
        <v>984</v>
      </c>
      <c r="G2548" s="488">
        <v>48</v>
      </c>
      <c r="H2548" s="19"/>
      <c r="I2548" s="19">
        <f>COUNTIF(Tabela1[NF],Tabela1[[#This Row],[NF]])</f>
        <v>0</v>
      </c>
      <c r="J2548" s="22"/>
      <c r="K2548" s="21">
        <v>46142</v>
      </c>
      <c r="L2548" s="22"/>
      <c r="M2548" s="22"/>
      <c r="N2548" s="1" t="str" cm="1">
        <f t="array" ref="N2548">_xlfn.XLOOKUP(TRIM(D2548),TRIM(DFC!A:A),DFC!A:A,"NÃO ESTÁ NA DFC")</f>
        <v xml:space="preserve">      PEÇAS</v>
      </c>
    </row>
    <row r="2549" spans="1:14" ht="15" customHeight="1" x14ac:dyDescent="0.3">
      <c r="A2549" s="487"/>
      <c r="B2549" s="21">
        <v>46142</v>
      </c>
      <c r="C2549" s="21" t="s">
        <v>15</v>
      </c>
      <c r="D2549" s="21" t="s">
        <v>19</v>
      </c>
      <c r="E2549" s="20"/>
      <c r="F2549" s="372" t="s">
        <v>852</v>
      </c>
      <c r="G2549" s="488">
        <v>130</v>
      </c>
      <c r="H2549" s="19"/>
      <c r="I2549" s="19">
        <f>COUNTIF(Tabela1[NF],Tabela1[[#This Row],[NF]])</f>
        <v>0</v>
      </c>
      <c r="J2549" s="22"/>
      <c r="K2549" s="21">
        <v>46142</v>
      </c>
      <c r="L2549" s="22"/>
      <c r="M2549" s="22"/>
      <c r="N2549" s="1" t="str" cm="1">
        <f t="array" ref="N2549">_xlfn.XLOOKUP(TRIM(D2549),TRIM(DFC!A:A),DFC!A:A,"NÃO ESTÁ NA DFC")</f>
        <v xml:space="preserve">      PEÇAS</v>
      </c>
    </row>
  </sheetData>
  <sortState xmlns:xlrd2="http://schemas.microsoft.com/office/spreadsheetml/2017/richdata2" ref="A1:B1">
    <sortCondition sortBy="cellColor" ref="B1" dxfId="17"/>
  </sortState>
  <mergeCells count="1">
    <mergeCell ref="P2:Q2"/>
  </mergeCells>
  <phoneticPr fontId="6" type="noConversion"/>
  <conditionalFormatting sqref="K3:K25 K28:K36 K38:K40 K43 K47:K65 K70:K72 K78:K82 K86:K98 K100:K112 K115:K144 K148 K150:K181 K185:K195 K197:K207 K209:K273 K275:K295 K297:K310 K313:K323 K327:K334 K336:K344 K347 K350:K357 K360:K380 K383 K385 K388:K391 K395:K409 K411 K413:K422 K424:K437 K439:K450 K452 K454:K480 K482 K484 K486:K516 K518 K520:K536 K539:K551 K553:K630 K632:K649 K652:K658 K660 K663:K668 K671:K672 K674 K676:K697 K699:K717 K720:K733 K736:K770 K774 K776:K778 K782:K813 K815:K829 K831:K833 K835:K836 K838:K841 K843:K882 K885:K900 K903:K912 K914:K931 K933:K979 K991:K1003 K1005:K1015 K1017:K1021 K1023 K1025 K1027:K1039 K1042:K1053 K1056:K1058 K1061:K1066 K1068:K1079 K1081:K1086 K1088:K1089 K1091:K1103">
    <cfRule type="notContainsBlanks" dxfId="1" priority="5">
      <formula>LEN(TRIM(K3))&gt;0</formula>
    </cfRule>
  </conditionalFormatting>
  <conditionalFormatting sqref="N1:N1048576">
    <cfRule type="cellIs" dxfId="0" priority="4" operator="equal">
      <formula>"NÃO ESTÁ NA DFC"</formula>
    </cfRule>
  </conditionalFormatting>
  <dataValidations count="1">
    <dataValidation type="list" allowBlank="1" showInputMessage="1" showErrorMessage="1" sqref="D3 D6:D25 D28:D36 D38:D40 D59 D1397 D1415:D1416 D2316 D2514:D2515" xr:uid="{90F760E2-8E87-4AC3-877B-D38C6EB58E14}">
      <formula1>$P$3:$P$77</formula1>
    </dataValidation>
  </dataValidations>
  <pageMargins left="0.511811024" right="0.511811024" top="0.78740157499999996" bottom="0.78740157499999996" header="0.31496062000000002" footer="0.31496062000000002"/>
  <pageSetup paperSize="9" fitToHeight="0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E3AD-24E5-44D4-862F-346A16FE77D8}">
  <dimension ref="A1:H64"/>
  <sheetViews>
    <sheetView showGridLines="0" topLeftCell="A5" workbookViewId="0">
      <selection activeCell="D1" sqref="D1"/>
    </sheetView>
  </sheetViews>
  <sheetFormatPr defaultColWidth="8.88671875" defaultRowHeight="15" customHeight="1" x14ac:dyDescent="0.3"/>
  <cols>
    <col min="1" max="1" width="3.109375" bestFit="1" customWidth="1"/>
    <col min="2" max="3" width="10.88671875" bestFit="1" customWidth="1"/>
    <col min="4" max="4" width="16.33203125" bestFit="1" customWidth="1"/>
    <col min="5" max="5" width="5.5546875" customWidth="1"/>
    <col min="6" max="6" width="95.88671875" bestFit="1" customWidth="1"/>
    <col min="7" max="7" width="46.33203125" bestFit="1" customWidth="1"/>
  </cols>
  <sheetData>
    <row r="1" spans="1:8" s="1" customFormat="1" ht="15" customHeight="1" x14ac:dyDescent="0.3">
      <c r="A1" s="295"/>
      <c r="B1" s="295" t="s">
        <v>985</v>
      </c>
      <c r="C1" s="295" t="s">
        <v>986</v>
      </c>
      <c r="D1" s="295" t="s">
        <v>987</v>
      </c>
      <c r="E1" s="295" t="s">
        <v>988</v>
      </c>
      <c r="F1" s="295" t="s">
        <v>989</v>
      </c>
      <c r="G1" s="295" t="s">
        <v>990</v>
      </c>
    </row>
    <row r="2" spans="1:8" ht="15" customHeight="1" x14ac:dyDescent="0.3">
      <c r="A2" s="314" t="b">
        <v>1</v>
      </c>
      <c r="B2" s="315">
        <v>46096</v>
      </c>
      <c r="C2" s="315">
        <v>46096</v>
      </c>
      <c r="D2" s="316" t="s">
        <v>991</v>
      </c>
      <c r="E2" s="316"/>
      <c r="F2" s="316" t="s">
        <v>992</v>
      </c>
      <c r="G2" s="316" t="s">
        <v>993</v>
      </c>
      <c r="H2" s="318"/>
    </row>
    <row r="3" spans="1:8" ht="15" customHeight="1" x14ac:dyDescent="0.3">
      <c r="A3" s="314" t="b">
        <v>1</v>
      </c>
      <c r="B3" s="315">
        <v>46097</v>
      </c>
      <c r="C3" s="315">
        <v>46097</v>
      </c>
      <c r="D3" s="316" t="s">
        <v>994</v>
      </c>
      <c r="E3" s="316"/>
      <c r="F3" s="316" t="s">
        <v>995</v>
      </c>
      <c r="G3" s="316" t="s">
        <v>996</v>
      </c>
    </row>
    <row r="4" spans="1:8" ht="15" customHeight="1" x14ac:dyDescent="0.3">
      <c r="A4" s="314" t="b">
        <v>1</v>
      </c>
      <c r="B4" s="315">
        <v>46097</v>
      </c>
      <c r="C4" s="315">
        <v>46098</v>
      </c>
      <c r="D4" s="316" t="s">
        <v>991</v>
      </c>
      <c r="E4" s="316"/>
      <c r="F4" s="316" t="s">
        <v>997</v>
      </c>
      <c r="G4" s="316" t="s">
        <v>998</v>
      </c>
      <c r="H4" s="318"/>
    </row>
    <row r="5" spans="1:8" ht="15" customHeight="1" x14ac:dyDescent="0.3">
      <c r="A5" s="314" t="b">
        <v>1</v>
      </c>
      <c r="B5" s="315">
        <v>46097</v>
      </c>
      <c r="C5" s="315">
        <v>46104</v>
      </c>
      <c r="D5" s="316" t="s">
        <v>991</v>
      </c>
      <c r="E5" s="316"/>
      <c r="F5" s="316" t="s">
        <v>999</v>
      </c>
      <c r="G5" s="346" t="s">
        <v>1000</v>
      </c>
    </row>
    <row r="6" spans="1:8" ht="15" customHeight="1" x14ac:dyDescent="0.3">
      <c r="A6" s="314" t="b">
        <v>1</v>
      </c>
      <c r="B6" s="315">
        <v>46097</v>
      </c>
      <c r="C6" s="315">
        <v>46106</v>
      </c>
      <c r="D6" s="316" t="s">
        <v>1001</v>
      </c>
      <c r="E6" s="316"/>
      <c r="F6" s="316" t="s">
        <v>1002</v>
      </c>
      <c r="G6" s="316" t="s">
        <v>1003</v>
      </c>
      <c r="H6" s="318"/>
    </row>
    <row r="7" spans="1:8" s="318" customFormat="1" ht="15" customHeight="1" x14ac:dyDescent="0.3">
      <c r="A7" s="314" t="b">
        <v>1</v>
      </c>
      <c r="B7" s="315">
        <v>46097</v>
      </c>
      <c r="C7" s="315">
        <v>46106</v>
      </c>
      <c r="D7" s="316" t="s">
        <v>1004</v>
      </c>
      <c r="E7" s="348"/>
      <c r="F7" s="316" t="s">
        <v>1005</v>
      </c>
      <c r="G7" s="316" t="s">
        <v>1006</v>
      </c>
    </row>
    <row r="8" spans="1:8" ht="15" customHeight="1" x14ac:dyDescent="0.3">
      <c r="A8" s="314" t="b">
        <v>1</v>
      </c>
      <c r="B8" s="315">
        <v>46097</v>
      </c>
      <c r="C8" s="320">
        <v>46108</v>
      </c>
      <c r="D8" s="316" t="s">
        <v>994</v>
      </c>
      <c r="E8" s="316"/>
      <c r="F8" s="316" t="s">
        <v>1007</v>
      </c>
      <c r="G8" s="316" t="s">
        <v>1008</v>
      </c>
      <c r="H8" s="318"/>
    </row>
    <row r="9" spans="1:8" ht="15" customHeight="1" x14ac:dyDescent="0.3">
      <c r="A9" s="314" t="b">
        <v>1</v>
      </c>
      <c r="B9" s="315">
        <v>46097</v>
      </c>
      <c r="C9" s="320">
        <v>46108</v>
      </c>
      <c r="D9" s="316" t="s">
        <v>1009</v>
      </c>
      <c r="E9" s="316"/>
      <c r="F9" s="316" t="s">
        <v>1010</v>
      </c>
      <c r="G9" s="316" t="s">
        <v>1011</v>
      </c>
      <c r="H9" s="318"/>
    </row>
    <row r="10" spans="1:8" s="318" customFormat="1" ht="15" customHeight="1" x14ac:dyDescent="0.3">
      <c r="A10" s="314" t="b">
        <v>1</v>
      </c>
      <c r="B10" s="315">
        <v>46107</v>
      </c>
      <c r="C10" s="315">
        <v>46113</v>
      </c>
      <c r="D10" s="316" t="s">
        <v>991</v>
      </c>
      <c r="E10" s="316"/>
      <c r="F10" s="316" t="s">
        <v>1012</v>
      </c>
      <c r="G10" s="346" t="s">
        <v>1013</v>
      </c>
    </row>
    <row r="11" spans="1:8" s="318" customFormat="1" ht="15" customHeight="1" x14ac:dyDescent="0.3">
      <c r="A11" s="314" t="b">
        <v>1</v>
      </c>
      <c r="B11" s="315">
        <v>46199</v>
      </c>
      <c r="C11" s="315">
        <v>46113</v>
      </c>
      <c r="D11" s="316" t="s">
        <v>994</v>
      </c>
      <c r="E11" s="344"/>
      <c r="F11" s="316" t="s">
        <v>1014</v>
      </c>
      <c r="G11" s="345" t="s">
        <v>1015</v>
      </c>
    </row>
    <row r="12" spans="1:8" s="318" customFormat="1" ht="15" customHeight="1" x14ac:dyDescent="0.3">
      <c r="A12" s="317" t="b">
        <v>1</v>
      </c>
      <c r="B12" s="315">
        <v>46097</v>
      </c>
      <c r="C12" s="315">
        <v>46114</v>
      </c>
      <c r="D12" s="316" t="s">
        <v>1016</v>
      </c>
      <c r="E12" s="348"/>
      <c r="F12" s="316" t="s">
        <v>1017</v>
      </c>
      <c r="G12" s="316" t="s">
        <v>1018</v>
      </c>
      <c r="H12"/>
    </row>
    <row r="13" spans="1:8" ht="15" customHeight="1" x14ac:dyDescent="0.3">
      <c r="A13" s="317" t="b">
        <v>1</v>
      </c>
      <c r="B13" s="315">
        <v>46097</v>
      </c>
      <c r="C13" s="315">
        <v>46114</v>
      </c>
      <c r="D13" s="316" t="s">
        <v>1009</v>
      </c>
      <c r="E13" s="348"/>
      <c r="F13" s="316" t="s">
        <v>1019</v>
      </c>
      <c r="G13" s="316" t="s">
        <v>1020</v>
      </c>
    </row>
    <row r="14" spans="1:8" ht="15" customHeight="1" x14ac:dyDescent="0.3">
      <c r="A14" s="314" t="b">
        <v>1</v>
      </c>
      <c r="B14" s="315">
        <v>46097</v>
      </c>
      <c r="C14" s="315">
        <v>46121</v>
      </c>
      <c r="D14" s="316" t="s">
        <v>991</v>
      </c>
      <c r="E14" s="348"/>
      <c r="F14" s="316" t="s">
        <v>1021</v>
      </c>
      <c r="G14" s="316" t="s">
        <v>1022</v>
      </c>
      <c r="H14" s="318"/>
    </row>
    <row r="15" spans="1:8" ht="15" customHeight="1" x14ac:dyDescent="0.3">
      <c r="A15" s="317" t="b">
        <v>0</v>
      </c>
      <c r="B15" s="302">
        <v>46097</v>
      </c>
      <c r="C15" s="302">
        <v>46127</v>
      </c>
      <c r="D15" s="15" t="s">
        <v>994</v>
      </c>
      <c r="E15" s="326"/>
      <c r="F15" s="15" t="s">
        <v>1023</v>
      </c>
      <c r="G15" s="15"/>
    </row>
    <row r="16" spans="1:8" s="318" customFormat="1" ht="15" customHeight="1" x14ac:dyDescent="0.3">
      <c r="A16" s="317" t="b">
        <v>0</v>
      </c>
      <c r="B16" s="302">
        <v>46097</v>
      </c>
      <c r="C16" s="302"/>
      <c r="D16" s="15"/>
      <c r="E16" s="15"/>
      <c r="F16" s="15" t="s">
        <v>1024</v>
      </c>
      <c r="G16" s="15"/>
      <c r="H16"/>
    </row>
    <row r="17" spans="1:8" s="318" customFormat="1" ht="15" customHeight="1" x14ac:dyDescent="0.3">
      <c r="A17" s="317" t="b">
        <v>0</v>
      </c>
      <c r="B17" s="302">
        <v>46097</v>
      </c>
      <c r="C17" s="302"/>
      <c r="D17" s="15" t="s">
        <v>991</v>
      </c>
      <c r="E17" s="15"/>
      <c r="F17" s="15" t="s">
        <v>1025</v>
      </c>
      <c r="G17" s="15"/>
      <c r="H17"/>
    </row>
    <row r="18" spans="1:8" ht="15" customHeight="1" x14ac:dyDescent="0.3">
      <c r="A18" s="317" t="b">
        <v>0</v>
      </c>
      <c r="B18" s="302">
        <v>46097</v>
      </c>
      <c r="C18" s="302"/>
      <c r="D18" s="15" t="s">
        <v>1026</v>
      </c>
      <c r="E18" s="326"/>
      <c r="F18" s="15" t="s">
        <v>1027</v>
      </c>
      <c r="G18" s="15"/>
    </row>
    <row r="19" spans="1:8" s="318" customFormat="1" ht="15" customHeight="1" x14ac:dyDescent="0.3">
      <c r="A19" s="317" t="b">
        <v>0</v>
      </c>
      <c r="B19" s="302">
        <v>46097</v>
      </c>
      <c r="C19" s="302"/>
      <c r="D19" s="15" t="s">
        <v>994</v>
      </c>
      <c r="E19" s="15"/>
      <c r="F19" s="15" t="s">
        <v>1028</v>
      </c>
      <c r="G19" s="15"/>
      <c r="H19"/>
    </row>
    <row r="20" spans="1:8" ht="15" customHeight="1" x14ac:dyDescent="0.3">
      <c r="A20" s="317" t="b">
        <v>0</v>
      </c>
      <c r="B20" s="302">
        <v>46097</v>
      </c>
      <c r="C20" s="302"/>
      <c r="D20" s="15" t="s">
        <v>994</v>
      </c>
      <c r="E20" s="327"/>
      <c r="F20" s="15" t="s">
        <v>1029</v>
      </c>
      <c r="G20" s="15"/>
    </row>
    <row r="21" spans="1:8" ht="15" customHeight="1" x14ac:dyDescent="0.3">
      <c r="A21" s="317" t="b">
        <v>0</v>
      </c>
      <c r="B21" s="302">
        <v>46107</v>
      </c>
      <c r="C21" s="15"/>
      <c r="D21" s="15"/>
      <c r="E21" s="359"/>
      <c r="F21" s="15" t="s">
        <v>1030</v>
      </c>
      <c r="G21" s="15"/>
    </row>
    <row r="22" spans="1:8" ht="15" customHeight="1" x14ac:dyDescent="0.3">
      <c r="A22" s="317" t="b">
        <v>0</v>
      </c>
      <c r="B22" s="302">
        <v>46097</v>
      </c>
      <c r="C22" s="15"/>
      <c r="D22" s="15"/>
      <c r="E22" s="15"/>
      <c r="F22" s="15" t="s">
        <v>1031</v>
      </c>
      <c r="G22" s="15"/>
    </row>
    <row r="23" spans="1:8" ht="15" customHeight="1" x14ac:dyDescent="0.3">
      <c r="A23" s="317" t="b">
        <v>0</v>
      </c>
      <c r="B23" s="302">
        <v>46097</v>
      </c>
      <c r="C23" s="15"/>
      <c r="D23" s="15" t="s">
        <v>1009</v>
      </c>
      <c r="E23" s="327"/>
      <c r="F23" s="15" t="s">
        <v>1032</v>
      </c>
      <c r="G23" s="15" t="s">
        <v>1033</v>
      </c>
    </row>
    <row r="24" spans="1:8" ht="15" customHeight="1" x14ac:dyDescent="0.3">
      <c r="A24" s="317" t="b">
        <v>0</v>
      </c>
      <c r="B24" s="302">
        <v>46107</v>
      </c>
      <c r="C24" s="15"/>
      <c r="D24" s="15"/>
      <c r="E24" s="15"/>
      <c r="F24" s="15" t="s">
        <v>1034</v>
      </c>
      <c r="G24" s="15"/>
    </row>
    <row r="25" spans="1:8" ht="15" customHeight="1" x14ac:dyDescent="0.3">
      <c r="A25" s="317" t="b">
        <v>0</v>
      </c>
      <c r="B25" s="302">
        <v>46107</v>
      </c>
      <c r="C25" s="15"/>
      <c r="D25" s="15"/>
      <c r="E25" s="15"/>
      <c r="F25" s="15" t="s">
        <v>1035</v>
      </c>
      <c r="G25" s="15"/>
    </row>
    <row r="26" spans="1:8" s="318" customFormat="1" ht="15" customHeight="1" x14ac:dyDescent="0.3">
      <c r="A26" s="317" t="b">
        <v>0</v>
      </c>
      <c r="B26" s="302">
        <v>46107</v>
      </c>
      <c r="C26" s="15"/>
      <c r="D26" s="15"/>
      <c r="E26" s="15"/>
      <c r="F26" s="15" t="s">
        <v>1036</v>
      </c>
      <c r="G26" s="15"/>
      <c r="H26"/>
    </row>
    <row r="27" spans="1:8" s="318" customFormat="1" ht="15" customHeight="1" x14ac:dyDescent="0.3">
      <c r="A27" s="317" t="b">
        <v>0</v>
      </c>
      <c r="B27" s="302">
        <v>46097</v>
      </c>
      <c r="C27" s="302"/>
      <c r="D27" s="15" t="s">
        <v>1009</v>
      </c>
      <c r="E27" s="15"/>
      <c r="F27" s="15" t="s">
        <v>1037</v>
      </c>
      <c r="G27" s="15"/>
      <c r="H27"/>
    </row>
    <row r="28" spans="1:8" ht="15" customHeight="1" x14ac:dyDescent="0.3">
      <c r="A28" s="317" t="b">
        <v>0</v>
      </c>
      <c r="B28" s="302">
        <v>46097</v>
      </c>
      <c r="C28" s="302"/>
      <c r="D28" s="15" t="s">
        <v>991</v>
      </c>
      <c r="E28" s="327"/>
      <c r="F28" s="15" t="s">
        <v>1038</v>
      </c>
      <c r="G28" s="15"/>
    </row>
    <row r="29" spans="1:8" ht="15" customHeight="1" x14ac:dyDescent="0.3">
      <c r="A29" s="317" t="b">
        <v>0</v>
      </c>
      <c r="B29" s="302">
        <v>46107</v>
      </c>
      <c r="C29" s="319"/>
      <c r="D29" s="15" t="s">
        <v>1039</v>
      </c>
      <c r="E29" s="15"/>
      <c r="F29" s="15" t="s">
        <v>1040</v>
      </c>
      <c r="G29" s="15"/>
    </row>
    <row r="30" spans="1:8" ht="15" customHeight="1" x14ac:dyDescent="0.3">
      <c r="A30" s="317" t="b">
        <v>0</v>
      </c>
      <c r="B30" s="302">
        <v>46107</v>
      </c>
      <c r="C30" s="15"/>
      <c r="D30" s="15" t="s">
        <v>994</v>
      </c>
      <c r="E30" s="359"/>
      <c r="F30" s="15" t="s">
        <v>1041</v>
      </c>
      <c r="G30" s="15"/>
    </row>
    <row r="31" spans="1:8" ht="15" customHeight="1" x14ac:dyDescent="0.3">
      <c r="A31" s="317" t="b">
        <v>0</v>
      </c>
      <c r="B31" s="302">
        <v>46107</v>
      </c>
      <c r="C31" s="15"/>
      <c r="D31" s="15" t="s">
        <v>1001</v>
      </c>
      <c r="E31" s="15"/>
      <c r="F31" s="15" t="s">
        <v>1042</v>
      </c>
      <c r="G31" s="15"/>
    </row>
    <row r="32" spans="1:8" s="318" customFormat="1" ht="15" customHeight="1" x14ac:dyDescent="0.3">
      <c r="A32" s="317" t="b">
        <v>0</v>
      </c>
      <c r="B32" s="302">
        <v>46107</v>
      </c>
      <c r="C32" s="15"/>
      <c r="D32" s="15" t="s">
        <v>1039</v>
      </c>
      <c r="E32" s="327"/>
      <c r="F32" s="15" t="s">
        <v>1043</v>
      </c>
      <c r="G32" s="15"/>
      <c r="H32"/>
    </row>
    <row r="33" spans="1:7" ht="15" customHeight="1" x14ac:dyDescent="0.3">
      <c r="A33" s="317" t="b">
        <v>0</v>
      </c>
      <c r="B33" s="302">
        <v>45015</v>
      </c>
      <c r="C33" s="15"/>
      <c r="D33" s="15" t="s">
        <v>1016</v>
      </c>
      <c r="E33" s="327"/>
      <c r="F33" s="15" t="s">
        <v>1044</v>
      </c>
      <c r="G33" s="15"/>
    </row>
    <row r="34" spans="1:7" ht="15" customHeight="1" x14ac:dyDescent="0.3">
      <c r="A34" s="317" t="b">
        <v>0</v>
      </c>
      <c r="B34" s="302">
        <v>46111</v>
      </c>
      <c r="C34" s="15"/>
      <c r="D34" s="15" t="s">
        <v>1016</v>
      </c>
      <c r="E34" s="327"/>
      <c r="F34" s="15" t="s">
        <v>1045</v>
      </c>
      <c r="G34" s="15"/>
    </row>
    <row r="35" spans="1:7" ht="15" customHeight="1" x14ac:dyDescent="0.3">
      <c r="A35" s="317" t="b">
        <v>0</v>
      </c>
      <c r="B35" s="302">
        <v>46111</v>
      </c>
      <c r="C35" s="15"/>
      <c r="D35" s="15"/>
      <c r="E35" s="15"/>
      <c r="F35" s="15" t="s">
        <v>1046</v>
      </c>
      <c r="G35" s="15"/>
    </row>
    <row r="36" spans="1:7" ht="15" customHeight="1" x14ac:dyDescent="0.3">
      <c r="A36" s="317" t="b">
        <v>0</v>
      </c>
      <c r="B36" s="302">
        <v>46111</v>
      </c>
      <c r="C36" s="15"/>
      <c r="D36" s="15"/>
      <c r="E36" s="15"/>
      <c r="F36" s="15" t="s">
        <v>1047</v>
      </c>
      <c r="G36" s="15"/>
    </row>
    <row r="37" spans="1:7" ht="15" customHeight="1" x14ac:dyDescent="0.3">
      <c r="A37" s="317" t="b">
        <v>0</v>
      </c>
      <c r="B37" s="302">
        <v>46111</v>
      </c>
      <c r="C37" s="15"/>
      <c r="D37" s="15"/>
      <c r="E37" s="15"/>
      <c r="F37" s="15" t="s">
        <v>1048</v>
      </c>
      <c r="G37" s="15"/>
    </row>
    <row r="38" spans="1:7" ht="15" customHeight="1" x14ac:dyDescent="0.3">
      <c r="A38" s="317" t="b">
        <v>0</v>
      </c>
      <c r="B38" s="302">
        <v>46119</v>
      </c>
      <c r="C38" s="15"/>
      <c r="D38" s="15"/>
      <c r="E38" s="327"/>
      <c r="F38" s="15" t="s">
        <v>1049</v>
      </c>
      <c r="G38" s="15"/>
    </row>
    <row r="39" spans="1:7" ht="15" customHeight="1" x14ac:dyDescent="0.3">
      <c r="A39" s="317" t="b">
        <v>0</v>
      </c>
      <c r="B39" s="302">
        <v>46119</v>
      </c>
      <c r="C39" s="15"/>
      <c r="D39" s="15"/>
      <c r="E39" s="359"/>
      <c r="F39" s="15" t="s">
        <v>1050</v>
      </c>
      <c r="G39" s="15"/>
    </row>
    <row r="40" spans="1:7" ht="15" customHeight="1" x14ac:dyDescent="0.3">
      <c r="A40" s="317" t="b">
        <v>0</v>
      </c>
      <c r="B40" s="15"/>
      <c r="C40" s="15"/>
      <c r="D40" s="15"/>
      <c r="E40" s="15"/>
      <c r="F40" s="15"/>
      <c r="G40" s="15"/>
    </row>
    <row r="41" spans="1:7" ht="15" customHeight="1" x14ac:dyDescent="0.3">
      <c r="A41" s="317" t="b">
        <v>0</v>
      </c>
      <c r="B41" s="15"/>
      <c r="C41" s="15"/>
      <c r="D41" s="15"/>
      <c r="E41" s="15"/>
      <c r="F41" s="15"/>
      <c r="G41" s="15"/>
    </row>
    <row r="42" spans="1:7" ht="15" customHeight="1" x14ac:dyDescent="0.3">
      <c r="A42" s="317" t="b">
        <v>0</v>
      </c>
      <c r="B42" s="15"/>
      <c r="C42" s="15"/>
      <c r="D42" s="15"/>
      <c r="E42" s="15"/>
      <c r="F42" s="15"/>
      <c r="G42" s="15"/>
    </row>
    <row r="43" spans="1:7" ht="15" customHeight="1" x14ac:dyDescent="0.3">
      <c r="A43" s="317" t="b">
        <v>0</v>
      </c>
      <c r="B43" s="15"/>
      <c r="C43" s="15"/>
      <c r="D43" s="15"/>
      <c r="E43" s="15"/>
      <c r="F43" s="15"/>
      <c r="G43" s="15"/>
    </row>
    <row r="44" spans="1:7" ht="15" customHeight="1" x14ac:dyDescent="0.3">
      <c r="A44" s="317" t="b">
        <v>0</v>
      </c>
      <c r="B44" s="15"/>
      <c r="C44" s="15"/>
      <c r="D44" s="15"/>
      <c r="E44" s="15"/>
      <c r="F44" s="15"/>
      <c r="G44" s="15"/>
    </row>
    <row r="45" spans="1:7" ht="15" customHeight="1" x14ac:dyDescent="0.3">
      <c r="A45" s="317" t="b">
        <v>0</v>
      </c>
      <c r="B45" s="15"/>
      <c r="C45" s="15"/>
      <c r="D45" s="15"/>
      <c r="E45" s="15"/>
      <c r="F45" s="15"/>
      <c r="G45" s="15"/>
    </row>
    <row r="46" spans="1:7" ht="15" customHeight="1" x14ac:dyDescent="0.3">
      <c r="A46" s="317" t="b">
        <v>0</v>
      </c>
      <c r="B46" s="15"/>
      <c r="C46" s="15"/>
      <c r="D46" s="15"/>
      <c r="E46" s="15"/>
      <c r="F46" s="15"/>
      <c r="G46" s="15"/>
    </row>
    <row r="47" spans="1:7" ht="15" customHeight="1" x14ac:dyDescent="0.3">
      <c r="A47" s="317" t="b">
        <v>0</v>
      </c>
      <c r="B47" s="15"/>
      <c r="C47" s="15"/>
      <c r="D47" s="15"/>
      <c r="E47" s="15"/>
      <c r="F47" s="15"/>
      <c r="G47" s="15"/>
    </row>
    <row r="48" spans="1:7" ht="15" customHeight="1" x14ac:dyDescent="0.3">
      <c r="A48" s="317" t="b">
        <v>0</v>
      </c>
      <c r="B48" s="15"/>
      <c r="C48" s="15"/>
      <c r="D48" s="15"/>
      <c r="E48" s="15"/>
      <c r="F48" s="15"/>
      <c r="G48" s="15"/>
    </row>
    <row r="49" spans="1:7" ht="15" customHeight="1" x14ac:dyDescent="0.3">
      <c r="A49" s="317" t="b">
        <v>0</v>
      </c>
      <c r="B49" s="15"/>
      <c r="C49" s="15"/>
      <c r="D49" s="15"/>
      <c r="E49" s="15"/>
      <c r="F49" s="15"/>
      <c r="G49" s="15"/>
    </row>
    <row r="50" spans="1:7" ht="15" customHeight="1" x14ac:dyDescent="0.3">
      <c r="A50" s="317" t="b">
        <v>0</v>
      </c>
      <c r="B50" s="15"/>
      <c r="C50" s="15"/>
      <c r="D50" s="15"/>
      <c r="E50" s="15"/>
      <c r="F50" s="15"/>
      <c r="G50" s="15"/>
    </row>
    <row r="51" spans="1:7" ht="15" customHeight="1" x14ac:dyDescent="0.3">
      <c r="A51" s="317" t="b">
        <v>0</v>
      </c>
      <c r="B51" s="15"/>
      <c r="C51" s="15"/>
      <c r="D51" s="15"/>
      <c r="E51" s="15"/>
      <c r="F51" s="15"/>
      <c r="G51" s="15"/>
    </row>
    <row r="52" spans="1:7" ht="15" customHeight="1" x14ac:dyDescent="0.3">
      <c r="A52" s="317" t="b">
        <v>0</v>
      </c>
      <c r="B52" s="15"/>
      <c r="C52" s="15"/>
      <c r="D52" s="15"/>
      <c r="E52" s="15"/>
      <c r="F52" s="15"/>
      <c r="G52" s="15"/>
    </row>
    <row r="53" spans="1:7" ht="15" customHeight="1" x14ac:dyDescent="0.3">
      <c r="A53" s="317" t="b">
        <v>0</v>
      </c>
      <c r="B53" s="15"/>
      <c r="C53" s="15"/>
      <c r="D53" s="15"/>
      <c r="E53" s="15"/>
      <c r="F53" s="15"/>
      <c r="G53" s="15"/>
    </row>
    <row r="54" spans="1:7" ht="15" customHeight="1" x14ac:dyDescent="0.3">
      <c r="A54" s="317" t="b">
        <v>0</v>
      </c>
      <c r="B54" s="15"/>
      <c r="C54" s="15"/>
      <c r="D54" s="15"/>
      <c r="E54" s="15"/>
      <c r="F54" s="15"/>
      <c r="G54" s="15"/>
    </row>
    <row r="55" spans="1:7" ht="15" customHeight="1" x14ac:dyDescent="0.3">
      <c r="A55" s="317" t="b">
        <v>0</v>
      </c>
      <c r="B55" s="15"/>
      <c r="C55" s="15"/>
      <c r="D55" s="15"/>
      <c r="E55" s="15"/>
      <c r="F55" s="15"/>
      <c r="G55" s="15"/>
    </row>
    <row r="56" spans="1:7" ht="15" customHeight="1" x14ac:dyDescent="0.3">
      <c r="A56" s="317" t="b">
        <v>0</v>
      </c>
      <c r="B56" s="15"/>
      <c r="C56" s="15"/>
      <c r="D56" s="15"/>
      <c r="E56" s="15"/>
      <c r="F56" s="15"/>
      <c r="G56" s="15"/>
    </row>
    <row r="57" spans="1:7" ht="15" customHeight="1" x14ac:dyDescent="0.3">
      <c r="A57" s="317" t="b">
        <v>0</v>
      </c>
      <c r="B57" s="15"/>
      <c r="C57" s="15"/>
      <c r="D57" s="15"/>
      <c r="E57" s="15"/>
      <c r="F57" s="15"/>
      <c r="G57" s="15"/>
    </row>
    <row r="58" spans="1:7" ht="15" customHeight="1" x14ac:dyDescent="0.3">
      <c r="A58" s="317" t="b">
        <v>0</v>
      </c>
      <c r="B58" s="15"/>
      <c r="C58" s="15"/>
      <c r="D58" s="15"/>
      <c r="E58" s="15"/>
      <c r="F58" s="15"/>
      <c r="G58" s="15"/>
    </row>
    <row r="59" spans="1:7" ht="15" customHeight="1" x14ac:dyDescent="0.3">
      <c r="A59" s="317" t="b">
        <v>0</v>
      </c>
      <c r="B59" s="15"/>
      <c r="C59" s="15"/>
      <c r="D59" s="15"/>
      <c r="E59" s="15"/>
      <c r="F59" s="15"/>
      <c r="G59" s="15"/>
    </row>
    <row r="60" spans="1:7" ht="15" customHeight="1" x14ac:dyDescent="0.3">
      <c r="A60" s="317" t="b">
        <v>0</v>
      </c>
      <c r="B60" s="15"/>
      <c r="C60" s="15"/>
      <c r="D60" s="15"/>
      <c r="E60" s="15"/>
      <c r="F60" s="15"/>
      <c r="G60" s="15"/>
    </row>
    <row r="61" spans="1:7" ht="15" customHeight="1" x14ac:dyDescent="0.3">
      <c r="A61" s="317" t="b">
        <v>0</v>
      </c>
      <c r="B61" s="15"/>
      <c r="C61" s="15"/>
      <c r="D61" s="15"/>
      <c r="E61" s="15"/>
      <c r="F61" s="15"/>
      <c r="G61" s="15"/>
    </row>
    <row r="62" spans="1:7" ht="15" customHeight="1" x14ac:dyDescent="0.3">
      <c r="A62" s="317" t="b">
        <v>0</v>
      </c>
      <c r="B62" s="15"/>
      <c r="C62" s="15"/>
      <c r="D62" s="15"/>
      <c r="E62" s="15"/>
      <c r="F62" s="15"/>
      <c r="G62" s="15"/>
    </row>
    <row r="63" spans="1:7" ht="15" customHeight="1" x14ac:dyDescent="0.3">
      <c r="A63" s="317" t="b">
        <v>0</v>
      </c>
      <c r="B63" s="15"/>
      <c r="C63" s="15"/>
      <c r="D63" s="15"/>
      <c r="E63" s="15"/>
      <c r="F63" s="15"/>
      <c r="G63" s="15"/>
    </row>
    <row r="64" spans="1:7" ht="15" customHeight="1" x14ac:dyDescent="0.3">
      <c r="A64" s="317" t="b">
        <v>0</v>
      </c>
      <c r="B64" s="15"/>
      <c r="C64" s="15"/>
      <c r="D64" s="15"/>
      <c r="E64" s="15"/>
      <c r="F64" s="15"/>
      <c r="G64" s="15"/>
    </row>
  </sheetData>
  <sortState xmlns:xlrd2="http://schemas.microsoft.com/office/spreadsheetml/2017/richdata2" ref="A2:H65">
    <sortCondition ref="C2:C65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1890-CE41-4F4F-B007-DDC918FC233C}">
  <dimension ref="A1:AA911"/>
  <sheetViews>
    <sheetView showGridLines="0" workbookViewId="0">
      <selection activeCell="A3" sqref="A3"/>
    </sheetView>
  </sheetViews>
  <sheetFormatPr defaultRowHeight="14.4" x14ac:dyDescent="0.3"/>
  <cols>
    <col min="1" max="1" width="54.6640625" style="1" bestFit="1" customWidth="1"/>
    <col min="2" max="2" width="16" style="1" bestFit="1" customWidth="1"/>
    <col min="3" max="3" width="11.109375" style="1" bestFit="1" customWidth="1"/>
    <col min="4" max="4" width="15.88671875" style="397" bestFit="1" customWidth="1"/>
    <col min="5" max="5" width="2.6640625" customWidth="1"/>
    <col min="6" max="6" width="4.33203125" bestFit="1" customWidth="1"/>
    <col min="7" max="7" width="10.44140625" customWidth="1"/>
    <col min="8" max="8" width="4.5546875" bestFit="1" customWidth="1"/>
    <col min="9" max="9" width="10.44140625" bestFit="1" customWidth="1"/>
    <col min="10" max="10" width="2.6640625" customWidth="1"/>
    <col min="11" max="11" width="4.33203125" bestFit="1" customWidth="1"/>
    <col min="12" max="12" width="10.33203125" bestFit="1" customWidth="1"/>
    <col min="13" max="13" width="4.5546875" bestFit="1" customWidth="1"/>
    <col min="14" max="14" width="10.44140625" bestFit="1" customWidth="1"/>
    <col min="15" max="15" width="2.6640625" customWidth="1"/>
    <col min="16" max="16" width="4.33203125" bestFit="1" customWidth="1"/>
    <col min="17" max="17" width="10.33203125" bestFit="1" customWidth="1"/>
    <col min="18" max="18" width="4.5546875" bestFit="1" customWidth="1"/>
    <col min="19" max="19" width="10.44140625" bestFit="1" customWidth="1"/>
    <col min="20" max="20" width="2.6640625" customWidth="1"/>
    <col min="21" max="21" width="4.33203125" bestFit="1" customWidth="1"/>
    <col min="22" max="22" width="10.33203125" bestFit="1" customWidth="1"/>
    <col min="23" max="23" width="4.5546875" bestFit="1" customWidth="1"/>
    <col min="24" max="24" width="10.44140625" bestFit="1" customWidth="1"/>
    <col min="25" max="25" width="2.6640625" customWidth="1"/>
    <col min="26" max="26" width="45.33203125" bestFit="1" customWidth="1"/>
    <col min="27" max="27" width="15.6640625" bestFit="1" customWidth="1"/>
  </cols>
  <sheetData>
    <row r="1" spans="1:27" x14ac:dyDescent="0.3">
      <c r="A1" s="1">
        <v>9</v>
      </c>
      <c r="D1" s="396">
        <f>SUM(D3:D496)</f>
        <v>2346138.02</v>
      </c>
      <c r="F1" s="293" t="s">
        <v>1051</v>
      </c>
      <c r="G1" s="298" t="s">
        <v>1052</v>
      </c>
      <c r="I1" s="297" t="str">
        <f ca="1">TEXT(DATE(YEAR(TODAY()),G1,1),"mmmm")</f>
        <v>abril</v>
      </c>
      <c r="K1" s="293" t="s">
        <v>1051</v>
      </c>
      <c r="L1" s="298" t="s">
        <v>1053</v>
      </c>
      <c r="N1" s="297" t="str">
        <f ca="1">TEXT(DATE(YEAR(TODAY()),L1,1),"mmmm")</f>
        <v>maio</v>
      </c>
      <c r="P1" s="295" t="s">
        <v>1051</v>
      </c>
      <c r="Q1" s="298" t="s">
        <v>1054</v>
      </c>
      <c r="S1" s="297" t="str">
        <f ca="1">TEXT(DATE(YEAR(TODAY()),Q1,1),"mmmm")</f>
        <v>junho</v>
      </c>
      <c r="U1" s="295" t="s">
        <v>1051</v>
      </c>
      <c r="V1" s="298" t="s">
        <v>1055</v>
      </c>
      <c r="X1" s="297" t="str">
        <f ca="1">TEXT(DATE(YEAR(TODAY()),V1,1),"mmmm")</f>
        <v>julho</v>
      </c>
      <c r="Z1" s="77" t="s">
        <v>1056</v>
      </c>
      <c r="AA1" s="332">
        <f>D1-SUM(AA2:AA6)</f>
        <v>1790949.5199999998</v>
      </c>
    </row>
    <row r="2" spans="1:27" x14ac:dyDescent="0.3">
      <c r="A2" s="398" t="s">
        <v>1057</v>
      </c>
      <c r="B2" s="398" t="s">
        <v>1058</v>
      </c>
      <c r="C2" s="398" t="s">
        <v>1059</v>
      </c>
      <c r="D2" s="399" t="s">
        <v>1060</v>
      </c>
      <c r="F2" s="293" t="s">
        <v>1061</v>
      </c>
      <c r="G2" s="298">
        <v>2026</v>
      </c>
      <c r="I2" s="321" t="s">
        <v>1062</v>
      </c>
      <c r="K2" s="293" t="s">
        <v>1061</v>
      </c>
      <c r="L2" s="298">
        <v>2026</v>
      </c>
      <c r="N2" s="321" t="s">
        <v>1062</v>
      </c>
      <c r="P2" s="295" t="s">
        <v>1061</v>
      </c>
      <c r="Q2" s="294">
        <v>2026</v>
      </c>
      <c r="S2" s="321" t="s">
        <v>1062</v>
      </c>
      <c r="U2" s="295" t="s">
        <v>1061</v>
      </c>
      <c r="V2" s="294">
        <v>2026</v>
      </c>
      <c r="X2" s="321" t="s">
        <v>1062</v>
      </c>
      <c r="Z2" s="304" t="s">
        <v>792</v>
      </c>
      <c r="AA2" s="305">
        <f>SUMIF(A:A,Z2,D:D)</f>
        <v>479125.35000000027</v>
      </c>
    </row>
    <row r="3" spans="1:27" x14ac:dyDescent="0.3">
      <c r="A3" s="481" t="s">
        <v>744</v>
      </c>
      <c r="B3" s="482" t="s">
        <v>1063</v>
      </c>
      <c r="C3" s="483">
        <v>46143</v>
      </c>
      <c r="D3" s="485">
        <v>2911.3</v>
      </c>
      <c r="F3" s="295" t="s">
        <v>1064</v>
      </c>
      <c r="G3" s="295" t="s">
        <v>1065</v>
      </c>
      <c r="H3" s="295" t="s">
        <v>1066</v>
      </c>
      <c r="I3" s="296">
        <f>SUM(I4:I34)</f>
        <v>0</v>
      </c>
      <c r="K3" s="295" t="s">
        <v>1064</v>
      </c>
      <c r="L3" s="295" t="s">
        <v>1065</v>
      </c>
      <c r="M3" s="295" t="s">
        <v>1066</v>
      </c>
      <c r="N3" s="296">
        <f>SUM(N4:N34)</f>
        <v>704328.16</v>
      </c>
      <c r="P3" s="295" t="s">
        <v>1064</v>
      </c>
      <c r="Q3" s="295" t="s">
        <v>1065</v>
      </c>
      <c r="R3" s="295" t="s">
        <v>1066</v>
      </c>
      <c r="S3" s="296">
        <f>SUM(S4:S34)</f>
        <v>559369.7100000002</v>
      </c>
      <c r="U3" s="295" t="s">
        <v>1064</v>
      </c>
      <c r="V3" s="295" t="s">
        <v>1065</v>
      </c>
      <c r="W3" s="295" t="s">
        <v>1066</v>
      </c>
      <c r="X3" s="296">
        <f>SUM(X4:X34)</f>
        <v>436626.3</v>
      </c>
      <c r="Z3" s="304" t="s">
        <v>240</v>
      </c>
      <c r="AA3" s="305">
        <f>SUMIF(A:A,Z3,D:D)</f>
        <v>31952</v>
      </c>
    </row>
    <row r="4" spans="1:27" x14ac:dyDescent="0.3">
      <c r="A4" s="481" t="s">
        <v>1067</v>
      </c>
      <c r="B4" s="482">
        <v>20722</v>
      </c>
      <c r="C4" s="483">
        <v>46143</v>
      </c>
      <c r="D4" s="485">
        <v>901.91</v>
      </c>
      <c r="F4" s="333" t="s">
        <v>1068</v>
      </c>
      <c r="G4" s="334" t="str">
        <f t="shared" ref="G4:G34" si="0">_xlfn.CONCAT(F4,"/",$G$1,"/",$G$2)</f>
        <v>01/04/2026</v>
      </c>
      <c r="H4" s="335" t="str">
        <f>TEXT(G4,"ddd")</f>
        <v>qua</v>
      </c>
      <c r="I4" s="336">
        <f>SUMIF(C:C,G4,D:D)</f>
        <v>0</v>
      </c>
      <c r="J4" s="337"/>
      <c r="K4" s="333" t="s">
        <v>1068</v>
      </c>
      <c r="L4" s="334" t="str">
        <f>_xlfn.CONCAT(K4,"/",$L$1,"/",$L$2)</f>
        <v>01/05/2026</v>
      </c>
      <c r="M4" s="335" t="str">
        <f>TEXT(L4,"ddd")</f>
        <v>sex</v>
      </c>
      <c r="N4" s="336">
        <f t="shared" ref="N4:N34" si="1">SUMIF(C:C,L4,D:D)</f>
        <v>18253.519999999997</v>
      </c>
      <c r="O4" s="337"/>
      <c r="P4" s="333" t="s">
        <v>1068</v>
      </c>
      <c r="Q4" s="334" t="str">
        <f>_xlfn.CONCAT(P4,"/",$Q$1,"/",$Q$2)</f>
        <v>01/06/2026</v>
      </c>
      <c r="R4" s="335" t="str">
        <f>TEXT(Q4,"ddd")</f>
        <v>seg</v>
      </c>
      <c r="S4" s="306">
        <f t="shared" ref="S4:S34" si="2">SUMIF(C:C,Q4,D:D)</f>
        <v>24267.899999999998</v>
      </c>
      <c r="T4" s="337"/>
      <c r="U4" s="333" t="s">
        <v>1068</v>
      </c>
      <c r="V4" s="334" t="str">
        <f>_xlfn.CONCAT(U4,"/",$V$1,"/",$V$2)</f>
        <v>01/07/2026</v>
      </c>
      <c r="W4" s="335" t="str">
        <f>TEXT(V4,"ddd")</f>
        <v>qua</v>
      </c>
      <c r="X4" s="336">
        <f t="shared" ref="X4:X34" si="3">SUMIF(C:C,V4,D:D)</f>
        <v>22161.14</v>
      </c>
      <c r="Z4" s="304" t="s">
        <v>242</v>
      </c>
      <c r="AA4" s="305">
        <f>SUMIF(A:A,Z4,D:D)</f>
        <v>6202.11</v>
      </c>
    </row>
    <row r="5" spans="1:27" x14ac:dyDescent="0.3">
      <c r="A5" s="481" t="s">
        <v>738</v>
      </c>
      <c r="B5" s="482">
        <v>24401</v>
      </c>
      <c r="C5" s="483">
        <v>46143</v>
      </c>
      <c r="D5" s="485">
        <v>4342.96</v>
      </c>
      <c r="F5" s="333" t="s">
        <v>1069</v>
      </c>
      <c r="G5" s="338" t="str">
        <f t="shared" si="0"/>
        <v>02/04/2026</v>
      </c>
      <c r="H5" s="335" t="str">
        <f t="shared" ref="H5:H34" si="4">TEXT(G5,"ddd")</f>
        <v>qui</v>
      </c>
      <c r="I5" s="336">
        <f t="shared" ref="I5:I34" si="5">SUMIF(C:C,G5,D:D)</f>
        <v>0</v>
      </c>
      <c r="J5" s="337"/>
      <c r="K5" s="333" t="s">
        <v>1069</v>
      </c>
      <c r="L5" s="334" t="str">
        <f t="shared" ref="L5:L34" si="6">_xlfn.CONCAT(K5,"/",$L$1,"/",$L$2)</f>
        <v>02/05/2026</v>
      </c>
      <c r="M5" s="335" t="str">
        <f t="shared" ref="M5:M34" si="7">TEXT(L5,"ddd")</f>
        <v>sáb</v>
      </c>
      <c r="N5" s="306">
        <f t="shared" si="1"/>
        <v>36101.65</v>
      </c>
      <c r="O5" s="337"/>
      <c r="P5" s="333" t="s">
        <v>1069</v>
      </c>
      <c r="Q5" s="334" t="str">
        <f t="shared" ref="Q5:Q34" si="8">_xlfn.CONCAT(P5,"/",$Q$1,"/",$Q$2)</f>
        <v>02/06/2026</v>
      </c>
      <c r="R5" s="335" t="str">
        <f t="shared" ref="R5:R34" si="9">TEXT(Q5,"ddd")</f>
        <v>ter</v>
      </c>
      <c r="S5" s="336">
        <f t="shared" si="2"/>
        <v>3403.76</v>
      </c>
      <c r="T5" s="337"/>
      <c r="U5" s="333" t="s">
        <v>1069</v>
      </c>
      <c r="V5" s="334" t="str">
        <f t="shared" ref="V5:V34" si="10">_xlfn.CONCAT(U5,"/",$V$1,"/",$V$2)</f>
        <v>02/07/2026</v>
      </c>
      <c r="W5" s="335" t="str">
        <f t="shared" ref="W5:W34" si="11">TEXT(V5,"ddd")</f>
        <v>qui</v>
      </c>
      <c r="X5" s="336">
        <f t="shared" si="3"/>
        <v>3403.76</v>
      </c>
      <c r="Z5" s="304" t="s">
        <v>777</v>
      </c>
      <c r="AA5" s="305">
        <f>SUMIF(A:A,Z5,D:D)</f>
        <v>9109.0399999999972</v>
      </c>
    </row>
    <row r="6" spans="1:27" x14ac:dyDescent="0.3">
      <c r="A6" s="481" t="s">
        <v>292</v>
      </c>
      <c r="B6" s="482">
        <v>123302</v>
      </c>
      <c r="C6" s="483">
        <v>46143</v>
      </c>
      <c r="D6" s="485">
        <v>63.3</v>
      </c>
      <c r="F6" s="333" t="s">
        <v>1070</v>
      </c>
      <c r="G6" s="338" t="str">
        <f t="shared" si="0"/>
        <v>03/04/2026</v>
      </c>
      <c r="H6" s="335" t="str">
        <f t="shared" si="4"/>
        <v>sex</v>
      </c>
      <c r="I6" s="336">
        <f t="shared" si="5"/>
        <v>0</v>
      </c>
      <c r="J6" s="337"/>
      <c r="K6" s="333" t="s">
        <v>1070</v>
      </c>
      <c r="L6" s="334" t="str">
        <f t="shared" si="6"/>
        <v>03/05/2026</v>
      </c>
      <c r="M6" s="335" t="str">
        <f t="shared" si="7"/>
        <v>dom</v>
      </c>
      <c r="N6" s="306">
        <f t="shared" si="1"/>
        <v>5446.92</v>
      </c>
      <c r="O6" s="337"/>
      <c r="P6" s="333" t="s">
        <v>1070</v>
      </c>
      <c r="Q6" s="334" t="str">
        <f t="shared" si="8"/>
        <v>03/06/2026</v>
      </c>
      <c r="R6" s="335" t="str">
        <f t="shared" si="9"/>
        <v>qua</v>
      </c>
      <c r="S6" s="336">
        <f t="shared" si="2"/>
        <v>0</v>
      </c>
      <c r="T6" s="337"/>
      <c r="U6" s="333" t="s">
        <v>1070</v>
      </c>
      <c r="V6" s="334" t="str">
        <f t="shared" si="10"/>
        <v>03/07/2026</v>
      </c>
      <c r="W6" s="335" t="str">
        <f t="shared" si="11"/>
        <v>sex</v>
      </c>
      <c r="X6" s="336">
        <f t="shared" si="3"/>
        <v>0</v>
      </c>
      <c r="Z6" s="304" t="s">
        <v>216</v>
      </c>
      <c r="AA6" s="305">
        <f>SUMIF(A:A,Z6,D:D)</f>
        <v>28800</v>
      </c>
    </row>
    <row r="7" spans="1:27" x14ac:dyDescent="0.3">
      <c r="A7" s="481" t="s">
        <v>744</v>
      </c>
      <c r="B7" s="482" t="s">
        <v>1071</v>
      </c>
      <c r="C7" s="483">
        <v>46143</v>
      </c>
      <c r="D7" s="485">
        <v>5089.3100000000004</v>
      </c>
      <c r="F7" s="333" t="s">
        <v>1052</v>
      </c>
      <c r="G7" s="338" t="str">
        <f t="shared" si="0"/>
        <v>04/04/2026</v>
      </c>
      <c r="H7" s="335" t="str">
        <f t="shared" si="4"/>
        <v>sáb</v>
      </c>
      <c r="I7" s="306">
        <f t="shared" si="5"/>
        <v>0</v>
      </c>
      <c r="J7" s="337"/>
      <c r="K7" s="333" t="s">
        <v>1052</v>
      </c>
      <c r="L7" s="334" t="str">
        <f t="shared" si="6"/>
        <v>04/05/2026</v>
      </c>
      <c r="M7" s="335" t="str">
        <f t="shared" si="7"/>
        <v>seg</v>
      </c>
      <c r="N7" s="306">
        <f t="shared" si="1"/>
        <v>6159.42</v>
      </c>
      <c r="O7" s="337"/>
      <c r="P7" s="333" t="s">
        <v>1052</v>
      </c>
      <c r="Q7" s="334" t="str">
        <f t="shared" si="8"/>
        <v>04/06/2026</v>
      </c>
      <c r="R7" s="335" t="str">
        <f t="shared" si="9"/>
        <v>qui</v>
      </c>
      <c r="S7" s="336">
        <f t="shared" si="2"/>
        <v>8774.369999999999</v>
      </c>
      <c r="T7" s="337"/>
      <c r="U7" s="333" t="s">
        <v>1052</v>
      </c>
      <c r="V7" s="334" t="str">
        <f t="shared" si="10"/>
        <v>04/07/2026</v>
      </c>
      <c r="W7" s="335" t="str">
        <f t="shared" si="11"/>
        <v>sáb</v>
      </c>
      <c r="X7" s="306">
        <f t="shared" si="3"/>
        <v>0</v>
      </c>
      <c r="Z7" s="307" t="s">
        <v>1072</v>
      </c>
      <c r="AA7" s="308">
        <f>SUM(AA1:AA6)</f>
        <v>2346138.02</v>
      </c>
    </row>
    <row r="8" spans="1:27" x14ac:dyDescent="0.3">
      <c r="A8" s="481" t="s">
        <v>282</v>
      </c>
      <c r="B8" s="482">
        <v>48676901</v>
      </c>
      <c r="C8" s="483">
        <v>46143</v>
      </c>
      <c r="D8" s="485">
        <v>4944.74</v>
      </c>
      <c r="F8" s="333" t="s">
        <v>1053</v>
      </c>
      <c r="G8" s="338" t="str">
        <f t="shared" si="0"/>
        <v>05/04/2026</v>
      </c>
      <c r="H8" s="335" t="str">
        <f t="shared" si="4"/>
        <v>dom</v>
      </c>
      <c r="I8" s="306">
        <f t="shared" si="5"/>
        <v>0</v>
      </c>
      <c r="J8" s="337"/>
      <c r="K8" s="333" t="s">
        <v>1053</v>
      </c>
      <c r="L8" s="334" t="str">
        <f t="shared" si="6"/>
        <v>05/05/2026</v>
      </c>
      <c r="M8" s="335" t="str">
        <f t="shared" si="7"/>
        <v>ter</v>
      </c>
      <c r="N8" s="336">
        <f t="shared" si="1"/>
        <v>12045.739999999998</v>
      </c>
      <c r="O8" s="337"/>
      <c r="P8" s="333" t="s">
        <v>1053</v>
      </c>
      <c r="Q8" s="334" t="str">
        <f t="shared" si="8"/>
        <v>05/06/2026</v>
      </c>
      <c r="R8" s="335" t="str">
        <f t="shared" si="9"/>
        <v>sex</v>
      </c>
      <c r="S8" s="336">
        <f t="shared" si="2"/>
        <v>431.2</v>
      </c>
      <c r="T8" s="337"/>
      <c r="U8" s="333" t="s">
        <v>1053</v>
      </c>
      <c r="V8" s="334" t="str">
        <f t="shared" si="10"/>
        <v>05/07/2026</v>
      </c>
      <c r="W8" s="335" t="str">
        <f t="shared" si="11"/>
        <v>dom</v>
      </c>
      <c r="X8" s="306">
        <f t="shared" si="3"/>
        <v>431.2</v>
      </c>
    </row>
    <row r="9" spans="1:27" x14ac:dyDescent="0.3">
      <c r="A9" s="481" t="s">
        <v>744</v>
      </c>
      <c r="B9" s="482" t="s">
        <v>1073</v>
      </c>
      <c r="C9" s="483">
        <v>46144</v>
      </c>
      <c r="D9" s="485">
        <v>19184.13</v>
      </c>
      <c r="F9" s="333" t="s">
        <v>1054</v>
      </c>
      <c r="G9" s="338" t="str">
        <f t="shared" si="0"/>
        <v>06/04/2026</v>
      </c>
      <c r="H9" s="335" t="str">
        <f t="shared" si="4"/>
        <v>seg</v>
      </c>
      <c r="I9" s="306">
        <f t="shared" si="5"/>
        <v>0</v>
      </c>
      <c r="J9" s="337"/>
      <c r="K9" s="333" t="s">
        <v>1054</v>
      </c>
      <c r="L9" s="334" t="str">
        <f t="shared" si="6"/>
        <v>06/05/2026</v>
      </c>
      <c r="M9" s="335" t="str">
        <f t="shared" si="7"/>
        <v>qua</v>
      </c>
      <c r="N9" s="336">
        <f t="shared" si="1"/>
        <v>10715.92</v>
      </c>
      <c r="O9" s="337"/>
      <c r="P9" s="333" t="s">
        <v>1054</v>
      </c>
      <c r="Q9" s="334" t="str">
        <f t="shared" si="8"/>
        <v>06/06/2026</v>
      </c>
      <c r="R9" s="335" t="str">
        <f t="shared" si="9"/>
        <v>sáb</v>
      </c>
      <c r="S9" s="306">
        <f t="shared" si="2"/>
        <v>54327.070000000007</v>
      </c>
      <c r="T9" s="337"/>
      <c r="U9" s="333" t="s">
        <v>1054</v>
      </c>
      <c r="V9" s="334" t="str">
        <f t="shared" si="10"/>
        <v>06/07/2026</v>
      </c>
      <c r="W9" s="335" t="str">
        <f t="shared" si="11"/>
        <v>seg</v>
      </c>
      <c r="X9" s="306">
        <f t="shared" si="3"/>
        <v>39507.910000000003</v>
      </c>
      <c r="Z9" s="322"/>
      <c r="AA9" s="329"/>
    </row>
    <row r="10" spans="1:27" x14ac:dyDescent="0.3">
      <c r="A10" s="481" t="s">
        <v>1074</v>
      </c>
      <c r="B10" s="482" t="s">
        <v>1075</v>
      </c>
      <c r="C10" s="483">
        <v>46144</v>
      </c>
      <c r="D10" s="485">
        <v>10842</v>
      </c>
      <c r="F10" s="333" t="s">
        <v>1055</v>
      </c>
      <c r="G10" s="338" t="str">
        <f t="shared" si="0"/>
        <v>07/04/2026</v>
      </c>
      <c r="H10" s="335" t="str">
        <f t="shared" si="4"/>
        <v>ter</v>
      </c>
      <c r="I10" s="336">
        <f t="shared" si="5"/>
        <v>0</v>
      </c>
      <c r="J10" s="337"/>
      <c r="K10" s="333" t="s">
        <v>1055</v>
      </c>
      <c r="L10" s="334" t="str">
        <f t="shared" si="6"/>
        <v>07/05/2026</v>
      </c>
      <c r="M10" s="335" t="str">
        <f t="shared" si="7"/>
        <v>qui</v>
      </c>
      <c r="N10" s="347">
        <f t="shared" si="1"/>
        <v>56973.62</v>
      </c>
      <c r="O10" s="337"/>
      <c r="P10" s="333" t="s">
        <v>1055</v>
      </c>
      <c r="Q10" s="334" t="str">
        <f t="shared" si="8"/>
        <v>07/06/2026</v>
      </c>
      <c r="R10" s="335" t="str">
        <f t="shared" si="9"/>
        <v>dom</v>
      </c>
      <c r="S10" s="306">
        <f t="shared" si="2"/>
        <v>8647.35</v>
      </c>
      <c r="T10" s="337"/>
      <c r="U10" s="333" t="s">
        <v>1055</v>
      </c>
      <c r="V10" s="334" t="str">
        <f t="shared" si="10"/>
        <v>07/07/2026</v>
      </c>
      <c r="W10" s="335" t="str">
        <f t="shared" si="11"/>
        <v>ter</v>
      </c>
      <c r="X10" s="336">
        <f t="shared" si="3"/>
        <v>2504.62</v>
      </c>
      <c r="Z10" s="325" t="s">
        <v>1062</v>
      </c>
      <c r="AA10" s="324" t="str">
        <f ca="1">I1</f>
        <v>abril</v>
      </c>
    </row>
    <row r="11" spans="1:27" x14ac:dyDescent="0.3">
      <c r="A11" s="481" t="s">
        <v>1076</v>
      </c>
      <c r="B11" s="482">
        <v>126011</v>
      </c>
      <c r="C11" s="483">
        <v>46144</v>
      </c>
      <c r="D11" s="485">
        <v>1628</v>
      </c>
      <c r="F11" s="333" t="s">
        <v>1077</v>
      </c>
      <c r="G11" s="338" t="str">
        <f t="shared" si="0"/>
        <v>08/04/2026</v>
      </c>
      <c r="H11" s="335" t="str">
        <f t="shared" si="4"/>
        <v>qua</v>
      </c>
      <c r="I11" s="336">
        <f t="shared" si="5"/>
        <v>0</v>
      </c>
      <c r="J11" s="337"/>
      <c r="K11" s="333" t="s">
        <v>1077</v>
      </c>
      <c r="L11" s="334" t="str">
        <f t="shared" si="6"/>
        <v>08/05/2026</v>
      </c>
      <c r="M11" s="335" t="str">
        <f t="shared" si="7"/>
        <v>sex</v>
      </c>
      <c r="N11" s="336">
        <f t="shared" si="1"/>
        <v>10213.480000000001</v>
      </c>
      <c r="O11" s="337"/>
      <c r="P11" s="333" t="s">
        <v>1077</v>
      </c>
      <c r="Q11" s="334" t="str">
        <f t="shared" si="8"/>
        <v>08/06/2026</v>
      </c>
      <c r="R11" s="335" t="str">
        <f t="shared" si="9"/>
        <v>seg</v>
      </c>
      <c r="S11" s="306">
        <f t="shared" si="2"/>
        <v>24412.01</v>
      </c>
      <c r="T11" s="337"/>
      <c r="U11" s="333" t="s">
        <v>1077</v>
      </c>
      <c r="V11" s="334" t="str">
        <f t="shared" si="10"/>
        <v>08/07/2026</v>
      </c>
      <c r="W11" s="335" t="str">
        <f t="shared" si="11"/>
        <v>qua</v>
      </c>
      <c r="X11" s="336">
        <f t="shared" si="3"/>
        <v>15778.660000000002</v>
      </c>
      <c r="Z11" s="323"/>
      <c r="AA11" s="330"/>
    </row>
    <row r="12" spans="1:27" x14ac:dyDescent="0.3">
      <c r="A12" s="481" t="s">
        <v>1078</v>
      </c>
      <c r="B12" s="482">
        <v>112641</v>
      </c>
      <c r="C12" s="483">
        <v>46144</v>
      </c>
      <c r="D12" s="485">
        <v>3941.28</v>
      </c>
      <c r="F12" s="333" t="s">
        <v>1079</v>
      </c>
      <c r="G12" s="338" t="str">
        <f t="shared" si="0"/>
        <v>09/04/2026</v>
      </c>
      <c r="H12" s="335" t="str">
        <f t="shared" si="4"/>
        <v>qui</v>
      </c>
      <c r="I12" s="336">
        <f t="shared" si="5"/>
        <v>0</v>
      </c>
      <c r="J12" s="337"/>
      <c r="K12" s="333" t="s">
        <v>1079</v>
      </c>
      <c r="L12" s="334" t="str">
        <f t="shared" si="6"/>
        <v>09/05/2026</v>
      </c>
      <c r="M12" s="335" t="str">
        <f t="shared" si="7"/>
        <v>sáb</v>
      </c>
      <c r="N12" s="306">
        <f t="shared" si="1"/>
        <v>15920.810000000001</v>
      </c>
      <c r="O12" s="337"/>
      <c r="P12" s="333" t="s">
        <v>1079</v>
      </c>
      <c r="Q12" s="334" t="str">
        <f t="shared" si="8"/>
        <v>09/06/2026</v>
      </c>
      <c r="R12" s="335" t="str">
        <f t="shared" si="9"/>
        <v>ter</v>
      </c>
      <c r="S12" s="336">
        <f t="shared" si="2"/>
        <v>19814</v>
      </c>
      <c r="T12" s="337"/>
      <c r="U12" s="333" t="s">
        <v>1079</v>
      </c>
      <c r="V12" s="334" t="str">
        <f t="shared" si="10"/>
        <v>09/07/2026</v>
      </c>
      <c r="W12" s="335" t="str">
        <f t="shared" si="11"/>
        <v>qui</v>
      </c>
      <c r="X12" s="336">
        <f t="shared" si="3"/>
        <v>22391.239999999998</v>
      </c>
      <c r="Z12" s="322"/>
      <c r="AA12" s="329"/>
    </row>
    <row r="13" spans="1:27" x14ac:dyDescent="0.3">
      <c r="A13" s="481" t="s">
        <v>282</v>
      </c>
      <c r="B13" s="482">
        <v>48710901</v>
      </c>
      <c r="C13" s="483">
        <v>46144</v>
      </c>
      <c r="D13" s="485">
        <v>506.24</v>
      </c>
      <c r="F13" s="333">
        <v>10</v>
      </c>
      <c r="G13" s="338" t="str">
        <f t="shared" si="0"/>
        <v>10/04/2026</v>
      </c>
      <c r="H13" s="335" t="str">
        <f t="shared" si="4"/>
        <v>sex</v>
      </c>
      <c r="I13" s="336">
        <f t="shared" si="5"/>
        <v>0</v>
      </c>
      <c r="J13" s="337"/>
      <c r="K13" s="333">
        <v>10</v>
      </c>
      <c r="L13" s="334" t="str">
        <f t="shared" si="6"/>
        <v>10/05/2026</v>
      </c>
      <c r="M13" s="335" t="str">
        <f t="shared" si="7"/>
        <v>dom</v>
      </c>
      <c r="N13" s="306">
        <f t="shared" si="1"/>
        <v>26826.11</v>
      </c>
      <c r="O13" s="337"/>
      <c r="P13" s="333">
        <v>10</v>
      </c>
      <c r="Q13" s="334" t="str">
        <f t="shared" si="8"/>
        <v>10/06/2026</v>
      </c>
      <c r="R13" s="335" t="str">
        <f t="shared" si="9"/>
        <v>qua</v>
      </c>
      <c r="S13" s="336">
        <f t="shared" si="2"/>
        <v>26914.800000000003</v>
      </c>
      <c r="T13" s="337"/>
      <c r="U13" s="333">
        <v>10</v>
      </c>
      <c r="V13" s="334" t="str">
        <f t="shared" si="10"/>
        <v>10/07/2026</v>
      </c>
      <c r="W13" s="335" t="str">
        <f t="shared" si="11"/>
        <v>sex</v>
      </c>
      <c r="X13" s="336">
        <f t="shared" si="3"/>
        <v>25065.279999999999</v>
      </c>
      <c r="Z13" s="325" t="s">
        <v>1080</v>
      </c>
      <c r="AA13" s="331">
        <f>I3</f>
        <v>0</v>
      </c>
    </row>
    <row r="14" spans="1:27" x14ac:dyDescent="0.3">
      <c r="A14" s="481" t="s">
        <v>744</v>
      </c>
      <c r="B14" s="482" t="s">
        <v>1081</v>
      </c>
      <c r="C14" s="483">
        <v>46145</v>
      </c>
      <c r="D14" s="485">
        <v>1933.39</v>
      </c>
      <c r="F14" s="333">
        <v>11</v>
      </c>
      <c r="G14" s="338" t="str">
        <f t="shared" si="0"/>
        <v>11/04/2026</v>
      </c>
      <c r="H14" s="335" t="str">
        <f t="shared" si="4"/>
        <v>sáb</v>
      </c>
      <c r="I14" s="306">
        <f t="shared" si="5"/>
        <v>0</v>
      </c>
      <c r="J14" s="337"/>
      <c r="K14" s="333">
        <v>11</v>
      </c>
      <c r="L14" s="334" t="str">
        <f t="shared" si="6"/>
        <v>11/05/2026</v>
      </c>
      <c r="M14" s="335" t="str">
        <f t="shared" si="7"/>
        <v>seg</v>
      </c>
      <c r="N14" s="306">
        <f t="shared" si="1"/>
        <v>28818.240000000005</v>
      </c>
      <c r="O14" s="337"/>
      <c r="P14" s="333">
        <v>11</v>
      </c>
      <c r="Q14" s="334" t="str">
        <f t="shared" si="8"/>
        <v>11/06/2026</v>
      </c>
      <c r="R14" s="335" t="str">
        <f t="shared" si="9"/>
        <v>qui</v>
      </c>
      <c r="S14" s="336">
        <f t="shared" si="2"/>
        <v>7281.2199999999993</v>
      </c>
      <c r="T14" s="337"/>
      <c r="U14" s="333">
        <v>11</v>
      </c>
      <c r="V14" s="334" t="str">
        <f t="shared" si="10"/>
        <v>11/07/2026</v>
      </c>
      <c r="W14" s="335" t="str">
        <f t="shared" si="11"/>
        <v>sáb</v>
      </c>
      <c r="X14" s="306">
        <f t="shared" si="3"/>
        <v>2082.12</v>
      </c>
      <c r="Z14" s="323"/>
      <c r="AA14" s="330"/>
    </row>
    <row r="15" spans="1:27" x14ac:dyDescent="0.3">
      <c r="A15" s="481" t="s">
        <v>1082</v>
      </c>
      <c r="B15" s="482" t="s">
        <v>1083</v>
      </c>
      <c r="C15" s="483">
        <v>46145</v>
      </c>
      <c r="D15" s="485">
        <v>3513.53</v>
      </c>
      <c r="F15" s="333">
        <v>12</v>
      </c>
      <c r="G15" s="338" t="str">
        <f t="shared" si="0"/>
        <v>12/04/2026</v>
      </c>
      <c r="H15" s="335" t="str">
        <f t="shared" si="4"/>
        <v>dom</v>
      </c>
      <c r="I15" s="306">
        <f t="shared" si="5"/>
        <v>0</v>
      </c>
      <c r="J15" s="337"/>
      <c r="K15" s="333">
        <v>12</v>
      </c>
      <c r="L15" s="334" t="str">
        <f t="shared" si="6"/>
        <v>12/05/2026</v>
      </c>
      <c r="M15" s="335" t="str">
        <f t="shared" si="7"/>
        <v>ter</v>
      </c>
      <c r="N15" s="336">
        <f t="shared" si="1"/>
        <v>12917.25</v>
      </c>
      <c r="O15" s="337"/>
      <c r="P15" s="333">
        <v>12</v>
      </c>
      <c r="Q15" s="334" t="str">
        <f t="shared" si="8"/>
        <v>12/06/2026</v>
      </c>
      <c r="R15" s="335" t="str">
        <f t="shared" si="9"/>
        <v>sex</v>
      </c>
      <c r="S15" s="336">
        <f t="shared" si="2"/>
        <v>7439.9</v>
      </c>
      <c r="T15" s="337"/>
      <c r="U15" s="333">
        <v>12</v>
      </c>
      <c r="V15" s="334" t="str">
        <f t="shared" si="10"/>
        <v>12/07/2026</v>
      </c>
      <c r="W15" s="335" t="str">
        <f t="shared" si="11"/>
        <v>dom</v>
      </c>
      <c r="X15" s="306">
        <f t="shared" si="3"/>
        <v>502.29</v>
      </c>
    </row>
    <row r="16" spans="1:27" x14ac:dyDescent="0.3">
      <c r="A16" s="481" t="s">
        <v>58</v>
      </c>
      <c r="B16" s="482" t="s">
        <v>1084</v>
      </c>
      <c r="C16" s="483">
        <v>46146</v>
      </c>
      <c r="D16" s="485">
        <v>2654.51</v>
      </c>
      <c r="F16" s="333">
        <v>13</v>
      </c>
      <c r="G16" s="338" t="str">
        <f t="shared" si="0"/>
        <v>13/04/2026</v>
      </c>
      <c r="H16" s="335" t="str">
        <f t="shared" si="4"/>
        <v>seg</v>
      </c>
      <c r="I16" s="306">
        <f t="shared" si="5"/>
        <v>0</v>
      </c>
      <c r="J16" s="337"/>
      <c r="K16" s="333">
        <v>13</v>
      </c>
      <c r="L16" s="334" t="str">
        <f t="shared" si="6"/>
        <v>13/05/2026</v>
      </c>
      <c r="M16" s="335" t="str">
        <f t="shared" si="7"/>
        <v>qua</v>
      </c>
      <c r="N16" s="336">
        <f t="shared" si="1"/>
        <v>7774.67</v>
      </c>
      <c r="O16" s="337"/>
      <c r="P16" s="333">
        <v>13</v>
      </c>
      <c r="Q16" s="334" t="str">
        <f t="shared" si="8"/>
        <v>13/06/2026</v>
      </c>
      <c r="R16" s="335" t="str">
        <f t="shared" si="9"/>
        <v>sáb</v>
      </c>
      <c r="S16" s="306">
        <f t="shared" si="2"/>
        <v>6558.66</v>
      </c>
      <c r="T16" s="337"/>
      <c r="U16" s="333">
        <v>13</v>
      </c>
      <c r="V16" s="334" t="str">
        <f t="shared" si="10"/>
        <v>13/07/2026</v>
      </c>
      <c r="W16" s="335" t="str">
        <f t="shared" si="11"/>
        <v>seg</v>
      </c>
      <c r="X16" s="306">
        <f t="shared" si="3"/>
        <v>9180.5300000000007</v>
      </c>
    </row>
    <row r="17" spans="1:27" x14ac:dyDescent="0.3">
      <c r="A17" s="481" t="s">
        <v>282</v>
      </c>
      <c r="B17" s="482">
        <v>489350</v>
      </c>
      <c r="C17" s="483">
        <v>46146</v>
      </c>
      <c r="D17" s="485">
        <v>3504.91</v>
      </c>
      <c r="F17" s="333">
        <v>14</v>
      </c>
      <c r="G17" s="338" t="str">
        <f t="shared" si="0"/>
        <v>14/04/2026</v>
      </c>
      <c r="H17" s="335" t="str">
        <f t="shared" si="4"/>
        <v>ter</v>
      </c>
      <c r="I17" s="336">
        <f t="shared" si="5"/>
        <v>0</v>
      </c>
      <c r="J17" s="337"/>
      <c r="K17" s="333">
        <v>14</v>
      </c>
      <c r="L17" s="334" t="str">
        <f t="shared" si="6"/>
        <v>14/05/2026</v>
      </c>
      <c r="M17" s="335" t="str">
        <f t="shared" si="7"/>
        <v>qui</v>
      </c>
      <c r="N17" s="336">
        <f t="shared" si="1"/>
        <v>7468.85</v>
      </c>
      <c r="O17" s="337"/>
      <c r="P17" s="333">
        <v>14</v>
      </c>
      <c r="Q17" s="334" t="str">
        <f t="shared" si="8"/>
        <v>14/06/2026</v>
      </c>
      <c r="R17" s="335" t="str">
        <f t="shared" si="9"/>
        <v>dom</v>
      </c>
      <c r="S17" s="306">
        <f t="shared" si="2"/>
        <v>38173.42</v>
      </c>
      <c r="T17" s="337"/>
      <c r="U17" s="333">
        <v>14</v>
      </c>
      <c r="V17" s="334" t="str">
        <f t="shared" si="10"/>
        <v>14/07/2026</v>
      </c>
      <c r="W17" s="335" t="str">
        <f t="shared" si="11"/>
        <v>ter</v>
      </c>
      <c r="X17" s="336">
        <f t="shared" si="3"/>
        <v>40160.93</v>
      </c>
      <c r="Z17" t="s">
        <v>1056</v>
      </c>
      <c r="AA17" s="339">
        <v>1173693.2300000023</v>
      </c>
    </row>
    <row r="18" spans="1:27" x14ac:dyDescent="0.3">
      <c r="A18" s="481" t="s">
        <v>241</v>
      </c>
      <c r="B18" s="482" t="s">
        <v>1085</v>
      </c>
      <c r="C18" s="483">
        <v>46147</v>
      </c>
      <c r="D18" s="485">
        <v>3906.98</v>
      </c>
      <c r="F18" s="333">
        <v>15</v>
      </c>
      <c r="G18" s="338" t="str">
        <f t="shared" si="0"/>
        <v>15/04/2026</v>
      </c>
      <c r="H18" s="335" t="str">
        <f t="shared" si="4"/>
        <v>qua</v>
      </c>
      <c r="I18" s="336">
        <f t="shared" si="5"/>
        <v>0</v>
      </c>
      <c r="J18" s="337"/>
      <c r="K18" s="333">
        <v>15</v>
      </c>
      <c r="L18" s="334" t="str">
        <f t="shared" si="6"/>
        <v>15/05/2026</v>
      </c>
      <c r="M18" s="335" t="str">
        <f t="shared" si="7"/>
        <v>sex</v>
      </c>
      <c r="N18" s="347">
        <f t="shared" si="1"/>
        <v>48103.74</v>
      </c>
      <c r="O18" s="337"/>
      <c r="P18" s="333">
        <v>15</v>
      </c>
      <c r="Q18" s="334" t="str">
        <f t="shared" si="8"/>
        <v>15/06/2026</v>
      </c>
      <c r="R18" s="335" t="str">
        <f t="shared" si="9"/>
        <v>seg</v>
      </c>
      <c r="S18" s="306">
        <f t="shared" si="2"/>
        <v>32191.7</v>
      </c>
      <c r="T18" s="337"/>
      <c r="U18" s="333">
        <v>15</v>
      </c>
      <c r="V18" s="334" t="str">
        <f t="shared" si="10"/>
        <v>15/07/2026</v>
      </c>
      <c r="W18" s="335" t="str">
        <f t="shared" si="11"/>
        <v>qua</v>
      </c>
      <c r="X18" s="336">
        <f t="shared" si="3"/>
        <v>15838.32</v>
      </c>
      <c r="Z18" t="s">
        <v>792</v>
      </c>
      <c r="AA18" s="301">
        <v>495096.19000000029</v>
      </c>
    </row>
    <row r="19" spans="1:27" x14ac:dyDescent="0.3">
      <c r="A19" s="481" t="s">
        <v>58</v>
      </c>
      <c r="B19" s="482" t="s">
        <v>1086</v>
      </c>
      <c r="C19" s="483">
        <v>46147</v>
      </c>
      <c r="D19" s="485">
        <v>4288.74</v>
      </c>
      <c r="F19" s="333">
        <v>16</v>
      </c>
      <c r="G19" s="338" t="str">
        <f t="shared" si="0"/>
        <v>16/04/2026</v>
      </c>
      <c r="H19" s="335" t="str">
        <f t="shared" si="4"/>
        <v>qui</v>
      </c>
      <c r="I19" s="336">
        <f t="shared" si="5"/>
        <v>0</v>
      </c>
      <c r="J19" s="337"/>
      <c r="K19" s="333">
        <v>16</v>
      </c>
      <c r="L19" s="334" t="str">
        <f t="shared" si="6"/>
        <v>16/05/2026</v>
      </c>
      <c r="M19" s="335" t="str">
        <f t="shared" si="7"/>
        <v>sáb</v>
      </c>
      <c r="N19" s="306">
        <f t="shared" si="1"/>
        <v>33750.5</v>
      </c>
      <c r="O19" s="337"/>
      <c r="P19" s="333">
        <v>16</v>
      </c>
      <c r="Q19" s="334" t="str">
        <f t="shared" si="8"/>
        <v>16/06/2026</v>
      </c>
      <c r="R19" s="335" t="str">
        <f t="shared" si="9"/>
        <v>ter</v>
      </c>
      <c r="S19" s="336">
        <f t="shared" si="2"/>
        <v>3087.6099999999997</v>
      </c>
      <c r="T19" s="337"/>
      <c r="U19" s="333">
        <v>16</v>
      </c>
      <c r="V19" s="334" t="str">
        <f t="shared" si="10"/>
        <v>16/07/2026</v>
      </c>
      <c r="W19" s="335" t="str">
        <f t="shared" si="11"/>
        <v>qui</v>
      </c>
      <c r="X19" s="336">
        <f t="shared" si="3"/>
        <v>1100.43</v>
      </c>
      <c r="Z19" t="s">
        <v>240</v>
      </c>
      <c r="AA19" s="301">
        <v>35946</v>
      </c>
    </row>
    <row r="20" spans="1:27" x14ac:dyDescent="0.3">
      <c r="A20" s="481" t="s">
        <v>1087</v>
      </c>
      <c r="B20" s="482" t="s">
        <v>1088</v>
      </c>
      <c r="C20" s="483">
        <v>46147</v>
      </c>
      <c r="D20" s="485">
        <v>707.16</v>
      </c>
      <c r="F20" s="333">
        <v>17</v>
      </c>
      <c r="G20" s="338" t="str">
        <f t="shared" si="0"/>
        <v>17/04/2026</v>
      </c>
      <c r="H20" s="335" t="str">
        <f t="shared" si="4"/>
        <v>sex</v>
      </c>
      <c r="I20" s="336">
        <f t="shared" si="5"/>
        <v>0</v>
      </c>
      <c r="J20" s="337"/>
      <c r="K20" s="333">
        <v>17</v>
      </c>
      <c r="L20" s="334" t="str">
        <f t="shared" si="6"/>
        <v>17/05/2026</v>
      </c>
      <c r="M20" s="335" t="str">
        <f t="shared" si="7"/>
        <v>dom</v>
      </c>
      <c r="N20" s="306">
        <f t="shared" si="1"/>
        <v>1100.1099999999999</v>
      </c>
      <c r="O20" s="337"/>
      <c r="P20" s="333">
        <v>17</v>
      </c>
      <c r="Q20" s="334" t="str">
        <f t="shared" si="8"/>
        <v>17/06/2026</v>
      </c>
      <c r="R20" s="335" t="str">
        <f t="shared" si="9"/>
        <v>qua</v>
      </c>
      <c r="S20" s="336">
        <f t="shared" si="2"/>
        <v>11429.64</v>
      </c>
      <c r="T20" s="337"/>
      <c r="U20" s="333">
        <v>17</v>
      </c>
      <c r="V20" s="334" t="str">
        <f t="shared" si="10"/>
        <v>17/07/2026</v>
      </c>
      <c r="W20" s="335" t="str">
        <f t="shared" si="11"/>
        <v>sex</v>
      </c>
      <c r="X20" s="336">
        <f t="shared" si="3"/>
        <v>0</v>
      </c>
      <c r="Z20" t="s">
        <v>242</v>
      </c>
      <c r="AA20" s="301">
        <v>8269.48</v>
      </c>
    </row>
    <row r="21" spans="1:27" x14ac:dyDescent="0.3">
      <c r="A21" s="481" t="s">
        <v>1089</v>
      </c>
      <c r="B21" s="484">
        <v>46025</v>
      </c>
      <c r="C21" s="483">
        <v>46147</v>
      </c>
      <c r="D21" s="485">
        <v>144.56</v>
      </c>
      <c r="F21" s="333">
        <v>18</v>
      </c>
      <c r="G21" s="338" t="str">
        <f t="shared" si="0"/>
        <v>18/04/2026</v>
      </c>
      <c r="H21" s="335" t="str">
        <f t="shared" si="4"/>
        <v>sáb</v>
      </c>
      <c r="I21" s="306">
        <f t="shared" si="5"/>
        <v>0</v>
      </c>
      <c r="J21" s="337"/>
      <c r="K21" s="333">
        <v>18</v>
      </c>
      <c r="L21" s="334" t="str">
        <f t="shared" si="6"/>
        <v>18/05/2026</v>
      </c>
      <c r="M21" s="335" t="str">
        <f t="shared" si="7"/>
        <v>seg</v>
      </c>
      <c r="N21" s="306">
        <f t="shared" si="1"/>
        <v>8095.87</v>
      </c>
      <c r="O21" s="337"/>
      <c r="P21" s="333">
        <v>18</v>
      </c>
      <c r="Q21" s="334" t="str">
        <f t="shared" si="8"/>
        <v>18/06/2026</v>
      </c>
      <c r="R21" s="335" t="str">
        <f t="shared" si="9"/>
        <v>qui</v>
      </c>
      <c r="S21" s="336">
        <f t="shared" si="2"/>
        <v>10963.14</v>
      </c>
      <c r="T21" s="337"/>
      <c r="U21" s="333">
        <v>18</v>
      </c>
      <c r="V21" s="334" t="str">
        <f t="shared" si="10"/>
        <v>18/07/2026</v>
      </c>
      <c r="W21" s="335" t="str">
        <f t="shared" si="11"/>
        <v>sáb</v>
      </c>
      <c r="X21" s="306">
        <f t="shared" si="3"/>
        <v>2068.4700000000003</v>
      </c>
      <c r="Z21" t="s">
        <v>777</v>
      </c>
      <c r="AA21" s="301">
        <v>10247.679999999997</v>
      </c>
    </row>
    <row r="22" spans="1:27" x14ac:dyDescent="0.3">
      <c r="A22" s="481" t="s">
        <v>1090</v>
      </c>
      <c r="B22" s="482">
        <v>1668551</v>
      </c>
      <c r="C22" s="483">
        <v>46147</v>
      </c>
      <c r="D22" s="485">
        <v>1546.09</v>
      </c>
      <c r="F22" s="333">
        <v>19</v>
      </c>
      <c r="G22" s="338" t="str">
        <f t="shared" si="0"/>
        <v>19/04/2026</v>
      </c>
      <c r="H22" s="335" t="str">
        <f t="shared" si="4"/>
        <v>dom</v>
      </c>
      <c r="I22" s="306">
        <f t="shared" si="5"/>
        <v>0</v>
      </c>
      <c r="J22" s="337"/>
      <c r="K22" s="333">
        <v>19</v>
      </c>
      <c r="L22" s="334" t="str">
        <f t="shared" si="6"/>
        <v>19/05/2026</v>
      </c>
      <c r="M22" s="335" t="str">
        <f t="shared" si="7"/>
        <v>ter</v>
      </c>
      <c r="N22" s="336">
        <f t="shared" si="1"/>
        <v>19055.89</v>
      </c>
      <c r="O22" s="337"/>
      <c r="P22" s="333">
        <v>19</v>
      </c>
      <c r="Q22" s="334" t="str">
        <f t="shared" si="8"/>
        <v>19/06/2026</v>
      </c>
      <c r="R22" s="335" t="str">
        <f t="shared" si="9"/>
        <v>sex</v>
      </c>
      <c r="S22" s="336">
        <f t="shared" si="2"/>
        <v>2058.96</v>
      </c>
      <c r="T22" s="337"/>
      <c r="U22" s="333">
        <v>19</v>
      </c>
      <c r="V22" s="334" t="str">
        <f t="shared" si="10"/>
        <v>19/07/2026</v>
      </c>
      <c r="W22" s="335" t="str">
        <f t="shared" si="11"/>
        <v>dom</v>
      </c>
      <c r="X22" s="306">
        <f t="shared" si="3"/>
        <v>2058.96</v>
      </c>
      <c r="Z22" t="s">
        <v>216</v>
      </c>
      <c r="AA22" s="301">
        <v>31700</v>
      </c>
    </row>
    <row r="23" spans="1:27" x14ac:dyDescent="0.3">
      <c r="A23" s="481" t="s">
        <v>1091</v>
      </c>
      <c r="B23" s="482" t="s">
        <v>1092</v>
      </c>
      <c r="C23" s="483">
        <v>46147</v>
      </c>
      <c r="D23" s="485">
        <v>405.65</v>
      </c>
      <c r="F23" s="333">
        <v>20</v>
      </c>
      <c r="G23" s="338" t="str">
        <f t="shared" si="0"/>
        <v>20/04/2026</v>
      </c>
      <c r="H23" s="335" t="str">
        <f t="shared" si="4"/>
        <v>seg</v>
      </c>
      <c r="I23" s="306">
        <f t="shared" si="5"/>
        <v>0</v>
      </c>
      <c r="J23" s="337"/>
      <c r="K23" s="333">
        <v>20</v>
      </c>
      <c r="L23" s="334" t="str">
        <f t="shared" si="6"/>
        <v>20/05/2026</v>
      </c>
      <c r="M23" s="335" t="str">
        <f t="shared" si="7"/>
        <v>qua</v>
      </c>
      <c r="N23" s="336">
        <f t="shared" si="1"/>
        <v>16446.169999999998</v>
      </c>
      <c r="O23" s="337"/>
      <c r="P23" s="333">
        <v>20</v>
      </c>
      <c r="Q23" s="334" t="str">
        <f t="shared" si="8"/>
        <v>20/06/2026</v>
      </c>
      <c r="R23" s="335" t="str">
        <f t="shared" si="9"/>
        <v>sáb</v>
      </c>
      <c r="S23" s="306">
        <f t="shared" si="2"/>
        <v>27118.37</v>
      </c>
      <c r="T23" s="337"/>
      <c r="U23" s="333">
        <v>20</v>
      </c>
      <c r="V23" s="334" t="str">
        <f t="shared" si="10"/>
        <v>20/07/2026</v>
      </c>
      <c r="W23" s="335" t="str">
        <f t="shared" si="11"/>
        <v>seg</v>
      </c>
      <c r="X23" s="306">
        <f t="shared" si="3"/>
        <v>7978.87</v>
      </c>
      <c r="Z23" t="s">
        <v>1072</v>
      </c>
      <c r="AA23" s="301">
        <v>1754952.5800000026</v>
      </c>
    </row>
    <row r="24" spans="1:27" x14ac:dyDescent="0.3">
      <c r="A24" s="481" t="s">
        <v>1093</v>
      </c>
      <c r="B24" s="482" t="s">
        <v>1094</v>
      </c>
      <c r="C24" s="483">
        <v>46147</v>
      </c>
      <c r="D24" s="485">
        <v>1046.56</v>
      </c>
      <c r="F24" s="333">
        <v>21</v>
      </c>
      <c r="G24" s="338" t="str">
        <f t="shared" si="0"/>
        <v>21/04/2026</v>
      </c>
      <c r="H24" s="335" t="str">
        <f t="shared" si="4"/>
        <v>ter</v>
      </c>
      <c r="I24" s="347">
        <f t="shared" si="5"/>
        <v>0</v>
      </c>
      <c r="J24" s="337"/>
      <c r="K24" s="333">
        <v>21</v>
      </c>
      <c r="L24" s="334" t="str">
        <f t="shared" si="6"/>
        <v>21/05/2026</v>
      </c>
      <c r="M24" s="335" t="str">
        <f t="shared" si="7"/>
        <v>qui</v>
      </c>
      <c r="N24" s="347">
        <f t="shared" si="1"/>
        <v>52788.480000000003</v>
      </c>
      <c r="O24" s="337"/>
      <c r="P24" s="333">
        <v>21</v>
      </c>
      <c r="Q24" s="334" t="str">
        <f t="shared" si="8"/>
        <v>21/06/2026</v>
      </c>
      <c r="R24" s="335" t="str">
        <f t="shared" si="9"/>
        <v>dom</v>
      </c>
      <c r="S24" s="306">
        <f t="shared" si="2"/>
        <v>3401.15</v>
      </c>
      <c r="T24" s="337"/>
      <c r="U24" s="333">
        <v>21</v>
      </c>
      <c r="V24" s="334" t="str">
        <f t="shared" si="10"/>
        <v>21/07/2026</v>
      </c>
      <c r="W24" s="335" t="str">
        <f t="shared" si="11"/>
        <v>ter</v>
      </c>
      <c r="X24" s="336">
        <f t="shared" si="3"/>
        <v>3401.12</v>
      </c>
    </row>
    <row r="25" spans="1:27" x14ac:dyDescent="0.3">
      <c r="A25" s="481" t="s">
        <v>738</v>
      </c>
      <c r="B25" s="482">
        <v>21002</v>
      </c>
      <c r="C25" s="483">
        <v>46148</v>
      </c>
      <c r="D25" s="485">
        <v>10284.719999999999</v>
      </c>
      <c r="F25" s="333">
        <v>22</v>
      </c>
      <c r="G25" s="338" t="str">
        <f t="shared" si="0"/>
        <v>22/04/2026</v>
      </c>
      <c r="H25" s="335" t="str">
        <f t="shared" si="4"/>
        <v>qua</v>
      </c>
      <c r="I25" s="336">
        <f t="shared" si="5"/>
        <v>0</v>
      </c>
      <c r="J25" s="337"/>
      <c r="K25" s="333">
        <v>22</v>
      </c>
      <c r="L25" s="334" t="str">
        <f t="shared" si="6"/>
        <v>22/05/2026</v>
      </c>
      <c r="M25" s="335" t="str">
        <f t="shared" si="7"/>
        <v>sex</v>
      </c>
      <c r="N25" s="336">
        <f t="shared" si="1"/>
        <v>5924.67</v>
      </c>
      <c r="O25" s="337"/>
      <c r="P25" s="333">
        <v>22</v>
      </c>
      <c r="Q25" s="334" t="str">
        <f t="shared" si="8"/>
        <v>22/06/2026</v>
      </c>
      <c r="R25" s="335" t="str">
        <f t="shared" si="9"/>
        <v>seg</v>
      </c>
      <c r="S25" s="306">
        <f t="shared" si="2"/>
        <v>29759.640000000003</v>
      </c>
      <c r="T25" s="337"/>
      <c r="U25" s="333">
        <v>22</v>
      </c>
      <c r="V25" s="334" t="str">
        <f t="shared" si="10"/>
        <v>22/07/2026</v>
      </c>
      <c r="W25" s="335" t="str">
        <f t="shared" si="11"/>
        <v>qua</v>
      </c>
      <c r="X25" s="336">
        <f t="shared" si="3"/>
        <v>21888.98</v>
      </c>
    </row>
    <row r="26" spans="1:27" x14ac:dyDescent="0.3">
      <c r="A26" s="481" t="s">
        <v>744</v>
      </c>
      <c r="B26" s="482" t="s">
        <v>1095</v>
      </c>
      <c r="C26" s="483">
        <v>46148</v>
      </c>
      <c r="D26" s="485">
        <v>431.2</v>
      </c>
      <c r="F26" s="333">
        <v>23</v>
      </c>
      <c r="G26" s="338" t="str">
        <f t="shared" si="0"/>
        <v>23/04/2026</v>
      </c>
      <c r="H26" s="335" t="str">
        <f t="shared" si="4"/>
        <v>qui</v>
      </c>
      <c r="I26" s="336">
        <f t="shared" si="5"/>
        <v>0</v>
      </c>
      <c r="J26" s="337"/>
      <c r="K26" s="333">
        <v>23</v>
      </c>
      <c r="L26" s="334" t="str">
        <f t="shared" si="6"/>
        <v>23/05/2026</v>
      </c>
      <c r="M26" s="335" t="str">
        <f t="shared" si="7"/>
        <v>sáb</v>
      </c>
      <c r="N26" s="306">
        <f t="shared" si="1"/>
        <v>46541.149999999994</v>
      </c>
      <c r="O26" s="337"/>
      <c r="P26" s="333">
        <v>23</v>
      </c>
      <c r="Q26" s="334" t="str">
        <f t="shared" si="8"/>
        <v>23/06/2026</v>
      </c>
      <c r="R26" s="335" t="str">
        <f t="shared" si="9"/>
        <v>ter</v>
      </c>
      <c r="S26" s="336">
        <f t="shared" si="2"/>
        <v>35136.550000000003</v>
      </c>
      <c r="T26" s="337"/>
      <c r="U26" s="333">
        <v>23</v>
      </c>
      <c r="V26" s="334" t="str">
        <f t="shared" si="10"/>
        <v>23/07/2026</v>
      </c>
      <c r="W26" s="335" t="str">
        <f t="shared" si="11"/>
        <v>qui</v>
      </c>
      <c r="X26" s="336">
        <f t="shared" si="3"/>
        <v>29929.84</v>
      </c>
      <c r="Z26" s="181"/>
    </row>
    <row r="27" spans="1:27" x14ac:dyDescent="0.3">
      <c r="A27" s="481" t="s">
        <v>744</v>
      </c>
      <c r="B27" s="482" t="s">
        <v>1096</v>
      </c>
      <c r="C27" s="483">
        <v>46149</v>
      </c>
      <c r="D27" s="485">
        <v>3024.7</v>
      </c>
      <c r="F27" s="333">
        <v>24</v>
      </c>
      <c r="G27" s="338" t="str">
        <f t="shared" si="0"/>
        <v>24/04/2026</v>
      </c>
      <c r="H27" s="335" t="str">
        <f t="shared" si="4"/>
        <v>sex</v>
      </c>
      <c r="I27" s="336">
        <f t="shared" si="5"/>
        <v>0</v>
      </c>
      <c r="J27" s="337"/>
      <c r="K27" s="333">
        <v>24</v>
      </c>
      <c r="L27" s="334" t="str">
        <f t="shared" si="6"/>
        <v>24/05/2026</v>
      </c>
      <c r="M27" s="335" t="str">
        <f t="shared" si="7"/>
        <v>dom</v>
      </c>
      <c r="N27" s="306">
        <f t="shared" si="1"/>
        <v>27578.46</v>
      </c>
      <c r="O27" s="337"/>
      <c r="P27" s="333">
        <v>24</v>
      </c>
      <c r="Q27" s="334" t="str">
        <f t="shared" si="8"/>
        <v>24/06/2026</v>
      </c>
      <c r="R27" s="335" t="str">
        <f t="shared" si="9"/>
        <v>qua</v>
      </c>
      <c r="S27" s="336">
        <f t="shared" si="2"/>
        <v>12786</v>
      </c>
      <c r="T27" s="337"/>
      <c r="U27" s="333">
        <v>24</v>
      </c>
      <c r="V27" s="334" t="str">
        <f t="shared" si="10"/>
        <v>24/07/2026</v>
      </c>
      <c r="W27" s="335" t="str">
        <f t="shared" si="11"/>
        <v>sex</v>
      </c>
      <c r="X27" s="336">
        <f t="shared" si="3"/>
        <v>12786</v>
      </c>
    </row>
    <row r="28" spans="1:27" x14ac:dyDescent="0.3">
      <c r="A28" s="481" t="s">
        <v>744</v>
      </c>
      <c r="B28" s="482" t="s">
        <v>1097</v>
      </c>
      <c r="C28" s="483">
        <v>46149</v>
      </c>
      <c r="D28" s="485">
        <v>5968.71</v>
      </c>
      <c r="F28" s="333">
        <v>25</v>
      </c>
      <c r="G28" s="338" t="str">
        <f t="shared" si="0"/>
        <v>25/04/2026</v>
      </c>
      <c r="H28" s="335" t="str">
        <f t="shared" si="4"/>
        <v>sáb</v>
      </c>
      <c r="I28" s="306">
        <f t="shared" si="5"/>
        <v>0</v>
      </c>
      <c r="J28" s="337"/>
      <c r="K28" s="333">
        <v>25</v>
      </c>
      <c r="L28" s="334" t="str">
        <f t="shared" si="6"/>
        <v>25/05/2026</v>
      </c>
      <c r="M28" s="335" t="str">
        <f t="shared" si="7"/>
        <v>seg</v>
      </c>
      <c r="N28" s="306">
        <f t="shared" si="1"/>
        <v>29002.69</v>
      </c>
      <c r="O28" s="337"/>
      <c r="P28" s="333">
        <v>25</v>
      </c>
      <c r="Q28" s="334" t="str">
        <f t="shared" si="8"/>
        <v>25/06/2026</v>
      </c>
      <c r="R28" s="335" t="str">
        <f t="shared" si="9"/>
        <v>qui</v>
      </c>
      <c r="S28" s="347">
        <f t="shared" si="2"/>
        <v>51193.299999999996</v>
      </c>
      <c r="T28" s="337"/>
      <c r="U28" s="333">
        <v>25</v>
      </c>
      <c r="V28" s="334" t="str">
        <f t="shared" si="10"/>
        <v>25/07/2026</v>
      </c>
      <c r="W28" s="335" t="str">
        <f t="shared" si="11"/>
        <v>sáb</v>
      </c>
      <c r="X28" s="306">
        <f t="shared" si="3"/>
        <v>46632.72</v>
      </c>
    </row>
    <row r="29" spans="1:27" x14ac:dyDescent="0.3">
      <c r="A29" s="481" t="s">
        <v>744</v>
      </c>
      <c r="B29" s="482" t="s">
        <v>1098</v>
      </c>
      <c r="C29" s="483">
        <v>46149</v>
      </c>
      <c r="D29" s="485">
        <v>2299.91</v>
      </c>
      <c r="F29" s="333">
        <v>26</v>
      </c>
      <c r="G29" s="338" t="str">
        <f t="shared" si="0"/>
        <v>26/04/2026</v>
      </c>
      <c r="H29" s="335" t="str">
        <f t="shared" si="4"/>
        <v>dom</v>
      </c>
      <c r="I29" s="306">
        <f t="shared" si="5"/>
        <v>0</v>
      </c>
      <c r="J29" s="337"/>
      <c r="K29" s="333">
        <v>26</v>
      </c>
      <c r="L29" s="334" t="str">
        <f t="shared" si="6"/>
        <v>26/05/2026</v>
      </c>
      <c r="M29" s="335" t="str">
        <f t="shared" si="7"/>
        <v>ter</v>
      </c>
      <c r="N29" s="347">
        <f t="shared" si="1"/>
        <v>44266.05</v>
      </c>
      <c r="O29" s="337"/>
      <c r="P29" s="333">
        <v>26</v>
      </c>
      <c r="Q29" s="334" t="str">
        <f t="shared" si="8"/>
        <v>26/06/2026</v>
      </c>
      <c r="R29" s="335" t="str">
        <f t="shared" si="9"/>
        <v>sex</v>
      </c>
      <c r="S29" s="336">
        <f t="shared" si="2"/>
        <v>13248.14</v>
      </c>
      <c r="T29" s="337"/>
      <c r="U29" s="333">
        <v>26</v>
      </c>
      <c r="V29" s="334" t="str">
        <f t="shared" si="10"/>
        <v>26/07/2026</v>
      </c>
      <c r="W29" s="335" t="str">
        <f t="shared" si="11"/>
        <v>dom</v>
      </c>
      <c r="X29" s="306">
        <f t="shared" si="3"/>
        <v>13248.160000000002</v>
      </c>
    </row>
    <row r="30" spans="1:27" x14ac:dyDescent="0.3">
      <c r="A30" s="481" t="s">
        <v>241</v>
      </c>
      <c r="B30" s="482" t="s">
        <v>1099</v>
      </c>
      <c r="C30" s="483">
        <v>46149</v>
      </c>
      <c r="D30" s="485">
        <v>2959.84</v>
      </c>
      <c r="F30" s="333">
        <v>27</v>
      </c>
      <c r="G30" s="338" t="str">
        <f t="shared" si="0"/>
        <v>27/04/2026</v>
      </c>
      <c r="H30" s="335" t="str">
        <f t="shared" si="4"/>
        <v>seg</v>
      </c>
      <c r="I30" s="306">
        <f t="shared" si="5"/>
        <v>0</v>
      </c>
      <c r="J30" s="337"/>
      <c r="K30" s="333">
        <v>27</v>
      </c>
      <c r="L30" s="334" t="str">
        <f t="shared" si="6"/>
        <v>27/05/2026</v>
      </c>
      <c r="M30" s="335" t="str">
        <f t="shared" si="7"/>
        <v>qua</v>
      </c>
      <c r="N30" s="336">
        <f t="shared" si="1"/>
        <v>21244.07</v>
      </c>
      <c r="O30" s="337"/>
      <c r="P30" s="333">
        <v>27</v>
      </c>
      <c r="Q30" s="334" t="str">
        <f t="shared" si="8"/>
        <v>27/06/2026</v>
      </c>
      <c r="R30" s="335" t="str">
        <f t="shared" si="9"/>
        <v>sáb</v>
      </c>
      <c r="S30" s="306">
        <f t="shared" si="2"/>
        <v>53497.31</v>
      </c>
      <c r="T30" s="337"/>
      <c r="U30" s="333">
        <v>27</v>
      </c>
      <c r="V30" s="334" t="str">
        <f t="shared" si="10"/>
        <v>27/07/2026</v>
      </c>
      <c r="W30" s="335" t="str">
        <f t="shared" si="11"/>
        <v>seg</v>
      </c>
      <c r="X30" s="306">
        <f t="shared" si="3"/>
        <v>55604.06</v>
      </c>
    </row>
    <row r="31" spans="1:27" x14ac:dyDescent="0.3">
      <c r="A31" s="481" t="s">
        <v>1100</v>
      </c>
      <c r="B31" s="482">
        <v>123825</v>
      </c>
      <c r="C31" s="483">
        <v>46149</v>
      </c>
      <c r="D31" s="485">
        <v>582.13</v>
      </c>
      <c r="F31" s="333">
        <v>28</v>
      </c>
      <c r="G31" s="338" t="str">
        <f t="shared" si="0"/>
        <v>28/04/2026</v>
      </c>
      <c r="H31" s="335" t="str">
        <f t="shared" si="4"/>
        <v>ter</v>
      </c>
      <c r="I31" s="336">
        <f t="shared" si="5"/>
        <v>0</v>
      </c>
      <c r="J31" s="337"/>
      <c r="K31" s="333">
        <v>28</v>
      </c>
      <c r="L31" s="334" t="str">
        <f t="shared" si="6"/>
        <v>28/05/2026</v>
      </c>
      <c r="M31" s="335" t="str">
        <f t="shared" si="7"/>
        <v>qui</v>
      </c>
      <c r="N31" s="336">
        <f t="shared" si="1"/>
        <v>53787.479999999996</v>
      </c>
      <c r="O31" s="337"/>
      <c r="P31" s="333">
        <v>28</v>
      </c>
      <c r="Q31" s="334" t="str">
        <f t="shared" si="8"/>
        <v>28/06/2026</v>
      </c>
      <c r="R31" s="335" t="str">
        <f t="shared" si="9"/>
        <v>dom</v>
      </c>
      <c r="S31" s="306">
        <f t="shared" si="2"/>
        <v>10333.94</v>
      </c>
      <c r="T31" s="337"/>
      <c r="U31" s="333">
        <v>28</v>
      </c>
      <c r="V31" s="334" t="str">
        <f t="shared" si="10"/>
        <v>28/07/2026</v>
      </c>
      <c r="W31" s="335" t="str">
        <f t="shared" si="11"/>
        <v>ter</v>
      </c>
      <c r="X31" s="336">
        <f t="shared" si="3"/>
        <v>3906.74</v>
      </c>
    </row>
    <row r="32" spans="1:27" x14ac:dyDescent="0.3">
      <c r="A32" s="481" t="s">
        <v>744</v>
      </c>
      <c r="B32" s="482" t="s">
        <v>1101</v>
      </c>
      <c r="C32" s="483">
        <v>46149</v>
      </c>
      <c r="D32" s="485">
        <v>632.30999999999995</v>
      </c>
      <c r="F32" s="333">
        <v>29</v>
      </c>
      <c r="G32" s="338" t="str">
        <f t="shared" si="0"/>
        <v>29/04/2026</v>
      </c>
      <c r="H32" s="335" t="str">
        <f t="shared" si="4"/>
        <v>qua</v>
      </c>
      <c r="I32" s="336">
        <f t="shared" si="5"/>
        <v>0</v>
      </c>
      <c r="J32" s="337"/>
      <c r="K32" s="333">
        <v>29</v>
      </c>
      <c r="L32" s="334" t="str">
        <f t="shared" si="6"/>
        <v>29/05/2026</v>
      </c>
      <c r="M32" s="335" t="str">
        <f t="shared" si="7"/>
        <v>sex</v>
      </c>
      <c r="N32" s="336">
        <f t="shared" si="1"/>
        <v>13798.54</v>
      </c>
      <c r="O32" s="337"/>
      <c r="P32" s="333">
        <v>29</v>
      </c>
      <c r="Q32" s="334" t="str">
        <f t="shared" si="8"/>
        <v>29/06/2026</v>
      </c>
      <c r="R32" s="335" t="str">
        <f t="shared" si="9"/>
        <v>seg</v>
      </c>
      <c r="S32" s="306">
        <f t="shared" si="2"/>
        <v>19284.550000000003</v>
      </c>
      <c r="T32" s="337"/>
      <c r="U32" s="333">
        <v>29</v>
      </c>
      <c r="V32" s="334" t="str">
        <f t="shared" si="10"/>
        <v>29/07/2026</v>
      </c>
      <c r="W32" s="335" t="str">
        <f t="shared" si="11"/>
        <v>qua</v>
      </c>
      <c r="X32" s="336">
        <f t="shared" si="3"/>
        <v>12737.92</v>
      </c>
    </row>
    <row r="33" spans="1:24" x14ac:dyDescent="0.3">
      <c r="A33" s="481" t="s">
        <v>241</v>
      </c>
      <c r="B33" s="482" t="s">
        <v>1102</v>
      </c>
      <c r="C33" s="483">
        <v>46149</v>
      </c>
      <c r="D33" s="485">
        <v>1775.9</v>
      </c>
      <c r="F33" s="333">
        <v>30</v>
      </c>
      <c r="G33" s="338" t="str">
        <f t="shared" si="0"/>
        <v>30/04/2026</v>
      </c>
      <c r="H33" s="335" t="str">
        <f t="shared" si="4"/>
        <v>qui</v>
      </c>
      <c r="I33" s="336">
        <f t="shared" si="5"/>
        <v>0</v>
      </c>
      <c r="J33" s="337"/>
      <c r="K33" s="333">
        <v>30</v>
      </c>
      <c r="L33" s="334" t="str">
        <f t="shared" si="6"/>
        <v>30/05/2026</v>
      </c>
      <c r="M33" s="335" t="str">
        <f t="shared" si="7"/>
        <v>sáb</v>
      </c>
      <c r="N33" s="306">
        <f t="shared" si="1"/>
        <v>17177.800000000003</v>
      </c>
      <c r="O33" s="337"/>
      <c r="P33" s="333">
        <v>30</v>
      </c>
      <c r="Q33" s="334" t="str">
        <f t="shared" si="8"/>
        <v>30/06/2026</v>
      </c>
      <c r="R33" s="335" t="str">
        <f t="shared" si="9"/>
        <v>ter</v>
      </c>
      <c r="S33" s="336">
        <f t="shared" si="2"/>
        <v>13434.050000000001</v>
      </c>
      <c r="T33" s="337"/>
      <c r="U33" s="333">
        <v>30</v>
      </c>
      <c r="V33" s="334" t="str">
        <f t="shared" si="10"/>
        <v>30/07/2026</v>
      </c>
      <c r="W33" s="335" t="str">
        <f t="shared" si="11"/>
        <v>qui</v>
      </c>
      <c r="X33" s="336">
        <f t="shared" si="3"/>
        <v>13434.03</v>
      </c>
    </row>
    <row r="34" spans="1:24" x14ac:dyDescent="0.3">
      <c r="A34" s="481" t="s">
        <v>1103</v>
      </c>
      <c r="B34" s="482">
        <v>403908</v>
      </c>
      <c r="C34" s="483">
        <v>46149</v>
      </c>
      <c r="D34" s="485">
        <v>2770.07</v>
      </c>
      <c r="F34" s="333">
        <v>31</v>
      </c>
      <c r="G34" s="338" t="str">
        <f t="shared" si="0"/>
        <v>31/04/2026</v>
      </c>
      <c r="H34" s="335" t="str">
        <f t="shared" si="4"/>
        <v>31/04/2026</v>
      </c>
      <c r="I34" s="336">
        <f t="shared" si="5"/>
        <v>0</v>
      </c>
      <c r="J34" s="337"/>
      <c r="K34" s="333">
        <v>31</v>
      </c>
      <c r="L34" s="334" t="str">
        <f t="shared" si="6"/>
        <v>31/05/2026</v>
      </c>
      <c r="M34" s="335" t="str">
        <f t="shared" si="7"/>
        <v>dom</v>
      </c>
      <c r="N34" s="306">
        <f t="shared" si="1"/>
        <v>10030.290000000001</v>
      </c>
      <c r="O34" s="337"/>
      <c r="P34" s="333">
        <v>31</v>
      </c>
      <c r="Q34" s="334" t="str">
        <f t="shared" si="8"/>
        <v>31/06/2026</v>
      </c>
      <c r="R34" s="335" t="str">
        <f t="shared" si="9"/>
        <v>31/06/2026</v>
      </c>
      <c r="S34" s="336">
        <f t="shared" si="2"/>
        <v>0</v>
      </c>
      <c r="T34" s="337"/>
      <c r="U34" s="333">
        <v>31</v>
      </c>
      <c r="V34" s="334" t="str">
        <f t="shared" si="10"/>
        <v>31/07/2026</v>
      </c>
      <c r="W34" s="335" t="str">
        <f t="shared" si="11"/>
        <v>sex</v>
      </c>
      <c r="X34" s="336">
        <f t="shared" si="3"/>
        <v>10842</v>
      </c>
    </row>
    <row r="35" spans="1:24" x14ac:dyDescent="0.3">
      <c r="A35" s="481" t="s">
        <v>289</v>
      </c>
      <c r="B35" s="482" t="s">
        <v>1104</v>
      </c>
      <c r="C35" s="483">
        <v>46149</v>
      </c>
      <c r="D35" s="485">
        <v>18093.310000000001</v>
      </c>
    </row>
    <row r="36" spans="1:24" x14ac:dyDescent="0.3">
      <c r="A36" s="481" t="s">
        <v>58</v>
      </c>
      <c r="B36" s="482" t="s">
        <v>1105</v>
      </c>
      <c r="C36" s="483">
        <v>46149</v>
      </c>
      <c r="D36" s="485">
        <v>4288.74</v>
      </c>
    </row>
    <row r="37" spans="1:24" x14ac:dyDescent="0.3">
      <c r="A37" s="481" t="s">
        <v>1106</v>
      </c>
      <c r="B37" s="482" t="s">
        <v>1107</v>
      </c>
      <c r="C37" s="483">
        <v>46149</v>
      </c>
      <c r="D37" s="485">
        <v>1463.18</v>
      </c>
    </row>
    <row r="38" spans="1:24" x14ac:dyDescent="0.3">
      <c r="A38" s="481" t="s">
        <v>270</v>
      </c>
      <c r="B38" s="482">
        <v>3097455</v>
      </c>
      <c r="C38" s="483">
        <v>46149</v>
      </c>
      <c r="D38" s="485">
        <v>83.72</v>
      </c>
    </row>
    <row r="39" spans="1:24" x14ac:dyDescent="0.3">
      <c r="A39" s="481" t="s">
        <v>207</v>
      </c>
      <c r="B39" s="482" t="s">
        <v>1108</v>
      </c>
      <c r="C39" s="483">
        <v>46149</v>
      </c>
      <c r="D39" s="485">
        <v>12247.5</v>
      </c>
    </row>
    <row r="40" spans="1:24" x14ac:dyDescent="0.3">
      <c r="A40" s="481" t="s">
        <v>1109</v>
      </c>
      <c r="B40" s="482">
        <v>700487653</v>
      </c>
      <c r="C40" s="483">
        <v>46149</v>
      </c>
      <c r="D40" s="485">
        <v>783.6</v>
      </c>
    </row>
    <row r="41" spans="1:24" x14ac:dyDescent="0.3">
      <c r="A41" s="481" t="s">
        <v>744</v>
      </c>
      <c r="B41" s="482" t="s">
        <v>1110</v>
      </c>
      <c r="C41" s="483">
        <v>46150</v>
      </c>
      <c r="D41" s="485">
        <v>1522.38</v>
      </c>
    </row>
    <row r="42" spans="1:24" x14ac:dyDescent="0.3">
      <c r="A42" s="481" t="s">
        <v>744</v>
      </c>
      <c r="B42" s="482" t="s">
        <v>1111</v>
      </c>
      <c r="C42" s="483">
        <v>46150</v>
      </c>
      <c r="D42" s="485">
        <v>5461.88</v>
      </c>
    </row>
    <row r="43" spans="1:24" x14ac:dyDescent="0.3">
      <c r="A43" s="481" t="s">
        <v>746</v>
      </c>
      <c r="B43" s="482" t="s">
        <v>1112</v>
      </c>
      <c r="C43" s="483">
        <v>46150</v>
      </c>
      <c r="D43" s="485">
        <v>1874.61</v>
      </c>
    </row>
    <row r="44" spans="1:24" x14ac:dyDescent="0.3">
      <c r="A44" s="481" t="s">
        <v>1113</v>
      </c>
      <c r="B44" s="482" t="s">
        <v>1114</v>
      </c>
      <c r="C44" s="483">
        <v>46150</v>
      </c>
      <c r="D44" s="485">
        <v>1033.0899999999999</v>
      </c>
    </row>
    <row r="45" spans="1:24" x14ac:dyDescent="0.3">
      <c r="A45" s="481" t="s">
        <v>292</v>
      </c>
      <c r="B45" s="482">
        <v>124209</v>
      </c>
      <c r="C45" s="483">
        <v>46150</v>
      </c>
      <c r="D45" s="485">
        <v>31.9</v>
      </c>
    </row>
    <row r="46" spans="1:24" x14ac:dyDescent="0.3">
      <c r="A46" s="481" t="s">
        <v>1115</v>
      </c>
      <c r="B46" s="482">
        <v>2604121753</v>
      </c>
      <c r="C46" s="483">
        <v>46150</v>
      </c>
      <c r="D46" s="485">
        <v>289.62</v>
      </c>
    </row>
    <row r="47" spans="1:24" x14ac:dyDescent="0.3">
      <c r="A47" s="481" t="s">
        <v>786</v>
      </c>
      <c r="B47" s="482" t="s">
        <v>1116</v>
      </c>
      <c r="C47" s="483">
        <v>46151</v>
      </c>
      <c r="D47" s="485">
        <v>4599.99</v>
      </c>
    </row>
    <row r="48" spans="1:24" x14ac:dyDescent="0.3">
      <c r="A48" s="481" t="s">
        <v>292</v>
      </c>
      <c r="B48" s="482">
        <v>124377</v>
      </c>
      <c r="C48" s="483">
        <v>46151</v>
      </c>
      <c r="D48" s="485">
        <v>142.22</v>
      </c>
    </row>
    <row r="49" spans="1:4" x14ac:dyDescent="0.3">
      <c r="A49" s="481" t="s">
        <v>786</v>
      </c>
      <c r="B49" s="482" t="s">
        <v>1117</v>
      </c>
      <c r="C49" s="483">
        <v>46151</v>
      </c>
      <c r="D49" s="485">
        <v>5663.99</v>
      </c>
    </row>
    <row r="50" spans="1:4" x14ac:dyDescent="0.3">
      <c r="A50" s="481" t="s">
        <v>1118</v>
      </c>
      <c r="B50" s="482" t="s">
        <v>1119</v>
      </c>
      <c r="C50" s="483">
        <v>46151</v>
      </c>
      <c r="D50" s="485">
        <v>1573.33</v>
      </c>
    </row>
    <row r="51" spans="1:4" x14ac:dyDescent="0.3">
      <c r="A51" s="481" t="s">
        <v>1078</v>
      </c>
      <c r="B51" s="482">
        <v>112701</v>
      </c>
      <c r="C51" s="483">
        <v>46151</v>
      </c>
      <c r="D51" s="485">
        <v>3941.28</v>
      </c>
    </row>
    <row r="52" spans="1:4" x14ac:dyDescent="0.3">
      <c r="A52" s="481" t="s">
        <v>738</v>
      </c>
      <c r="B52" s="482">
        <v>21502</v>
      </c>
      <c r="C52" s="483">
        <v>46152</v>
      </c>
      <c r="D52" s="485">
        <v>3496</v>
      </c>
    </row>
    <row r="53" spans="1:4" x14ac:dyDescent="0.3">
      <c r="A53" s="481" t="s">
        <v>1082</v>
      </c>
      <c r="B53" s="482" t="s">
        <v>1120</v>
      </c>
      <c r="C53" s="483">
        <v>46152</v>
      </c>
      <c r="D53" s="485">
        <v>3513.52</v>
      </c>
    </row>
    <row r="54" spans="1:4" x14ac:dyDescent="0.3">
      <c r="A54" s="481" t="s">
        <v>282</v>
      </c>
      <c r="B54" s="482">
        <v>48879801</v>
      </c>
      <c r="C54" s="483">
        <v>46152</v>
      </c>
      <c r="D54" s="485">
        <v>19816.59</v>
      </c>
    </row>
    <row r="55" spans="1:4" x14ac:dyDescent="0.3">
      <c r="A55" s="481" t="s">
        <v>777</v>
      </c>
      <c r="B55" s="482">
        <v>31384848</v>
      </c>
      <c r="C55" s="483">
        <v>46153</v>
      </c>
      <c r="D55" s="485">
        <v>569.32000000000005</v>
      </c>
    </row>
    <row r="56" spans="1:4" x14ac:dyDescent="0.3">
      <c r="A56" s="481" t="s">
        <v>777</v>
      </c>
      <c r="B56" s="482">
        <v>32425375</v>
      </c>
      <c r="C56" s="483">
        <v>46153</v>
      </c>
      <c r="D56" s="485">
        <v>569.32000000000005</v>
      </c>
    </row>
    <row r="57" spans="1:4" x14ac:dyDescent="0.3">
      <c r="A57" s="481" t="s">
        <v>789</v>
      </c>
      <c r="B57" s="482">
        <v>127582</v>
      </c>
      <c r="C57" s="483">
        <v>46153</v>
      </c>
      <c r="D57" s="485">
        <v>1757.28</v>
      </c>
    </row>
    <row r="58" spans="1:4" x14ac:dyDescent="0.3">
      <c r="A58" s="481" t="s">
        <v>1074</v>
      </c>
      <c r="B58" s="482" t="s">
        <v>1121</v>
      </c>
      <c r="C58" s="483">
        <v>46153</v>
      </c>
      <c r="D58" s="485">
        <v>6308.1</v>
      </c>
    </row>
    <row r="59" spans="1:4" x14ac:dyDescent="0.3">
      <c r="A59" s="481" t="s">
        <v>285</v>
      </c>
      <c r="B59" s="482" t="s">
        <v>1122</v>
      </c>
      <c r="C59" s="483">
        <v>46153</v>
      </c>
      <c r="D59" s="485">
        <v>14214.78</v>
      </c>
    </row>
    <row r="60" spans="1:4" x14ac:dyDescent="0.3">
      <c r="A60" s="481" t="s">
        <v>58</v>
      </c>
      <c r="B60" s="482" t="s">
        <v>1123</v>
      </c>
      <c r="C60" s="483">
        <v>46153</v>
      </c>
      <c r="D60" s="485">
        <v>1987.5</v>
      </c>
    </row>
    <row r="61" spans="1:4" x14ac:dyDescent="0.3">
      <c r="A61" s="481" t="s">
        <v>1100</v>
      </c>
      <c r="B61" s="482">
        <v>1236502</v>
      </c>
      <c r="C61" s="483">
        <v>46153</v>
      </c>
      <c r="D61" s="485">
        <v>757.43</v>
      </c>
    </row>
    <row r="62" spans="1:4" x14ac:dyDescent="0.3">
      <c r="A62" s="481" t="s">
        <v>58</v>
      </c>
      <c r="B62" s="482" t="s">
        <v>1124</v>
      </c>
      <c r="C62" s="483">
        <v>46153</v>
      </c>
      <c r="D62" s="485">
        <v>2654.51</v>
      </c>
    </row>
    <row r="63" spans="1:4" x14ac:dyDescent="0.3">
      <c r="A63" s="481" t="s">
        <v>241</v>
      </c>
      <c r="B63" s="482" t="s">
        <v>1125</v>
      </c>
      <c r="C63" s="483">
        <v>46154</v>
      </c>
      <c r="D63" s="485">
        <v>2959.84</v>
      </c>
    </row>
    <row r="64" spans="1:4" x14ac:dyDescent="0.3">
      <c r="A64" s="481" t="s">
        <v>1126</v>
      </c>
      <c r="B64" s="482" t="s">
        <v>1127</v>
      </c>
      <c r="C64" s="483">
        <v>46154</v>
      </c>
      <c r="D64" s="485">
        <v>2621.86</v>
      </c>
    </row>
    <row r="65" spans="1:4" x14ac:dyDescent="0.3">
      <c r="A65" s="481" t="s">
        <v>774</v>
      </c>
      <c r="B65" s="482" t="s">
        <v>1128</v>
      </c>
      <c r="C65" s="483">
        <v>46154</v>
      </c>
      <c r="D65" s="485">
        <v>2440.8200000000002</v>
      </c>
    </row>
    <row r="66" spans="1:4" x14ac:dyDescent="0.3">
      <c r="A66" s="481" t="s">
        <v>237</v>
      </c>
      <c r="B66" s="482">
        <v>1096562</v>
      </c>
      <c r="C66" s="483">
        <v>46154</v>
      </c>
      <c r="D66" s="485">
        <v>1235.6600000000001</v>
      </c>
    </row>
    <row r="67" spans="1:4" x14ac:dyDescent="0.3">
      <c r="A67" s="481" t="s">
        <v>1106</v>
      </c>
      <c r="B67" s="482" t="s">
        <v>1129</v>
      </c>
      <c r="C67" s="483">
        <v>46154</v>
      </c>
      <c r="D67" s="485">
        <v>3659.07</v>
      </c>
    </row>
    <row r="68" spans="1:4" x14ac:dyDescent="0.3">
      <c r="A68" s="481" t="s">
        <v>736</v>
      </c>
      <c r="B68" s="482" t="s">
        <v>1130</v>
      </c>
      <c r="C68" s="483">
        <v>46155</v>
      </c>
      <c r="D68" s="485">
        <v>1550.5</v>
      </c>
    </row>
    <row r="69" spans="1:4" x14ac:dyDescent="0.3">
      <c r="A69" s="481" t="s">
        <v>736</v>
      </c>
      <c r="B69" s="482" t="s">
        <v>1131</v>
      </c>
      <c r="C69" s="483">
        <v>46155</v>
      </c>
      <c r="D69" s="485">
        <v>448.5</v>
      </c>
    </row>
    <row r="70" spans="1:4" x14ac:dyDescent="0.3">
      <c r="A70" s="481" t="s">
        <v>736</v>
      </c>
      <c r="B70" s="482" t="s">
        <v>1132</v>
      </c>
      <c r="C70" s="483">
        <v>46155</v>
      </c>
      <c r="D70" s="485">
        <v>502.15</v>
      </c>
    </row>
    <row r="71" spans="1:4" x14ac:dyDescent="0.3">
      <c r="A71" s="481" t="s">
        <v>1082</v>
      </c>
      <c r="B71" s="482" t="s">
        <v>1133</v>
      </c>
      <c r="C71" s="483">
        <v>46155</v>
      </c>
      <c r="D71" s="485">
        <v>1768.61</v>
      </c>
    </row>
    <row r="72" spans="1:4" x14ac:dyDescent="0.3">
      <c r="A72" s="481" t="s">
        <v>282</v>
      </c>
      <c r="B72" s="482">
        <v>490923</v>
      </c>
      <c r="C72" s="483">
        <v>46155</v>
      </c>
      <c r="D72" s="485">
        <v>3504.91</v>
      </c>
    </row>
    <row r="73" spans="1:4" x14ac:dyDescent="0.3">
      <c r="A73" s="481" t="s">
        <v>292</v>
      </c>
      <c r="B73" s="482">
        <v>124957</v>
      </c>
      <c r="C73" s="483">
        <v>46156</v>
      </c>
      <c r="D73" s="485">
        <v>37</v>
      </c>
    </row>
    <row r="74" spans="1:4" x14ac:dyDescent="0.3">
      <c r="A74" s="481" t="s">
        <v>1118</v>
      </c>
      <c r="B74" s="482" t="s">
        <v>1134</v>
      </c>
      <c r="C74" s="483">
        <v>46156</v>
      </c>
      <c r="D74" s="485">
        <v>2674.66</v>
      </c>
    </row>
    <row r="75" spans="1:4" x14ac:dyDescent="0.3">
      <c r="A75" s="481" t="s">
        <v>289</v>
      </c>
      <c r="B75" s="482" t="s">
        <v>1135</v>
      </c>
      <c r="C75" s="483">
        <v>46156</v>
      </c>
      <c r="D75" s="485">
        <v>2066.66</v>
      </c>
    </row>
    <row r="76" spans="1:4" x14ac:dyDescent="0.3">
      <c r="A76" s="481" t="s">
        <v>241</v>
      </c>
      <c r="B76" s="482" t="s">
        <v>1136</v>
      </c>
      <c r="C76" s="483">
        <v>46156</v>
      </c>
      <c r="D76" s="485">
        <v>1817.34</v>
      </c>
    </row>
    <row r="77" spans="1:4" x14ac:dyDescent="0.3">
      <c r="A77" s="481" t="s">
        <v>1100</v>
      </c>
      <c r="B77" s="482">
        <v>123920</v>
      </c>
      <c r="C77" s="483">
        <v>46156</v>
      </c>
      <c r="D77" s="485">
        <v>873.19</v>
      </c>
    </row>
    <row r="78" spans="1:4" x14ac:dyDescent="0.3">
      <c r="A78" s="481" t="s">
        <v>746</v>
      </c>
      <c r="B78" s="482" t="s">
        <v>1137</v>
      </c>
      <c r="C78" s="483">
        <v>46157</v>
      </c>
      <c r="D78" s="485">
        <v>2800.65</v>
      </c>
    </row>
    <row r="79" spans="1:4" x14ac:dyDescent="0.3">
      <c r="A79" s="481" t="s">
        <v>736</v>
      </c>
      <c r="B79" s="482" t="s">
        <v>1138</v>
      </c>
      <c r="C79" s="483">
        <v>46157</v>
      </c>
      <c r="D79" s="485">
        <v>6549.03</v>
      </c>
    </row>
    <row r="80" spans="1:4" x14ac:dyDescent="0.3">
      <c r="A80" s="481" t="s">
        <v>1139</v>
      </c>
      <c r="B80" s="482">
        <v>48975401</v>
      </c>
      <c r="C80" s="483">
        <v>46157</v>
      </c>
      <c r="D80" s="485">
        <v>20373.919999999998</v>
      </c>
    </row>
    <row r="81" spans="1:4" x14ac:dyDescent="0.3">
      <c r="A81" s="481" t="s">
        <v>744</v>
      </c>
      <c r="B81" s="482" t="s">
        <v>1140</v>
      </c>
      <c r="C81" s="483">
        <v>46157</v>
      </c>
      <c r="D81" s="485">
        <v>1683.47</v>
      </c>
    </row>
    <row r="82" spans="1:4" x14ac:dyDescent="0.3">
      <c r="A82" s="481" t="s">
        <v>241</v>
      </c>
      <c r="B82" s="482" t="s">
        <v>1141</v>
      </c>
      <c r="C82" s="483">
        <v>46157</v>
      </c>
      <c r="D82" s="485">
        <v>2782.24</v>
      </c>
    </row>
    <row r="83" spans="1:4" x14ac:dyDescent="0.3">
      <c r="A83" s="481" t="s">
        <v>58</v>
      </c>
      <c r="B83" s="482" t="s">
        <v>1142</v>
      </c>
      <c r="C83" s="483">
        <v>46157</v>
      </c>
      <c r="D83" s="485">
        <v>4288.74</v>
      </c>
    </row>
    <row r="84" spans="1:4" x14ac:dyDescent="0.3">
      <c r="A84" s="481" t="s">
        <v>1103</v>
      </c>
      <c r="B84" s="482">
        <v>404580</v>
      </c>
      <c r="C84" s="483">
        <v>46157</v>
      </c>
      <c r="D84" s="485">
        <v>732.52</v>
      </c>
    </row>
    <row r="85" spans="1:4" x14ac:dyDescent="0.3">
      <c r="A85" s="481" t="s">
        <v>740</v>
      </c>
      <c r="B85" s="482">
        <v>1867031</v>
      </c>
      <c r="C85" s="483">
        <v>46157</v>
      </c>
      <c r="D85" s="485">
        <v>149.9</v>
      </c>
    </row>
    <row r="86" spans="1:4" x14ac:dyDescent="0.3">
      <c r="A86" s="481" t="s">
        <v>1143</v>
      </c>
      <c r="B86" s="482">
        <v>1691</v>
      </c>
      <c r="C86" s="483">
        <v>46157</v>
      </c>
      <c r="D86" s="485">
        <v>1159.4000000000001</v>
      </c>
    </row>
    <row r="87" spans="1:4" x14ac:dyDescent="0.3">
      <c r="A87" s="481" t="s">
        <v>1076</v>
      </c>
      <c r="B87" s="482">
        <v>126061</v>
      </c>
      <c r="C87" s="483">
        <v>46157</v>
      </c>
      <c r="D87" s="485">
        <v>4721.2</v>
      </c>
    </row>
    <row r="88" spans="1:4" x14ac:dyDescent="0.3">
      <c r="A88" s="481" t="s">
        <v>1078</v>
      </c>
      <c r="B88" s="482">
        <v>112731</v>
      </c>
      <c r="C88" s="483">
        <v>46157</v>
      </c>
      <c r="D88" s="485">
        <v>2064.48</v>
      </c>
    </row>
    <row r="89" spans="1:4" x14ac:dyDescent="0.3">
      <c r="A89" s="481" t="s">
        <v>1115</v>
      </c>
      <c r="B89" s="482">
        <v>2604162538</v>
      </c>
      <c r="C89" s="483">
        <v>46157</v>
      </c>
      <c r="D89" s="485">
        <v>798.19</v>
      </c>
    </row>
    <row r="90" spans="1:4" x14ac:dyDescent="0.3">
      <c r="A90" s="481" t="s">
        <v>744</v>
      </c>
      <c r="B90" s="482" t="s">
        <v>1144</v>
      </c>
      <c r="C90" s="483">
        <v>46158</v>
      </c>
      <c r="D90" s="485">
        <v>2911.3</v>
      </c>
    </row>
    <row r="91" spans="1:4" x14ac:dyDescent="0.3">
      <c r="A91" s="481" t="s">
        <v>736</v>
      </c>
      <c r="B91" s="482" t="s">
        <v>1145</v>
      </c>
      <c r="C91" s="483">
        <v>46158</v>
      </c>
      <c r="D91" s="485">
        <v>826.62</v>
      </c>
    </row>
    <row r="92" spans="1:4" x14ac:dyDescent="0.3">
      <c r="A92" s="481" t="s">
        <v>744</v>
      </c>
      <c r="B92" s="482" t="s">
        <v>1146</v>
      </c>
      <c r="C92" s="483">
        <v>46158</v>
      </c>
      <c r="D92" s="485">
        <v>3005.1</v>
      </c>
    </row>
    <row r="93" spans="1:4" x14ac:dyDescent="0.3">
      <c r="A93" s="481" t="s">
        <v>289</v>
      </c>
      <c r="B93" s="482" t="s">
        <v>1147</v>
      </c>
      <c r="C93" s="483">
        <v>46158</v>
      </c>
      <c r="D93" s="485">
        <v>5663.99</v>
      </c>
    </row>
    <row r="94" spans="1:4" x14ac:dyDescent="0.3">
      <c r="A94" s="481" t="s">
        <v>786</v>
      </c>
      <c r="B94" s="482" t="s">
        <v>1148</v>
      </c>
      <c r="C94" s="483">
        <v>46158</v>
      </c>
      <c r="D94" s="485">
        <v>3199.68</v>
      </c>
    </row>
    <row r="95" spans="1:4" x14ac:dyDescent="0.3">
      <c r="A95" s="481" t="s">
        <v>289</v>
      </c>
      <c r="B95" s="482" t="s">
        <v>1149</v>
      </c>
      <c r="C95" s="483">
        <v>46158</v>
      </c>
      <c r="D95" s="485">
        <v>3199.68</v>
      </c>
    </row>
    <row r="96" spans="1:4" x14ac:dyDescent="0.3">
      <c r="A96" s="481" t="s">
        <v>786</v>
      </c>
      <c r="B96" s="482" t="s">
        <v>1150</v>
      </c>
      <c r="C96" s="483">
        <v>46158</v>
      </c>
      <c r="D96" s="485">
        <v>1888</v>
      </c>
    </row>
    <row r="97" spans="1:4" x14ac:dyDescent="0.3">
      <c r="A97" s="481" t="s">
        <v>1151</v>
      </c>
      <c r="B97" s="482">
        <v>3198</v>
      </c>
      <c r="C97" s="483">
        <v>46158</v>
      </c>
      <c r="D97" s="485">
        <v>616</v>
      </c>
    </row>
    <row r="98" spans="1:4" x14ac:dyDescent="0.3">
      <c r="A98" s="481" t="s">
        <v>282</v>
      </c>
      <c r="B98" s="482">
        <v>64490001</v>
      </c>
      <c r="C98" s="483">
        <v>46158</v>
      </c>
      <c r="D98" s="485">
        <v>1462.56</v>
      </c>
    </row>
    <row r="99" spans="1:4" x14ac:dyDescent="0.3">
      <c r="A99" s="481" t="s">
        <v>282</v>
      </c>
      <c r="B99" s="482">
        <v>48992401</v>
      </c>
      <c r="C99" s="483">
        <v>46158</v>
      </c>
      <c r="D99" s="485">
        <v>3095.01</v>
      </c>
    </row>
    <row r="100" spans="1:4" x14ac:dyDescent="0.3">
      <c r="A100" s="481" t="s">
        <v>1078</v>
      </c>
      <c r="B100" s="482">
        <v>112761</v>
      </c>
      <c r="C100" s="483">
        <v>46158</v>
      </c>
      <c r="D100" s="485">
        <v>7882.56</v>
      </c>
    </row>
    <row r="101" spans="1:4" x14ac:dyDescent="0.3">
      <c r="A101" s="481" t="s">
        <v>736</v>
      </c>
      <c r="B101" s="482" t="s">
        <v>1152</v>
      </c>
      <c r="C101" s="483">
        <v>46159</v>
      </c>
      <c r="D101" s="485">
        <v>1100.1099999999999</v>
      </c>
    </row>
    <row r="102" spans="1:4" x14ac:dyDescent="0.3">
      <c r="A102" s="481" t="s">
        <v>240</v>
      </c>
      <c r="B102" s="482" t="s">
        <v>1092</v>
      </c>
      <c r="C102" s="483">
        <v>46160</v>
      </c>
      <c r="D102" s="485">
        <v>70</v>
      </c>
    </row>
    <row r="103" spans="1:4" x14ac:dyDescent="0.3">
      <c r="A103" s="481" t="s">
        <v>794</v>
      </c>
      <c r="B103" s="482" t="s">
        <v>1153</v>
      </c>
      <c r="C103" s="483">
        <v>46160</v>
      </c>
      <c r="D103" s="485">
        <v>1359.21</v>
      </c>
    </row>
    <row r="104" spans="1:4" x14ac:dyDescent="0.3">
      <c r="A104" s="481" t="s">
        <v>1154</v>
      </c>
      <c r="B104" s="482" t="s">
        <v>1155</v>
      </c>
      <c r="C104" s="483">
        <v>46160</v>
      </c>
      <c r="D104" s="485">
        <v>3333.33</v>
      </c>
    </row>
    <row r="105" spans="1:4" x14ac:dyDescent="0.3">
      <c r="A105" s="481" t="s">
        <v>1154</v>
      </c>
      <c r="B105" s="482" t="s">
        <v>1155</v>
      </c>
      <c r="C105" s="483">
        <v>46160</v>
      </c>
      <c r="D105" s="485">
        <v>3333.33</v>
      </c>
    </row>
    <row r="106" spans="1:4" x14ac:dyDescent="0.3">
      <c r="A106" s="481" t="s">
        <v>744</v>
      </c>
      <c r="B106" s="482" t="s">
        <v>1156</v>
      </c>
      <c r="C106" s="483">
        <v>46161</v>
      </c>
      <c r="D106" s="485">
        <v>3232.25</v>
      </c>
    </row>
    <row r="107" spans="1:4" x14ac:dyDescent="0.3">
      <c r="A107" s="481" t="s">
        <v>762</v>
      </c>
      <c r="B107" s="482" t="s">
        <v>1157</v>
      </c>
      <c r="C107" s="483">
        <v>46161</v>
      </c>
      <c r="D107" s="485">
        <v>6175.25</v>
      </c>
    </row>
    <row r="108" spans="1:4" x14ac:dyDescent="0.3">
      <c r="A108" s="481" t="s">
        <v>1158</v>
      </c>
      <c r="B108" s="482" t="s">
        <v>1159</v>
      </c>
      <c r="C108" s="483">
        <v>46161</v>
      </c>
      <c r="D108" s="485">
        <v>1998.45</v>
      </c>
    </row>
    <row r="109" spans="1:4" x14ac:dyDescent="0.3">
      <c r="A109" s="481" t="s">
        <v>1078</v>
      </c>
      <c r="B109" s="482">
        <v>112472</v>
      </c>
      <c r="C109" s="483">
        <v>46161</v>
      </c>
      <c r="D109" s="485">
        <v>5662.44</v>
      </c>
    </row>
    <row r="110" spans="1:4" x14ac:dyDescent="0.3">
      <c r="A110" s="481" t="s">
        <v>58</v>
      </c>
      <c r="B110" s="482" t="s">
        <v>1160</v>
      </c>
      <c r="C110" s="483">
        <v>46161</v>
      </c>
      <c r="D110" s="485">
        <v>1987.5</v>
      </c>
    </row>
    <row r="111" spans="1:4" x14ac:dyDescent="0.3">
      <c r="A111" s="481" t="s">
        <v>242</v>
      </c>
      <c r="B111" s="482" t="s">
        <v>1161</v>
      </c>
      <c r="C111" s="483">
        <v>46162</v>
      </c>
      <c r="D111" s="485">
        <v>2067.37</v>
      </c>
    </row>
    <row r="112" spans="1:4" x14ac:dyDescent="0.3">
      <c r="A112" s="481" t="s">
        <v>240</v>
      </c>
      <c r="B112" s="482" t="s">
        <v>1092</v>
      </c>
      <c r="C112" s="483">
        <v>46162</v>
      </c>
      <c r="D112" s="485">
        <v>3924</v>
      </c>
    </row>
    <row r="113" spans="1:4" x14ac:dyDescent="0.3">
      <c r="A113" s="481" t="s">
        <v>282</v>
      </c>
      <c r="B113" s="482">
        <v>51349204</v>
      </c>
      <c r="C113" s="483">
        <v>46162</v>
      </c>
      <c r="D113" s="485">
        <v>655</v>
      </c>
    </row>
    <row r="114" spans="1:4" x14ac:dyDescent="0.3">
      <c r="A114" s="481" t="s">
        <v>282</v>
      </c>
      <c r="B114" s="482">
        <v>51349304</v>
      </c>
      <c r="C114" s="483">
        <v>46162</v>
      </c>
      <c r="D114" s="485">
        <v>1372</v>
      </c>
    </row>
    <row r="115" spans="1:4" x14ac:dyDescent="0.3">
      <c r="A115" s="481" t="s">
        <v>1082</v>
      </c>
      <c r="B115" s="482" t="s">
        <v>1162</v>
      </c>
      <c r="C115" s="483">
        <v>46162</v>
      </c>
      <c r="D115" s="485">
        <v>1768.61</v>
      </c>
    </row>
    <row r="116" spans="1:4" x14ac:dyDescent="0.3">
      <c r="A116" s="481" t="s">
        <v>744</v>
      </c>
      <c r="B116" s="482" t="s">
        <v>1163</v>
      </c>
      <c r="C116" s="483">
        <v>46162</v>
      </c>
      <c r="D116" s="485">
        <v>2058.9499999999998</v>
      </c>
    </row>
    <row r="117" spans="1:4" x14ac:dyDescent="0.3">
      <c r="A117" s="481" t="s">
        <v>58</v>
      </c>
      <c r="B117" s="482" t="s">
        <v>1164</v>
      </c>
      <c r="C117" s="483">
        <v>46162</v>
      </c>
      <c r="D117" s="485">
        <v>4288.74</v>
      </c>
    </row>
    <row r="118" spans="1:4" x14ac:dyDescent="0.3">
      <c r="A118" s="481" t="s">
        <v>776</v>
      </c>
      <c r="B118" s="482">
        <v>795440596</v>
      </c>
      <c r="C118" s="483">
        <v>46162</v>
      </c>
      <c r="D118" s="485">
        <v>311.5</v>
      </c>
    </row>
    <row r="119" spans="1:4" x14ac:dyDescent="0.3">
      <c r="A119" s="481" t="s">
        <v>794</v>
      </c>
      <c r="B119" s="482" t="s">
        <v>1165</v>
      </c>
      <c r="C119" s="483">
        <v>46163</v>
      </c>
      <c r="D119" s="485">
        <v>3138.11</v>
      </c>
    </row>
    <row r="120" spans="1:4" x14ac:dyDescent="0.3">
      <c r="A120" s="481" t="s">
        <v>762</v>
      </c>
      <c r="B120" s="482" t="s">
        <v>1166</v>
      </c>
      <c r="C120" s="483">
        <v>46163</v>
      </c>
      <c r="D120" s="485">
        <v>7633.18</v>
      </c>
    </row>
    <row r="121" spans="1:4" x14ac:dyDescent="0.3">
      <c r="A121" s="481" t="s">
        <v>282</v>
      </c>
      <c r="B121" s="482">
        <v>47034404</v>
      </c>
      <c r="C121" s="483">
        <v>46163</v>
      </c>
      <c r="D121" s="485">
        <v>21127</v>
      </c>
    </row>
    <row r="122" spans="1:4" x14ac:dyDescent="0.3">
      <c r="A122" s="481" t="s">
        <v>282</v>
      </c>
      <c r="B122" s="482">
        <v>47038404</v>
      </c>
      <c r="C122" s="483">
        <v>46163</v>
      </c>
      <c r="D122" s="485">
        <v>17335</v>
      </c>
    </row>
    <row r="123" spans="1:4" x14ac:dyDescent="0.3">
      <c r="A123" s="481" t="s">
        <v>789</v>
      </c>
      <c r="B123" s="482">
        <v>127313</v>
      </c>
      <c r="C123" s="483">
        <v>46163</v>
      </c>
      <c r="D123" s="485">
        <v>2092</v>
      </c>
    </row>
    <row r="124" spans="1:4" x14ac:dyDescent="0.3">
      <c r="A124" s="481" t="s">
        <v>1106</v>
      </c>
      <c r="B124" s="482" t="s">
        <v>1167</v>
      </c>
      <c r="C124" s="483">
        <v>46163</v>
      </c>
      <c r="D124" s="485">
        <v>1463.19</v>
      </c>
    </row>
    <row r="125" spans="1:4" x14ac:dyDescent="0.3">
      <c r="A125" s="481" t="s">
        <v>282</v>
      </c>
      <c r="B125" s="482">
        <v>47047004</v>
      </c>
      <c r="C125" s="483">
        <v>46164</v>
      </c>
      <c r="D125" s="485">
        <v>564</v>
      </c>
    </row>
    <row r="126" spans="1:4" x14ac:dyDescent="0.3">
      <c r="A126" s="481" t="s">
        <v>774</v>
      </c>
      <c r="B126" s="482" t="s">
        <v>1168</v>
      </c>
      <c r="C126" s="483">
        <v>46164</v>
      </c>
      <c r="D126" s="485">
        <v>3401.12</v>
      </c>
    </row>
    <row r="127" spans="1:4" x14ac:dyDescent="0.3">
      <c r="A127" s="481" t="s">
        <v>1100</v>
      </c>
      <c r="B127" s="482">
        <v>124010</v>
      </c>
      <c r="C127" s="483">
        <v>46164</v>
      </c>
      <c r="D127" s="485">
        <v>436.6</v>
      </c>
    </row>
    <row r="128" spans="1:4" x14ac:dyDescent="0.3">
      <c r="A128" s="481" t="s">
        <v>1103</v>
      </c>
      <c r="B128" s="482">
        <v>405230</v>
      </c>
      <c r="C128" s="483">
        <v>46164</v>
      </c>
      <c r="D128" s="485">
        <v>1522.95</v>
      </c>
    </row>
    <row r="129" spans="1:4" x14ac:dyDescent="0.3">
      <c r="A129" s="481" t="s">
        <v>792</v>
      </c>
      <c r="B129" s="482" t="s">
        <v>1169</v>
      </c>
      <c r="C129" s="483">
        <v>46165</v>
      </c>
      <c r="D129" s="485">
        <v>15970.84</v>
      </c>
    </row>
    <row r="130" spans="1:4" x14ac:dyDescent="0.3">
      <c r="A130" s="481" t="s">
        <v>744</v>
      </c>
      <c r="B130" s="482" t="s">
        <v>1170</v>
      </c>
      <c r="C130" s="483">
        <v>46165</v>
      </c>
      <c r="D130" s="485">
        <v>5461.88</v>
      </c>
    </row>
    <row r="131" spans="1:4" x14ac:dyDescent="0.3">
      <c r="A131" s="481" t="s">
        <v>744</v>
      </c>
      <c r="B131" s="482" t="s">
        <v>1171</v>
      </c>
      <c r="C131" s="483">
        <v>46165</v>
      </c>
      <c r="D131" s="485">
        <v>3218.6</v>
      </c>
    </row>
    <row r="132" spans="1:4" x14ac:dyDescent="0.3">
      <c r="A132" s="481" t="s">
        <v>282</v>
      </c>
      <c r="B132" s="482">
        <v>48486302</v>
      </c>
      <c r="C132" s="483">
        <v>46165</v>
      </c>
      <c r="D132" s="485">
        <v>2390</v>
      </c>
    </row>
    <row r="133" spans="1:4" x14ac:dyDescent="0.3">
      <c r="A133" s="481" t="s">
        <v>736</v>
      </c>
      <c r="B133" s="482" t="s">
        <v>1172</v>
      </c>
      <c r="C133" s="483">
        <v>46165</v>
      </c>
      <c r="D133" s="485">
        <v>10360.42</v>
      </c>
    </row>
    <row r="134" spans="1:4" x14ac:dyDescent="0.3">
      <c r="A134" s="481" t="s">
        <v>1078</v>
      </c>
      <c r="B134" s="482">
        <v>112871</v>
      </c>
      <c r="C134" s="483">
        <v>46165</v>
      </c>
      <c r="D134" s="485">
        <v>7882.56</v>
      </c>
    </row>
    <row r="135" spans="1:4" x14ac:dyDescent="0.3">
      <c r="A135" s="481" t="s">
        <v>282</v>
      </c>
      <c r="B135" s="482">
        <v>53990301</v>
      </c>
      <c r="C135" s="483">
        <v>46165</v>
      </c>
      <c r="D135" s="485">
        <v>1256.8499999999999</v>
      </c>
    </row>
    <row r="136" spans="1:4" x14ac:dyDescent="0.3">
      <c r="A136" s="481" t="s">
        <v>282</v>
      </c>
      <c r="B136" s="482">
        <v>47121704</v>
      </c>
      <c r="C136" s="483">
        <v>46166</v>
      </c>
      <c r="D136" s="485">
        <v>8219</v>
      </c>
    </row>
    <row r="137" spans="1:4" x14ac:dyDescent="0.3">
      <c r="A137" s="481" t="s">
        <v>1173</v>
      </c>
      <c r="B137" s="482" t="s">
        <v>1174</v>
      </c>
      <c r="C137" s="483">
        <v>46166</v>
      </c>
      <c r="D137" s="485">
        <v>826.34</v>
      </c>
    </row>
    <row r="138" spans="1:4" x14ac:dyDescent="0.3">
      <c r="A138" s="481" t="s">
        <v>1173</v>
      </c>
      <c r="B138" s="482" t="s">
        <v>1175</v>
      </c>
      <c r="C138" s="483">
        <v>46166</v>
      </c>
      <c r="D138" s="485">
        <v>438.72</v>
      </c>
    </row>
    <row r="139" spans="1:4" x14ac:dyDescent="0.3">
      <c r="A139" s="481" t="s">
        <v>1078</v>
      </c>
      <c r="B139" s="482">
        <v>112582</v>
      </c>
      <c r="C139" s="483">
        <v>46166</v>
      </c>
      <c r="D139" s="485">
        <v>3941.28</v>
      </c>
    </row>
    <row r="140" spans="1:4" x14ac:dyDescent="0.3">
      <c r="A140" s="481" t="s">
        <v>292</v>
      </c>
      <c r="B140" s="482">
        <v>125965</v>
      </c>
      <c r="C140" s="483">
        <v>46166</v>
      </c>
      <c r="D140" s="485">
        <v>191.65</v>
      </c>
    </row>
    <row r="141" spans="1:4" x14ac:dyDescent="0.3">
      <c r="A141" s="481" t="s">
        <v>282</v>
      </c>
      <c r="B141" s="482">
        <v>49145501</v>
      </c>
      <c r="C141" s="483">
        <v>46166</v>
      </c>
      <c r="D141" s="485">
        <v>13215.08</v>
      </c>
    </row>
    <row r="142" spans="1:4" x14ac:dyDescent="0.3">
      <c r="A142" s="481" t="s">
        <v>282</v>
      </c>
      <c r="B142" s="482">
        <v>49136801</v>
      </c>
      <c r="C142" s="483">
        <v>46166</v>
      </c>
      <c r="D142" s="485">
        <v>746.39</v>
      </c>
    </row>
    <row r="143" spans="1:4" x14ac:dyDescent="0.3">
      <c r="A143" s="481" t="s">
        <v>738</v>
      </c>
      <c r="B143" s="482">
        <v>18803</v>
      </c>
      <c r="C143" s="483">
        <v>46167</v>
      </c>
      <c r="D143" s="485">
        <v>1717.5</v>
      </c>
    </row>
    <row r="144" spans="1:4" x14ac:dyDescent="0.3">
      <c r="A144" s="481" t="s">
        <v>794</v>
      </c>
      <c r="B144" s="482" t="s">
        <v>1176</v>
      </c>
      <c r="C144" s="483">
        <v>46167</v>
      </c>
      <c r="D144" s="485">
        <v>2072.1</v>
      </c>
    </row>
    <row r="145" spans="1:4" x14ac:dyDescent="0.3">
      <c r="A145" s="481" t="s">
        <v>216</v>
      </c>
      <c r="B145" s="482" t="s">
        <v>1092</v>
      </c>
      <c r="C145" s="483">
        <v>46167</v>
      </c>
      <c r="D145" s="485">
        <v>3200</v>
      </c>
    </row>
    <row r="146" spans="1:4" x14ac:dyDescent="0.3">
      <c r="A146" s="481" t="s">
        <v>1177</v>
      </c>
      <c r="B146" s="482">
        <v>7612</v>
      </c>
      <c r="C146" s="483">
        <v>46167</v>
      </c>
      <c r="D146" s="485">
        <v>1150</v>
      </c>
    </row>
    <row r="147" spans="1:4" x14ac:dyDescent="0.3">
      <c r="A147" s="481" t="s">
        <v>237</v>
      </c>
      <c r="B147" s="482">
        <v>1099099</v>
      </c>
      <c r="C147" s="483">
        <v>46167</v>
      </c>
      <c r="D147" s="485">
        <v>2667.6</v>
      </c>
    </row>
    <row r="148" spans="1:4" x14ac:dyDescent="0.3">
      <c r="A148" s="481" t="s">
        <v>58</v>
      </c>
      <c r="B148" s="482" t="s">
        <v>1178</v>
      </c>
      <c r="C148" s="483">
        <v>46167</v>
      </c>
      <c r="D148" s="485">
        <v>1987.5</v>
      </c>
    </row>
    <row r="149" spans="1:4" x14ac:dyDescent="0.3">
      <c r="A149" s="481" t="s">
        <v>282</v>
      </c>
      <c r="B149" s="482">
        <v>48538502</v>
      </c>
      <c r="C149" s="483">
        <v>46167</v>
      </c>
      <c r="D149" s="485">
        <v>12786</v>
      </c>
    </row>
    <row r="150" spans="1:4" x14ac:dyDescent="0.3">
      <c r="A150" s="481" t="s">
        <v>1100</v>
      </c>
      <c r="B150" s="482">
        <v>1236503</v>
      </c>
      <c r="C150" s="483">
        <v>46167</v>
      </c>
      <c r="D150" s="485">
        <v>757.42</v>
      </c>
    </row>
    <row r="151" spans="1:4" x14ac:dyDescent="0.3">
      <c r="A151" s="481" t="s">
        <v>54</v>
      </c>
      <c r="B151" s="482" t="s">
        <v>1179</v>
      </c>
      <c r="C151" s="483">
        <v>46167</v>
      </c>
      <c r="D151" s="485">
        <v>2664.57</v>
      </c>
    </row>
    <row r="152" spans="1:4" x14ac:dyDescent="0.3">
      <c r="A152" s="481" t="s">
        <v>748</v>
      </c>
      <c r="B152" s="482" t="s">
        <v>1180</v>
      </c>
      <c r="C152" s="483">
        <v>46168</v>
      </c>
      <c r="D152" s="485">
        <v>833.33</v>
      </c>
    </row>
    <row r="153" spans="1:4" x14ac:dyDescent="0.3">
      <c r="A153" s="481" t="s">
        <v>282</v>
      </c>
      <c r="B153" s="482">
        <v>64245702</v>
      </c>
      <c r="C153" s="483">
        <v>46168</v>
      </c>
      <c r="D153" s="485">
        <v>1542</v>
      </c>
    </row>
    <row r="154" spans="1:4" x14ac:dyDescent="0.3">
      <c r="A154" s="481" t="s">
        <v>282</v>
      </c>
      <c r="B154" s="482">
        <v>48575602</v>
      </c>
      <c r="C154" s="483">
        <v>46168</v>
      </c>
      <c r="D154" s="485">
        <v>1785</v>
      </c>
    </row>
    <row r="155" spans="1:4" x14ac:dyDescent="0.3">
      <c r="A155" s="481" t="s">
        <v>1074</v>
      </c>
      <c r="B155" s="482" t="s">
        <v>1181</v>
      </c>
      <c r="C155" s="483">
        <v>46168</v>
      </c>
      <c r="D155" s="485">
        <v>8948.49</v>
      </c>
    </row>
    <row r="156" spans="1:4" x14ac:dyDescent="0.3">
      <c r="A156" s="481" t="s">
        <v>744</v>
      </c>
      <c r="B156" s="482" t="s">
        <v>1182</v>
      </c>
      <c r="C156" s="483">
        <v>46168</v>
      </c>
      <c r="D156" s="485">
        <v>859.5</v>
      </c>
    </row>
    <row r="157" spans="1:4" x14ac:dyDescent="0.3">
      <c r="A157" s="481" t="s">
        <v>282</v>
      </c>
      <c r="B157" s="482">
        <v>48574802</v>
      </c>
      <c r="C157" s="483">
        <v>46168</v>
      </c>
      <c r="D157" s="485">
        <v>3211</v>
      </c>
    </row>
    <row r="158" spans="1:4" x14ac:dyDescent="0.3">
      <c r="A158" s="481" t="s">
        <v>1074</v>
      </c>
      <c r="B158" s="482" t="s">
        <v>1183</v>
      </c>
      <c r="C158" s="483">
        <v>46168</v>
      </c>
      <c r="D158" s="485">
        <v>27086.73</v>
      </c>
    </row>
    <row r="159" spans="1:4" x14ac:dyDescent="0.3">
      <c r="A159" s="481" t="s">
        <v>241</v>
      </c>
      <c r="B159" s="482" t="s">
        <v>1184</v>
      </c>
      <c r="C159" s="483">
        <v>46169</v>
      </c>
      <c r="D159" s="485">
        <v>1775.9</v>
      </c>
    </row>
    <row r="160" spans="1:4" x14ac:dyDescent="0.3">
      <c r="A160" s="481" t="s">
        <v>762</v>
      </c>
      <c r="B160" s="482" t="s">
        <v>1185</v>
      </c>
      <c r="C160" s="483">
        <v>46169</v>
      </c>
      <c r="D160" s="485">
        <v>435.69</v>
      </c>
    </row>
    <row r="161" spans="1:4" x14ac:dyDescent="0.3">
      <c r="A161" s="481" t="s">
        <v>774</v>
      </c>
      <c r="B161" s="482" t="s">
        <v>1186</v>
      </c>
      <c r="C161" s="483">
        <v>46169</v>
      </c>
      <c r="D161" s="485">
        <v>444.59</v>
      </c>
    </row>
    <row r="162" spans="1:4" x14ac:dyDescent="0.3">
      <c r="A162" s="481" t="s">
        <v>1082</v>
      </c>
      <c r="B162" s="482" t="s">
        <v>1187</v>
      </c>
      <c r="C162" s="483">
        <v>46169</v>
      </c>
      <c r="D162" s="485">
        <v>1768.6</v>
      </c>
    </row>
    <row r="163" spans="1:4" x14ac:dyDescent="0.3">
      <c r="A163" s="481" t="s">
        <v>738</v>
      </c>
      <c r="B163" s="482">
        <v>292</v>
      </c>
      <c r="C163" s="483">
        <v>46169</v>
      </c>
      <c r="D163" s="485">
        <v>1490</v>
      </c>
    </row>
    <row r="164" spans="1:4" x14ac:dyDescent="0.3">
      <c r="A164" s="481" t="s">
        <v>738</v>
      </c>
      <c r="B164" s="482">
        <v>29401</v>
      </c>
      <c r="C164" s="483">
        <v>46169</v>
      </c>
      <c r="D164" s="485">
        <v>2302.4299999999998</v>
      </c>
    </row>
    <row r="165" spans="1:4" x14ac:dyDescent="0.3">
      <c r="A165" s="481" t="s">
        <v>786</v>
      </c>
      <c r="B165" s="482" t="s">
        <v>1188</v>
      </c>
      <c r="C165" s="483">
        <v>46169</v>
      </c>
      <c r="D165" s="485">
        <v>9999.99</v>
      </c>
    </row>
    <row r="166" spans="1:4" x14ac:dyDescent="0.3">
      <c r="A166" s="481" t="s">
        <v>786</v>
      </c>
      <c r="B166" s="482" t="s">
        <v>1189</v>
      </c>
      <c r="C166" s="483">
        <v>46169</v>
      </c>
      <c r="D166" s="485">
        <v>288</v>
      </c>
    </row>
    <row r="167" spans="1:4" x14ac:dyDescent="0.3">
      <c r="A167" s="481" t="s">
        <v>1151</v>
      </c>
      <c r="B167" s="482">
        <v>3211</v>
      </c>
      <c r="C167" s="483">
        <v>46169</v>
      </c>
      <c r="D167" s="485">
        <v>371</v>
      </c>
    </row>
    <row r="168" spans="1:4" x14ac:dyDescent="0.3">
      <c r="A168" s="481" t="s">
        <v>241</v>
      </c>
      <c r="B168" s="482" t="s">
        <v>1190</v>
      </c>
      <c r="C168" s="483">
        <v>46169</v>
      </c>
      <c r="D168" s="485">
        <v>2367.87</v>
      </c>
    </row>
    <row r="169" spans="1:4" x14ac:dyDescent="0.3">
      <c r="A169" s="481" t="s">
        <v>289</v>
      </c>
      <c r="B169" s="482" t="s">
        <v>1191</v>
      </c>
      <c r="C169" s="483">
        <v>46170</v>
      </c>
      <c r="D169" s="485">
        <v>25605.119999999999</v>
      </c>
    </row>
    <row r="170" spans="1:4" x14ac:dyDescent="0.3">
      <c r="A170" s="481" t="s">
        <v>289</v>
      </c>
      <c r="B170" s="482" t="s">
        <v>1192</v>
      </c>
      <c r="C170" s="483">
        <v>46170</v>
      </c>
      <c r="D170" s="485">
        <v>25605.119999999999</v>
      </c>
    </row>
    <row r="171" spans="1:4" x14ac:dyDescent="0.3">
      <c r="A171" s="481" t="s">
        <v>1193</v>
      </c>
      <c r="B171" s="482">
        <v>99501</v>
      </c>
      <c r="C171" s="483">
        <v>46170</v>
      </c>
      <c r="D171" s="485">
        <v>2577.2399999999998</v>
      </c>
    </row>
    <row r="172" spans="1:4" x14ac:dyDescent="0.3">
      <c r="A172" s="481" t="s">
        <v>237</v>
      </c>
      <c r="B172" s="482">
        <v>1099548</v>
      </c>
      <c r="C172" s="483">
        <v>46171</v>
      </c>
      <c r="D172" s="485">
        <v>5889.67</v>
      </c>
    </row>
    <row r="173" spans="1:4" x14ac:dyDescent="0.3">
      <c r="A173" s="481" t="s">
        <v>1103</v>
      </c>
      <c r="B173" s="482">
        <v>4030802</v>
      </c>
      <c r="C173" s="483">
        <v>46171</v>
      </c>
      <c r="D173" s="485">
        <v>3462.58</v>
      </c>
    </row>
    <row r="174" spans="1:4" x14ac:dyDescent="0.3">
      <c r="A174" s="481" t="s">
        <v>1078</v>
      </c>
      <c r="B174" s="482">
        <v>112592</v>
      </c>
      <c r="C174" s="483">
        <v>46171</v>
      </c>
      <c r="D174" s="485">
        <v>3941.28</v>
      </c>
    </row>
    <row r="175" spans="1:4" x14ac:dyDescent="0.3">
      <c r="A175" s="481" t="s">
        <v>282</v>
      </c>
      <c r="B175" s="482">
        <v>64634301</v>
      </c>
      <c r="C175" s="483">
        <v>46171</v>
      </c>
      <c r="D175" s="485">
        <v>505.01</v>
      </c>
    </row>
    <row r="176" spans="1:4" x14ac:dyDescent="0.3">
      <c r="A176" s="481" t="s">
        <v>736</v>
      </c>
      <c r="B176" s="482" t="s">
        <v>1194</v>
      </c>
      <c r="C176" s="483">
        <v>46172</v>
      </c>
      <c r="D176" s="485">
        <v>4439.88</v>
      </c>
    </row>
    <row r="177" spans="1:4" x14ac:dyDescent="0.3">
      <c r="A177" s="481" t="s">
        <v>282</v>
      </c>
      <c r="B177" s="482">
        <v>64292702</v>
      </c>
      <c r="C177" s="483">
        <v>46172</v>
      </c>
      <c r="D177" s="485">
        <v>5357</v>
      </c>
    </row>
    <row r="178" spans="1:4" x14ac:dyDescent="0.3">
      <c r="A178" s="481" t="s">
        <v>736</v>
      </c>
      <c r="B178" s="482" t="s">
        <v>1195</v>
      </c>
      <c r="C178" s="483">
        <v>46172</v>
      </c>
      <c r="D178" s="485">
        <v>7380.92</v>
      </c>
    </row>
    <row r="179" spans="1:4" x14ac:dyDescent="0.3">
      <c r="A179" s="481" t="s">
        <v>282</v>
      </c>
      <c r="B179" s="482">
        <v>48676902</v>
      </c>
      <c r="C179" s="483">
        <v>46173</v>
      </c>
      <c r="D179" s="485">
        <v>4941</v>
      </c>
    </row>
    <row r="180" spans="1:4" x14ac:dyDescent="0.3">
      <c r="A180" s="481" t="s">
        <v>744</v>
      </c>
      <c r="B180" s="482" t="s">
        <v>1196</v>
      </c>
      <c r="C180" s="483">
        <v>46173</v>
      </c>
      <c r="D180" s="485">
        <v>5089.29</v>
      </c>
    </row>
    <row r="181" spans="1:4" x14ac:dyDescent="0.3">
      <c r="A181" s="481" t="s">
        <v>1067</v>
      </c>
      <c r="B181" s="482">
        <v>20723</v>
      </c>
      <c r="C181" s="483">
        <v>46174</v>
      </c>
      <c r="D181" s="485">
        <v>901.91</v>
      </c>
    </row>
    <row r="182" spans="1:4" x14ac:dyDescent="0.3">
      <c r="A182" s="481" t="s">
        <v>738</v>
      </c>
      <c r="B182" s="482">
        <v>24402</v>
      </c>
      <c r="C182" s="483">
        <v>46174</v>
      </c>
      <c r="D182" s="485">
        <v>4342.96</v>
      </c>
    </row>
    <row r="183" spans="1:4" x14ac:dyDescent="0.3">
      <c r="A183" s="481" t="s">
        <v>1074</v>
      </c>
      <c r="B183" s="482" t="s">
        <v>1197</v>
      </c>
      <c r="C183" s="483">
        <v>46174</v>
      </c>
      <c r="D183" s="485">
        <v>10842</v>
      </c>
    </row>
    <row r="184" spans="1:4" x14ac:dyDescent="0.3">
      <c r="A184" s="481" t="s">
        <v>1076</v>
      </c>
      <c r="B184" s="482">
        <v>126012</v>
      </c>
      <c r="C184" s="483">
        <v>46174</v>
      </c>
      <c r="D184" s="485">
        <v>1628</v>
      </c>
    </row>
    <row r="185" spans="1:4" x14ac:dyDescent="0.3">
      <c r="A185" s="481" t="s">
        <v>58</v>
      </c>
      <c r="B185" s="482" t="s">
        <v>1198</v>
      </c>
      <c r="C185" s="483">
        <v>46174</v>
      </c>
      <c r="D185" s="485">
        <v>2106.75</v>
      </c>
    </row>
    <row r="186" spans="1:4" x14ac:dyDescent="0.3">
      <c r="A186" s="481" t="s">
        <v>1078</v>
      </c>
      <c r="B186" s="482">
        <v>112642</v>
      </c>
      <c r="C186" s="483">
        <v>46174</v>
      </c>
      <c r="D186" s="485">
        <v>3941.28</v>
      </c>
    </row>
    <row r="187" spans="1:4" x14ac:dyDescent="0.3">
      <c r="A187" s="481" t="s">
        <v>282</v>
      </c>
      <c r="B187" s="482">
        <v>48710902</v>
      </c>
      <c r="C187" s="483">
        <v>46174</v>
      </c>
      <c r="D187" s="485">
        <v>505</v>
      </c>
    </row>
    <row r="188" spans="1:4" x14ac:dyDescent="0.3">
      <c r="A188" s="481" t="s">
        <v>58</v>
      </c>
      <c r="B188" s="482" t="s">
        <v>1199</v>
      </c>
      <c r="C188" s="483">
        <v>46175</v>
      </c>
      <c r="D188" s="485">
        <v>3403.76</v>
      </c>
    </row>
    <row r="189" spans="1:4" x14ac:dyDescent="0.3">
      <c r="A189" s="481" t="s">
        <v>241</v>
      </c>
      <c r="B189" s="482" t="s">
        <v>1200</v>
      </c>
      <c r="C189" s="483">
        <v>46177</v>
      </c>
      <c r="D189" s="485">
        <v>3906.98</v>
      </c>
    </row>
    <row r="190" spans="1:4" x14ac:dyDescent="0.3">
      <c r="A190" s="481" t="s">
        <v>58</v>
      </c>
      <c r="B190" s="482" t="s">
        <v>1201</v>
      </c>
      <c r="C190" s="483">
        <v>46177</v>
      </c>
      <c r="D190" s="485">
        <v>3403.76</v>
      </c>
    </row>
    <row r="191" spans="1:4" x14ac:dyDescent="0.3">
      <c r="A191" s="481" t="s">
        <v>1106</v>
      </c>
      <c r="B191" s="482" t="s">
        <v>1202</v>
      </c>
      <c r="C191" s="483">
        <v>46177</v>
      </c>
      <c r="D191" s="485">
        <v>1463.63</v>
      </c>
    </row>
    <row r="192" spans="1:4" x14ac:dyDescent="0.3">
      <c r="A192" s="481" t="s">
        <v>744</v>
      </c>
      <c r="B192" s="482" t="s">
        <v>1203</v>
      </c>
      <c r="C192" s="483">
        <v>46178</v>
      </c>
      <c r="D192" s="485">
        <v>431.2</v>
      </c>
    </row>
    <row r="193" spans="1:4" x14ac:dyDescent="0.3">
      <c r="A193" s="481" t="s">
        <v>744</v>
      </c>
      <c r="B193" s="482" t="s">
        <v>1204</v>
      </c>
      <c r="C193" s="483">
        <v>46179</v>
      </c>
      <c r="D193" s="485">
        <v>3024.7</v>
      </c>
    </row>
    <row r="194" spans="1:4" x14ac:dyDescent="0.3">
      <c r="A194" s="481" t="s">
        <v>744</v>
      </c>
      <c r="B194" s="482" t="s">
        <v>1205</v>
      </c>
      <c r="C194" s="483">
        <v>46179</v>
      </c>
      <c r="D194" s="485">
        <v>2299.91</v>
      </c>
    </row>
    <row r="195" spans="1:4" x14ac:dyDescent="0.3">
      <c r="A195" s="481" t="s">
        <v>744</v>
      </c>
      <c r="B195" s="482" t="s">
        <v>1206</v>
      </c>
      <c r="C195" s="483">
        <v>46179</v>
      </c>
      <c r="D195" s="485">
        <v>5968.71</v>
      </c>
    </row>
    <row r="196" spans="1:4" x14ac:dyDescent="0.3">
      <c r="A196" s="481" t="s">
        <v>738</v>
      </c>
      <c r="B196" s="482">
        <v>21003</v>
      </c>
      <c r="C196" s="483">
        <v>46179</v>
      </c>
      <c r="D196" s="485">
        <v>10284.719999999999</v>
      </c>
    </row>
    <row r="197" spans="1:4" x14ac:dyDescent="0.3">
      <c r="A197" s="481" t="s">
        <v>744</v>
      </c>
      <c r="B197" s="482" t="s">
        <v>1207</v>
      </c>
      <c r="C197" s="483">
        <v>46179</v>
      </c>
      <c r="D197" s="485">
        <v>632.32000000000005</v>
      </c>
    </row>
    <row r="198" spans="1:4" x14ac:dyDescent="0.3">
      <c r="A198" s="481" t="s">
        <v>241</v>
      </c>
      <c r="B198" s="482" t="s">
        <v>1208</v>
      </c>
      <c r="C198" s="483">
        <v>46179</v>
      </c>
      <c r="D198" s="485">
        <v>1775.9</v>
      </c>
    </row>
    <row r="199" spans="1:4" x14ac:dyDescent="0.3">
      <c r="A199" s="481" t="s">
        <v>289</v>
      </c>
      <c r="B199" s="482" t="s">
        <v>1209</v>
      </c>
      <c r="C199" s="483">
        <v>46179</v>
      </c>
      <c r="D199" s="485">
        <v>18093.310000000001</v>
      </c>
    </row>
    <row r="200" spans="1:4" x14ac:dyDescent="0.3">
      <c r="A200" s="481" t="s">
        <v>207</v>
      </c>
      <c r="B200" s="482" t="s">
        <v>1210</v>
      </c>
      <c r="C200" s="483">
        <v>46179</v>
      </c>
      <c r="D200" s="485">
        <v>12247.5</v>
      </c>
    </row>
    <row r="201" spans="1:4" x14ac:dyDescent="0.3">
      <c r="A201" s="481" t="s">
        <v>744</v>
      </c>
      <c r="B201" s="482" t="s">
        <v>1211</v>
      </c>
      <c r="C201" s="483">
        <v>46180</v>
      </c>
      <c r="D201" s="485">
        <v>1522.38</v>
      </c>
    </row>
    <row r="202" spans="1:4" x14ac:dyDescent="0.3">
      <c r="A202" s="481" t="s">
        <v>744</v>
      </c>
      <c r="B202" s="482" t="s">
        <v>1212</v>
      </c>
      <c r="C202" s="483">
        <v>46180</v>
      </c>
      <c r="D202" s="485">
        <v>5461.88</v>
      </c>
    </row>
    <row r="203" spans="1:4" x14ac:dyDescent="0.3">
      <c r="A203" s="481" t="s">
        <v>1113</v>
      </c>
      <c r="B203" s="482" t="s">
        <v>1213</v>
      </c>
      <c r="C203" s="483">
        <v>46180</v>
      </c>
      <c r="D203" s="485">
        <v>1033.0899999999999</v>
      </c>
    </row>
    <row r="204" spans="1:4" x14ac:dyDescent="0.3">
      <c r="A204" s="481" t="s">
        <v>282</v>
      </c>
      <c r="B204" s="482">
        <v>64362202</v>
      </c>
      <c r="C204" s="483">
        <v>46180</v>
      </c>
      <c r="D204" s="485">
        <v>630</v>
      </c>
    </row>
    <row r="205" spans="1:4" x14ac:dyDescent="0.3">
      <c r="A205" s="481" t="s">
        <v>746</v>
      </c>
      <c r="B205" s="482" t="s">
        <v>1214</v>
      </c>
      <c r="C205" s="483">
        <v>46181</v>
      </c>
      <c r="D205" s="485">
        <v>1874.61</v>
      </c>
    </row>
    <row r="206" spans="1:4" x14ac:dyDescent="0.3">
      <c r="A206" s="481" t="s">
        <v>58</v>
      </c>
      <c r="B206" s="482" t="s">
        <v>1215</v>
      </c>
      <c r="C206" s="483">
        <v>46181</v>
      </c>
      <c r="D206" s="485">
        <v>1987.5</v>
      </c>
    </row>
    <row r="207" spans="1:4" x14ac:dyDescent="0.3">
      <c r="A207" s="481" t="s">
        <v>786</v>
      </c>
      <c r="B207" s="482" t="s">
        <v>1216</v>
      </c>
      <c r="C207" s="483">
        <v>46181</v>
      </c>
      <c r="D207" s="485">
        <v>4599.99</v>
      </c>
    </row>
    <row r="208" spans="1:4" x14ac:dyDescent="0.3">
      <c r="A208" s="481" t="s">
        <v>786</v>
      </c>
      <c r="B208" s="482" t="s">
        <v>1217</v>
      </c>
      <c r="C208" s="483">
        <v>46181</v>
      </c>
      <c r="D208" s="485">
        <v>5663.99</v>
      </c>
    </row>
    <row r="209" spans="1:4" x14ac:dyDescent="0.3">
      <c r="A209" s="481" t="s">
        <v>1118</v>
      </c>
      <c r="B209" s="482" t="s">
        <v>1218</v>
      </c>
      <c r="C209" s="483">
        <v>46181</v>
      </c>
      <c r="D209" s="485">
        <v>1573.33</v>
      </c>
    </row>
    <row r="210" spans="1:4" x14ac:dyDescent="0.3">
      <c r="A210" s="481" t="s">
        <v>58</v>
      </c>
      <c r="B210" s="482" t="s">
        <v>1219</v>
      </c>
      <c r="C210" s="483">
        <v>46181</v>
      </c>
      <c r="D210" s="485">
        <v>2106.75</v>
      </c>
    </row>
    <row r="211" spans="1:4" x14ac:dyDescent="0.3">
      <c r="A211" s="481" t="s">
        <v>1078</v>
      </c>
      <c r="B211" s="482">
        <v>112702</v>
      </c>
      <c r="C211" s="483">
        <v>46181</v>
      </c>
      <c r="D211" s="485">
        <v>3941.28</v>
      </c>
    </row>
    <row r="212" spans="1:4" x14ac:dyDescent="0.3">
      <c r="A212" s="481" t="s">
        <v>54</v>
      </c>
      <c r="B212" s="482" t="s">
        <v>1220</v>
      </c>
      <c r="C212" s="483">
        <v>46181</v>
      </c>
      <c r="D212" s="485">
        <v>2664.56</v>
      </c>
    </row>
    <row r="213" spans="1:4" x14ac:dyDescent="0.3">
      <c r="A213" s="481" t="s">
        <v>282</v>
      </c>
      <c r="B213" s="482">
        <v>48879802</v>
      </c>
      <c r="C213" s="483">
        <v>46182</v>
      </c>
      <c r="D213" s="485">
        <v>19814</v>
      </c>
    </row>
    <row r="214" spans="1:4" x14ac:dyDescent="0.3">
      <c r="A214" s="481" t="s">
        <v>777</v>
      </c>
      <c r="B214" s="482">
        <v>31384849</v>
      </c>
      <c r="C214" s="483">
        <v>46183</v>
      </c>
      <c r="D214" s="485">
        <v>569.32000000000005</v>
      </c>
    </row>
    <row r="215" spans="1:4" x14ac:dyDescent="0.3">
      <c r="A215" s="481" t="s">
        <v>777</v>
      </c>
      <c r="B215" s="482">
        <v>32425376</v>
      </c>
      <c r="C215" s="483">
        <v>46183</v>
      </c>
      <c r="D215" s="485">
        <v>569.32000000000005</v>
      </c>
    </row>
    <row r="216" spans="1:4" x14ac:dyDescent="0.3">
      <c r="A216" s="481" t="s">
        <v>738</v>
      </c>
      <c r="B216" s="482">
        <v>21503</v>
      </c>
      <c r="C216" s="483">
        <v>46183</v>
      </c>
      <c r="D216" s="485">
        <v>3496</v>
      </c>
    </row>
    <row r="217" spans="1:4" x14ac:dyDescent="0.3">
      <c r="A217" s="481" t="s">
        <v>789</v>
      </c>
      <c r="B217" s="482">
        <v>127583</v>
      </c>
      <c r="C217" s="483">
        <v>46183</v>
      </c>
      <c r="D217" s="485">
        <v>1757.28</v>
      </c>
    </row>
    <row r="218" spans="1:4" x14ac:dyDescent="0.3">
      <c r="A218" s="481" t="s">
        <v>1074</v>
      </c>
      <c r="B218" s="482" t="s">
        <v>1221</v>
      </c>
      <c r="C218" s="483">
        <v>46183</v>
      </c>
      <c r="D218" s="485">
        <v>6308.1</v>
      </c>
    </row>
    <row r="219" spans="1:4" x14ac:dyDescent="0.3">
      <c r="A219" s="481" t="s">
        <v>285</v>
      </c>
      <c r="B219" s="482" t="s">
        <v>1222</v>
      </c>
      <c r="C219" s="483">
        <v>46183</v>
      </c>
      <c r="D219" s="485">
        <v>14214.78</v>
      </c>
    </row>
    <row r="220" spans="1:4" x14ac:dyDescent="0.3">
      <c r="A220" s="481" t="s">
        <v>1126</v>
      </c>
      <c r="B220" s="482" t="s">
        <v>1223</v>
      </c>
      <c r="C220" s="483">
        <v>46184</v>
      </c>
      <c r="D220" s="485">
        <v>2621.86</v>
      </c>
    </row>
    <row r="221" spans="1:4" x14ac:dyDescent="0.3">
      <c r="A221" s="481" t="s">
        <v>762</v>
      </c>
      <c r="B221" s="482" t="s">
        <v>1224</v>
      </c>
      <c r="C221" s="483">
        <v>46184</v>
      </c>
      <c r="D221" s="485">
        <v>2082.12</v>
      </c>
    </row>
    <row r="222" spans="1:4" x14ac:dyDescent="0.3">
      <c r="A222" s="481" t="s">
        <v>1193</v>
      </c>
      <c r="B222" s="482">
        <v>99502</v>
      </c>
      <c r="C222" s="483">
        <v>46184</v>
      </c>
      <c r="D222" s="485">
        <v>2577.2399999999998</v>
      </c>
    </row>
    <row r="223" spans="1:4" x14ac:dyDescent="0.3">
      <c r="A223" s="481" t="s">
        <v>736</v>
      </c>
      <c r="B223" s="482" t="s">
        <v>1225</v>
      </c>
      <c r="C223" s="483">
        <v>46185</v>
      </c>
      <c r="D223" s="485">
        <v>502.15</v>
      </c>
    </row>
    <row r="224" spans="1:4" x14ac:dyDescent="0.3">
      <c r="A224" s="481" t="s">
        <v>736</v>
      </c>
      <c r="B224" s="482" t="s">
        <v>1226</v>
      </c>
      <c r="C224" s="483">
        <v>46185</v>
      </c>
      <c r="D224" s="485">
        <v>3533.99</v>
      </c>
    </row>
    <row r="225" spans="1:4" x14ac:dyDescent="0.3">
      <c r="A225" s="481" t="s">
        <v>58</v>
      </c>
      <c r="B225" s="482" t="s">
        <v>1227</v>
      </c>
      <c r="C225" s="483">
        <v>46185</v>
      </c>
      <c r="D225" s="485">
        <v>3403.76</v>
      </c>
    </row>
    <row r="226" spans="1:4" x14ac:dyDescent="0.3">
      <c r="A226" s="481" t="s">
        <v>289</v>
      </c>
      <c r="B226" s="482" t="s">
        <v>1228</v>
      </c>
      <c r="C226" s="483">
        <v>46186</v>
      </c>
      <c r="D226" s="485">
        <v>2066.66</v>
      </c>
    </row>
    <row r="227" spans="1:4" x14ac:dyDescent="0.3">
      <c r="A227" s="481" t="s">
        <v>1118</v>
      </c>
      <c r="B227" s="482" t="s">
        <v>1229</v>
      </c>
      <c r="C227" s="483">
        <v>46186</v>
      </c>
      <c r="D227" s="485">
        <v>2674.66</v>
      </c>
    </row>
    <row r="228" spans="1:4" x14ac:dyDescent="0.3">
      <c r="A228" s="481" t="s">
        <v>241</v>
      </c>
      <c r="B228" s="482" t="s">
        <v>1230</v>
      </c>
      <c r="C228" s="483">
        <v>46186</v>
      </c>
      <c r="D228" s="485">
        <v>1817.34</v>
      </c>
    </row>
    <row r="229" spans="1:4" x14ac:dyDescent="0.3">
      <c r="A229" s="481" t="s">
        <v>736</v>
      </c>
      <c r="B229" s="482" t="s">
        <v>1231</v>
      </c>
      <c r="C229" s="483">
        <v>46187</v>
      </c>
      <c r="D229" s="485">
        <v>6549.03</v>
      </c>
    </row>
    <row r="230" spans="1:4" x14ac:dyDescent="0.3">
      <c r="A230" s="481" t="s">
        <v>282</v>
      </c>
      <c r="B230" s="482">
        <v>48975402</v>
      </c>
      <c r="C230" s="483">
        <v>46187</v>
      </c>
      <c r="D230" s="485">
        <v>20373</v>
      </c>
    </row>
    <row r="231" spans="1:4" x14ac:dyDescent="0.3">
      <c r="A231" s="481" t="s">
        <v>744</v>
      </c>
      <c r="B231" s="482" t="s">
        <v>1232</v>
      </c>
      <c r="C231" s="483">
        <v>46187</v>
      </c>
      <c r="D231" s="485">
        <v>1683.47</v>
      </c>
    </row>
    <row r="232" spans="1:4" x14ac:dyDescent="0.3">
      <c r="A232" s="481" t="s">
        <v>241</v>
      </c>
      <c r="B232" s="482" t="s">
        <v>1233</v>
      </c>
      <c r="C232" s="483">
        <v>46187</v>
      </c>
      <c r="D232" s="485">
        <v>2782.24</v>
      </c>
    </row>
    <row r="233" spans="1:4" x14ac:dyDescent="0.3">
      <c r="A233" s="481" t="s">
        <v>1076</v>
      </c>
      <c r="B233" s="482">
        <v>126062</v>
      </c>
      <c r="C233" s="483">
        <v>46187</v>
      </c>
      <c r="D233" s="485">
        <v>4721.2</v>
      </c>
    </row>
    <row r="234" spans="1:4" x14ac:dyDescent="0.3">
      <c r="A234" s="481" t="s">
        <v>1078</v>
      </c>
      <c r="B234" s="482">
        <v>112732</v>
      </c>
      <c r="C234" s="483">
        <v>46187</v>
      </c>
      <c r="D234" s="485">
        <v>2064.48</v>
      </c>
    </row>
    <row r="235" spans="1:4" x14ac:dyDescent="0.3">
      <c r="A235" s="481" t="s">
        <v>744</v>
      </c>
      <c r="B235" s="482" t="s">
        <v>1234</v>
      </c>
      <c r="C235" s="483">
        <v>46188</v>
      </c>
      <c r="D235" s="485">
        <v>3005.1</v>
      </c>
    </row>
    <row r="236" spans="1:4" x14ac:dyDescent="0.3">
      <c r="A236" s="481" t="s">
        <v>746</v>
      </c>
      <c r="B236" s="482" t="s">
        <v>1235</v>
      </c>
      <c r="C236" s="483">
        <v>46188</v>
      </c>
      <c r="D236" s="485">
        <v>2800.66</v>
      </c>
    </row>
    <row r="237" spans="1:4" x14ac:dyDescent="0.3">
      <c r="A237" s="481" t="s">
        <v>289</v>
      </c>
      <c r="B237" s="482" t="s">
        <v>1236</v>
      </c>
      <c r="C237" s="483">
        <v>46188</v>
      </c>
      <c r="D237" s="485">
        <v>5664.02</v>
      </c>
    </row>
    <row r="238" spans="1:4" x14ac:dyDescent="0.3">
      <c r="A238" s="481" t="s">
        <v>786</v>
      </c>
      <c r="B238" s="482" t="s">
        <v>1237</v>
      </c>
      <c r="C238" s="483">
        <v>46188</v>
      </c>
      <c r="D238" s="485">
        <v>3199.68</v>
      </c>
    </row>
    <row r="239" spans="1:4" x14ac:dyDescent="0.3">
      <c r="A239" s="481" t="s">
        <v>289</v>
      </c>
      <c r="B239" s="482" t="s">
        <v>1238</v>
      </c>
      <c r="C239" s="483">
        <v>46188</v>
      </c>
      <c r="D239" s="485">
        <v>3199.68</v>
      </c>
    </row>
    <row r="240" spans="1:4" x14ac:dyDescent="0.3">
      <c r="A240" s="481" t="s">
        <v>786</v>
      </c>
      <c r="B240" s="482" t="s">
        <v>1239</v>
      </c>
      <c r="C240" s="483">
        <v>46188</v>
      </c>
      <c r="D240" s="485">
        <v>1888</v>
      </c>
    </row>
    <row r="241" spans="1:4" x14ac:dyDescent="0.3">
      <c r="A241" s="481" t="s">
        <v>282</v>
      </c>
      <c r="B241" s="482">
        <v>64490002</v>
      </c>
      <c r="C241" s="483">
        <v>46188</v>
      </c>
      <c r="D241" s="485">
        <v>1459</v>
      </c>
    </row>
    <row r="242" spans="1:4" x14ac:dyDescent="0.3">
      <c r="A242" s="481" t="s">
        <v>282</v>
      </c>
      <c r="B242" s="482">
        <v>48992402</v>
      </c>
      <c r="C242" s="483">
        <v>46188</v>
      </c>
      <c r="D242" s="485">
        <v>3093</v>
      </c>
    </row>
    <row r="243" spans="1:4" x14ac:dyDescent="0.3">
      <c r="A243" s="481" t="s">
        <v>1078</v>
      </c>
      <c r="B243" s="482">
        <v>112762</v>
      </c>
      <c r="C243" s="483">
        <v>46188</v>
      </c>
      <c r="D243" s="485">
        <v>7882.56</v>
      </c>
    </row>
    <row r="244" spans="1:4" x14ac:dyDescent="0.3">
      <c r="A244" s="481" t="s">
        <v>58</v>
      </c>
      <c r="B244" s="482" t="s">
        <v>1240</v>
      </c>
      <c r="C244" s="483">
        <v>46189</v>
      </c>
      <c r="D244" s="485">
        <v>1987.5</v>
      </c>
    </row>
    <row r="245" spans="1:4" x14ac:dyDescent="0.3">
      <c r="A245" s="481" t="s">
        <v>736</v>
      </c>
      <c r="B245" s="482" t="s">
        <v>1241</v>
      </c>
      <c r="C245" s="483">
        <v>46189</v>
      </c>
      <c r="D245" s="485">
        <v>1100.1099999999999</v>
      </c>
    </row>
    <row r="246" spans="1:4" x14ac:dyDescent="0.3">
      <c r="A246" s="481" t="s">
        <v>794</v>
      </c>
      <c r="B246" s="482" t="s">
        <v>1242</v>
      </c>
      <c r="C246" s="483">
        <v>46190</v>
      </c>
      <c r="D246" s="485">
        <v>1359.2</v>
      </c>
    </row>
    <row r="247" spans="1:4" x14ac:dyDescent="0.3">
      <c r="A247" s="481" t="s">
        <v>1154</v>
      </c>
      <c r="B247" s="482" t="s">
        <v>1243</v>
      </c>
      <c r="C247" s="483">
        <v>46190</v>
      </c>
      <c r="D247" s="485">
        <v>3333.34</v>
      </c>
    </row>
    <row r="248" spans="1:4" x14ac:dyDescent="0.3">
      <c r="A248" s="481" t="s">
        <v>1154</v>
      </c>
      <c r="B248" s="482" t="s">
        <v>1243</v>
      </c>
      <c r="C248" s="483">
        <v>46190</v>
      </c>
      <c r="D248" s="485">
        <v>3333.34</v>
      </c>
    </row>
    <row r="249" spans="1:4" x14ac:dyDescent="0.3">
      <c r="A249" s="481" t="s">
        <v>58</v>
      </c>
      <c r="B249" s="482" t="s">
        <v>1244</v>
      </c>
      <c r="C249" s="483">
        <v>46190</v>
      </c>
      <c r="D249" s="485">
        <v>3403.76</v>
      </c>
    </row>
    <row r="250" spans="1:4" x14ac:dyDescent="0.3">
      <c r="A250" s="481" t="s">
        <v>240</v>
      </c>
      <c r="B250" s="482" t="s">
        <v>1092</v>
      </c>
      <c r="C250" s="483">
        <v>46191</v>
      </c>
      <c r="D250" s="485">
        <v>70</v>
      </c>
    </row>
    <row r="251" spans="1:4" x14ac:dyDescent="0.3">
      <c r="A251" s="481" t="s">
        <v>744</v>
      </c>
      <c r="B251" s="482" t="s">
        <v>1245</v>
      </c>
      <c r="C251" s="483">
        <v>46191</v>
      </c>
      <c r="D251" s="485">
        <v>3232.25</v>
      </c>
    </row>
    <row r="252" spans="1:4" x14ac:dyDescent="0.3">
      <c r="A252" s="481" t="s">
        <v>1158</v>
      </c>
      <c r="B252" s="482" t="s">
        <v>1246</v>
      </c>
      <c r="C252" s="483">
        <v>46191</v>
      </c>
      <c r="D252" s="485">
        <v>1998.45</v>
      </c>
    </row>
    <row r="253" spans="1:4" x14ac:dyDescent="0.3">
      <c r="A253" s="481" t="s">
        <v>1078</v>
      </c>
      <c r="B253" s="482">
        <v>112473</v>
      </c>
      <c r="C253" s="483">
        <v>46191</v>
      </c>
      <c r="D253" s="485">
        <v>5662.44</v>
      </c>
    </row>
    <row r="254" spans="1:4" x14ac:dyDescent="0.3">
      <c r="A254" s="481" t="s">
        <v>744</v>
      </c>
      <c r="B254" s="482" t="s">
        <v>1247</v>
      </c>
      <c r="C254" s="483">
        <v>46192</v>
      </c>
      <c r="D254" s="485">
        <v>2058.96</v>
      </c>
    </row>
    <row r="255" spans="1:4" x14ac:dyDescent="0.3">
      <c r="A255" s="481" t="s">
        <v>242</v>
      </c>
      <c r="B255" s="482" t="s">
        <v>1161</v>
      </c>
      <c r="C255" s="483">
        <v>46193</v>
      </c>
      <c r="D255" s="485">
        <v>2067.37</v>
      </c>
    </row>
    <row r="256" spans="1:4" x14ac:dyDescent="0.3">
      <c r="A256" s="481" t="s">
        <v>240</v>
      </c>
      <c r="B256" s="482" t="s">
        <v>1092</v>
      </c>
      <c r="C256" s="483">
        <v>46193</v>
      </c>
      <c r="D256" s="485">
        <v>3924</v>
      </c>
    </row>
    <row r="257" spans="1:4" x14ac:dyDescent="0.3">
      <c r="A257" s="481" t="s">
        <v>282</v>
      </c>
      <c r="B257" s="482">
        <v>47034405</v>
      </c>
      <c r="C257" s="483">
        <v>46193</v>
      </c>
      <c r="D257" s="485">
        <v>21127</v>
      </c>
    </row>
    <row r="258" spans="1:4" x14ac:dyDescent="0.3">
      <c r="A258" s="481" t="s">
        <v>774</v>
      </c>
      <c r="B258" s="482" t="s">
        <v>1248</v>
      </c>
      <c r="C258" s="483">
        <v>46194</v>
      </c>
      <c r="D258" s="485">
        <v>2041.51</v>
      </c>
    </row>
    <row r="259" spans="1:4" x14ac:dyDescent="0.3">
      <c r="A259" s="481" t="s">
        <v>762</v>
      </c>
      <c r="B259" s="482" t="s">
        <v>1249</v>
      </c>
      <c r="C259" s="483">
        <v>46194</v>
      </c>
      <c r="D259" s="485">
        <v>1359.64</v>
      </c>
    </row>
    <row r="260" spans="1:4" x14ac:dyDescent="0.3">
      <c r="A260" s="481" t="s">
        <v>744</v>
      </c>
      <c r="B260" s="482" t="s">
        <v>1250</v>
      </c>
      <c r="C260" s="483">
        <v>46195</v>
      </c>
      <c r="D260" s="485">
        <v>3218.6</v>
      </c>
    </row>
    <row r="261" spans="1:4" x14ac:dyDescent="0.3">
      <c r="A261" s="481" t="s">
        <v>282</v>
      </c>
      <c r="B261" s="482">
        <v>48486303</v>
      </c>
      <c r="C261" s="483">
        <v>46195</v>
      </c>
      <c r="D261" s="485">
        <v>2390</v>
      </c>
    </row>
    <row r="262" spans="1:4" x14ac:dyDescent="0.3">
      <c r="A262" s="481" t="s">
        <v>58</v>
      </c>
      <c r="B262" s="482" t="s">
        <v>1251</v>
      </c>
      <c r="C262" s="483">
        <v>46195</v>
      </c>
      <c r="D262" s="485">
        <v>1987.5</v>
      </c>
    </row>
    <row r="263" spans="1:4" x14ac:dyDescent="0.3">
      <c r="A263" s="481" t="s">
        <v>736</v>
      </c>
      <c r="B263" s="482" t="s">
        <v>1252</v>
      </c>
      <c r="C263" s="483">
        <v>46195</v>
      </c>
      <c r="D263" s="485">
        <v>10360.42</v>
      </c>
    </row>
    <row r="264" spans="1:4" x14ac:dyDescent="0.3">
      <c r="A264" s="481" t="s">
        <v>1078</v>
      </c>
      <c r="B264" s="482">
        <v>112872</v>
      </c>
      <c r="C264" s="483">
        <v>46195</v>
      </c>
      <c r="D264" s="485">
        <v>7882.56</v>
      </c>
    </row>
    <row r="265" spans="1:4" x14ac:dyDescent="0.3">
      <c r="A265" s="481" t="s">
        <v>54</v>
      </c>
      <c r="B265" s="482" t="s">
        <v>1253</v>
      </c>
      <c r="C265" s="483">
        <v>46195</v>
      </c>
      <c r="D265" s="485">
        <v>2664.56</v>
      </c>
    </row>
    <row r="266" spans="1:4" x14ac:dyDescent="0.3">
      <c r="A266" s="481" t="s">
        <v>282</v>
      </c>
      <c r="B266" s="482">
        <v>53990302</v>
      </c>
      <c r="C266" s="483">
        <v>46195</v>
      </c>
      <c r="D266" s="485">
        <v>1256</v>
      </c>
    </row>
    <row r="267" spans="1:4" x14ac:dyDescent="0.3">
      <c r="A267" s="481" t="s">
        <v>792</v>
      </c>
      <c r="B267" s="482" t="s">
        <v>1254</v>
      </c>
      <c r="C267" s="483">
        <v>46196</v>
      </c>
      <c r="D267" s="485">
        <v>15970.84</v>
      </c>
    </row>
    <row r="268" spans="1:4" x14ac:dyDescent="0.3">
      <c r="A268" s="481" t="s">
        <v>1173</v>
      </c>
      <c r="B268" s="482" t="s">
        <v>1255</v>
      </c>
      <c r="C268" s="483">
        <v>46196</v>
      </c>
      <c r="D268" s="485">
        <v>826.59</v>
      </c>
    </row>
    <row r="269" spans="1:4" x14ac:dyDescent="0.3">
      <c r="A269" s="481" t="s">
        <v>1173</v>
      </c>
      <c r="B269" s="482" t="s">
        <v>1256</v>
      </c>
      <c r="C269" s="483">
        <v>46196</v>
      </c>
      <c r="D269" s="485">
        <v>438.84</v>
      </c>
    </row>
    <row r="270" spans="1:4" x14ac:dyDescent="0.3">
      <c r="A270" s="481" t="s">
        <v>1078</v>
      </c>
      <c r="B270" s="482">
        <v>112583</v>
      </c>
      <c r="C270" s="483">
        <v>46196</v>
      </c>
      <c r="D270" s="485">
        <v>3941.28</v>
      </c>
    </row>
    <row r="271" spans="1:4" x14ac:dyDescent="0.3">
      <c r="A271" s="481" t="s">
        <v>282</v>
      </c>
      <c r="B271" s="482">
        <v>49145502</v>
      </c>
      <c r="C271" s="483">
        <v>46196</v>
      </c>
      <c r="D271" s="485">
        <v>13215</v>
      </c>
    </row>
    <row r="272" spans="1:4" x14ac:dyDescent="0.3">
      <c r="A272" s="481" t="s">
        <v>282</v>
      </c>
      <c r="B272" s="482">
        <v>49136802</v>
      </c>
      <c r="C272" s="483">
        <v>46196</v>
      </c>
      <c r="D272" s="485">
        <v>744</v>
      </c>
    </row>
    <row r="273" spans="1:4" x14ac:dyDescent="0.3">
      <c r="A273" s="481" t="s">
        <v>282</v>
      </c>
      <c r="B273" s="482">
        <v>48538503</v>
      </c>
      <c r="C273" s="483">
        <v>46197</v>
      </c>
      <c r="D273" s="485">
        <v>12786</v>
      </c>
    </row>
    <row r="274" spans="1:4" x14ac:dyDescent="0.3">
      <c r="A274" s="481" t="s">
        <v>216</v>
      </c>
      <c r="B274" s="482" t="s">
        <v>1092</v>
      </c>
      <c r="C274" s="483">
        <v>46198</v>
      </c>
      <c r="D274" s="485">
        <v>3200</v>
      </c>
    </row>
    <row r="275" spans="1:4" x14ac:dyDescent="0.3">
      <c r="A275" s="481" t="s">
        <v>1177</v>
      </c>
      <c r="B275" s="482">
        <v>7612</v>
      </c>
      <c r="C275" s="483">
        <v>46198</v>
      </c>
      <c r="D275" s="485">
        <v>1150</v>
      </c>
    </row>
    <row r="276" spans="1:4" x14ac:dyDescent="0.3">
      <c r="A276" s="481" t="s">
        <v>748</v>
      </c>
      <c r="B276" s="482" t="s">
        <v>1257</v>
      </c>
      <c r="C276" s="483">
        <v>46198</v>
      </c>
      <c r="D276" s="485">
        <v>833.34</v>
      </c>
    </row>
    <row r="277" spans="1:4" x14ac:dyDescent="0.3">
      <c r="A277" s="481" t="s">
        <v>1074</v>
      </c>
      <c r="B277" s="482" t="s">
        <v>1258</v>
      </c>
      <c r="C277" s="483">
        <v>46198</v>
      </c>
      <c r="D277" s="485">
        <v>27086.73</v>
      </c>
    </row>
    <row r="278" spans="1:4" x14ac:dyDescent="0.3">
      <c r="A278" s="481" t="s">
        <v>282</v>
      </c>
      <c r="B278" s="482">
        <v>64245703</v>
      </c>
      <c r="C278" s="483">
        <v>46198</v>
      </c>
      <c r="D278" s="485">
        <v>1542</v>
      </c>
    </row>
    <row r="279" spans="1:4" x14ac:dyDescent="0.3">
      <c r="A279" s="481" t="s">
        <v>282</v>
      </c>
      <c r="B279" s="482">
        <v>48575603</v>
      </c>
      <c r="C279" s="483">
        <v>46198</v>
      </c>
      <c r="D279" s="485">
        <v>1785</v>
      </c>
    </row>
    <row r="280" spans="1:4" x14ac:dyDescent="0.3">
      <c r="A280" s="481" t="s">
        <v>1074</v>
      </c>
      <c r="B280" s="482" t="s">
        <v>1259</v>
      </c>
      <c r="C280" s="483">
        <v>46198</v>
      </c>
      <c r="D280" s="485">
        <v>8948.49</v>
      </c>
    </row>
    <row r="281" spans="1:4" x14ac:dyDescent="0.3">
      <c r="A281" s="481" t="s">
        <v>744</v>
      </c>
      <c r="B281" s="482" t="s">
        <v>1260</v>
      </c>
      <c r="C281" s="483">
        <v>46198</v>
      </c>
      <c r="D281" s="485">
        <v>859.5</v>
      </c>
    </row>
    <row r="282" spans="1:4" x14ac:dyDescent="0.3">
      <c r="A282" s="481" t="s">
        <v>282</v>
      </c>
      <c r="B282" s="482">
        <v>48574803</v>
      </c>
      <c r="C282" s="483">
        <v>46198</v>
      </c>
      <c r="D282" s="485">
        <v>3211</v>
      </c>
    </row>
    <row r="283" spans="1:4" x14ac:dyDescent="0.3">
      <c r="A283" s="481" t="s">
        <v>1193</v>
      </c>
      <c r="B283" s="482">
        <v>99503</v>
      </c>
      <c r="C283" s="483">
        <v>46198</v>
      </c>
      <c r="D283" s="485">
        <v>2577.2399999999998</v>
      </c>
    </row>
    <row r="284" spans="1:4" x14ac:dyDescent="0.3">
      <c r="A284" s="481" t="s">
        <v>762</v>
      </c>
      <c r="B284" s="482" t="s">
        <v>1261</v>
      </c>
      <c r="C284" s="483">
        <v>46199</v>
      </c>
      <c r="D284" s="485">
        <v>880.28</v>
      </c>
    </row>
    <row r="285" spans="1:4" x14ac:dyDescent="0.3">
      <c r="A285" s="481" t="s">
        <v>786</v>
      </c>
      <c r="B285" s="482" t="s">
        <v>1262</v>
      </c>
      <c r="C285" s="483">
        <v>46199</v>
      </c>
      <c r="D285" s="485">
        <v>9999.99</v>
      </c>
    </row>
    <row r="286" spans="1:4" x14ac:dyDescent="0.3">
      <c r="A286" s="481" t="s">
        <v>241</v>
      </c>
      <c r="B286" s="482" t="s">
        <v>1263</v>
      </c>
      <c r="C286" s="483">
        <v>46199</v>
      </c>
      <c r="D286" s="485">
        <v>2367.87</v>
      </c>
    </row>
    <row r="287" spans="1:4" x14ac:dyDescent="0.3">
      <c r="A287" s="481" t="s">
        <v>738</v>
      </c>
      <c r="B287" s="482">
        <v>29402</v>
      </c>
      <c r="C287" s="483">
        <v>46200</v>
      </c>
      <c r="D287" s="485">
        <v>2302.4299999999998</v>
      </c>
    </row>
    <row r="288" spans="1:4" x14ac:dyDescent="0.3">
      <c r="A288" s="481" t="s">
        <v>289</v>
      </c>
      <c r="B288" s="482" t="s">
        <v>1264</v>
      </c>
      <c r="C288" s="483">
        <v>46200</v>
      </c>
      <c r="D288" s="485">
        <v>25597.439999999999</v>
      </c>
    </row>
    <row r="289" spans="1:4" x14ac:dyDescent="0.3">
      <c r="A289" s="481" t="s">
        <v>289</v>
      </c>
      <c r="B289" s="482" t="s">
        <v>1265</v>
      </c>
      <c r="C289" s="483">
        <v>46200</v>
      </c>
      <c r="D289" s="485">
        <v>25597.439999999999</v>
      </c>
    </row>
    <row r="290" spans="1:4" x14ac:dyDescent="0.3">
      <c r="A290" s="481" t="s">
        <v>237</v>
      </c>
      <c r="B290" s="482">
        <v>1099549</v>
      </c>
      <c r="C290" s="483">
        <v>46201</v>
      </c>
      <c r="D290" s="485">
        <v>5889.66</v>
      </c>
    </row>
    <row r="291" spans="1:4" x14ac:dyDescent="0.3">
      <c r="A291" s="481" t="s">
        <v>1078</v>
      </c>
      <c r="B291" s="482">
        <v>112593</v>
      </c>
      <c r="C291" s="483">
        <v>46201</v>
      </c>
      <c r="D291" s="485">
        <v>3941.28</v>
      </c>
    </row>
    <row r="292" spans="1:4" x14ac:dyDescent="0.3">
      <c r="A292" s="481" t="s">
        <v>282</v>
      </c>
      <c r="B292" s="482">
        <v>64634302</v>
      </c>
      <c r="C292" s="483">
        <v>46201</v>
      </c>
      <c r="D292" s="485">
        <v>503</v>
      </c>
    </row>
    <row r="293" spans="1:4" x14ac:dyDescent="0.3">
      <c r="A293" s="481" t="s">
        <v>736</v>
      </c>
      <c r="B293" s="482" t="s">
        <v>1266</v>
      </c>
      <c r="C293" s="483">
        <v>46202</v>
      </c>
      <c r="D293" s="485">
        <v>4439.88</v>
      </c>
    </row>
    <row r="294" spans="1:4" x14ac:dyDescent="0.3">
      <c r="A294" s="481" t="s">
        <v>282</v>
      </c>
      <c r="B294" s="482">
        <v>64292703</v>
      </c>
      <c r="C294" s="483">
        <v>46202</v>
      </c>
      <c r="D294" s="485">
        <v>5357</v>
      </c>
    </row>
    <row r="295" spans="1:4" x14ac:dyDescent="0.3">
      <c r="A295" s="481" t="s">
        <v>58</v>
      </c>
      <c r="B295" s="482" t="s">
        <v>1267</v>
      </c>
      <c r="C295" s="483">
        <v>46202</v>
      </c>
      <c r="D295" s="485">
        <v>2106.75</v>
      </c>
    </row>
    <row r="296" spans="1:4" x14ac:dyDescent="0.3">
      <c r="A296" s="481" t="s">
        <v>736</v>
      </c>
      <c r="B296" s="482" t="s">
        <v>1268</v>
      </c>
      <c r="C296" s="483">
        <v>46202</v>
      </c>
      <c r="D296" s="485">
        <v>7380.92</v>
      </c>
    </row>
    <row r="297" spans="1:4" x14ac:dyDescent="0.3">
      <c r="A297" s="481" t="s">
        <v>744</v>
      </c>
      <c r="B297" s="482" t="s">
        <v>1269</v>
      </c>
      <c r="C297" s="483">
        <v>46203</v>
      </c>
      <c r="D297" s="485">
        <v>5089.29</v>
      </c>
    </row>
    <row r="298" spans="1:4" x14ac:dyDescent="0.3">
      <c r="A298" s="481" t="s">
        <v>282</v>
      </c>
      <c r="B298" s="482">
        <v>48676903</v>
      </c>
      <c r="C298" s="483">
        <v>46203</v>
      </c>
      <c r="D298" s="485">
        <v>4941</v>
      </c>
    </row>
    <row r="299" spans="1:4" x14ac:dyDescent="0.3">
      <c r="A299" s="481" t="s">
        <v>58</v>
      </c>
      <c r="B299" s="482" t="s">
        <v>1270</v>
      </c>
      <c r="C299" s="483">
        <v>46203</v>
      </c>
      <c r="D299" s="485">
        <v>3403.76</v>
      </c>
    </row>
    <row r="300" spans="1:4" x14ac:dyDescent="0.3">
      <c r="A300" s="481" t="s">
        <v>1067</v>
      </c>
      <c r="B300" s="482">
        <v>20724</v>
      </c>
      <c r="C300" s="483">
        <v>46204</v>
      </c>
      <c r="D300" s="485">
        <v>901.9</v>
      </c>
    </row>
    <row r="301" spans="1:4" x14ac:dyDescent="0.3">
      <c r="A301" s="481" t="s">
        <v>738</v>
      </c>
      <c r="B301" s="482">
        <v>24403</v>
      </c>
      <c r="C301" s="483">
        <v>46204</v>
      </c>
      <c r="D301" s="485">
        <v>4342.96</v>
      </c>
    </row>
    <row r="302" spans="1:4" x14ac:dyDescent="0.3">
      <c r="A302" s="481" t="s">
        <v>1074</v>
      </c>
      <c r="B302" s="482" t="s">
        <v>1271</v>
      </c>
      <c r="C302" s="483">
        <v>46204</v>
      </c>
      <c r="D302" s="485">
        <v>10842</v>
      </c>
    </row>
    <row r="303" spans="1:4" x14ac:dyDescent="0.3">
      <c r="A303" s="481" t="s">
        <v>1076</v>
      </c>
      <c r="B303" s="482">
        <v>126013</v>
      </c>
      <c r="C303" s="483">
        <v>46204</v>
      </c>
      <c r="D303" s="485">
        <v>1628</v>
      </c>
    </row>
    <row r="304" spans="1:4" x14ac:dyDescent="0.3">
      <c r="A304" s="481" t="s">
        <v>1078</v>
      </c>
      <c r="B304" s="482">
        <v>112643</v>
      </c>
      <c r="C304" s="483">
        <v>46204</v>
      </c>
      <c r="D304" s="485">
        <v>3941.28</v>
      </c>
    </row>
    <row r="305" spans="1:4" x14ac:dyDescent="0.3">
      <c r="A305" s="481" t="s">
        <v>282</v>
      </c>
      <c r="B305" s="482">
        <v>48710903</v>
      </c>
      <c r="C305" s="483">
        <v>46204</v>
      </c>
      <c r="D305" s="485">
        <v>505</v>
      </c>
    </row>
    <row r="306" spans="1:4" x14ac:dyDescent="0.3">
      <c r="A306" s="481" t="s">
        <v>58</v>
      </c>
      <c r="B306" s="482" t="s">
        <v>1272</v>
      </c>
      <c r="C306" s="483">
        <v>46205</v>
      </c>
      <c r="D306" s="485">
        <v>3403.76</v>
      </c>
    </row>
    <row r="307" spans="1:4" x14ac:dyDescent="0.3">
      <c r="A307" s="481" t="s">
        <v>744</v>
      </c>
      <c r="B307" s="482" t="s">
        <v>1273</v>
      </c>
      <c r="C307" s="483">
        <v>46208</v>
      </c>
      <c r="D307" s="485">
        <v>431.2</v>
      </c>
    </row>
    <row r="308" spans="1:4" x14ac:dyDescent="0.3">
      <c r="A308" s="481" t="s">
        <v>58</v>
      </c>
      <c r="B308" s="482" t="s">
        <v>1274</v>
      </c>
      <c r="C308" s="483">
        <v>46209</v>
      </c>
      <c r="D308" s="485">
        <v>1987.5</v>
      </c>
    </row>
    <row r="309" spans="1:4" x14ac:dyDescent="0.3">
      <c r="A309" s="481" t="s">
        <v>241</v>
      </c>
      <c r="B309" s="482" t="s">
        <v>1275</v>
      </c>
      <c r="C309" s="483">
        <v>46209</v>
      </c>
      <c r="D309" s="485">
        <v>1775.9</v>
      </c>
    </row>
    <row r="310" spans="1:4" x14ac:dyDescent="0.3">
      <c r="A310" s="481" t="s">
        <v>744</v>
      </c>
      <c r="B310" s="482" t="s">
        <v>1276</v>
      </c>
      <c r="C310" s="483">
        <v>46209</v>
      </c>
      <c r="D310" s="485">
        <v>632.32000000000005</v>
      </c>
    </row>
    <row r="311" spans="1:4" x14ac:dyDescent="0.3">
      <c r="A311" s="481" t="s">
        <v>289</v>
      </c>
      <c r="B311" s="482" t="s">
        <v>1277</v>
      </c>
      <c r="C311" s="483">
        <v>46209</v>
      </c>
      <c r="D311" s="485">
        <v>18093.38</v>
      </c>
    </row>
    <row r="312" spans="1:4" x14ac:dyDescent="0.3">
      <c r="A312" s="481" t="s">
        <v>58</v>
      </c>
      <c r="B312" s="482" t="s">
        <v>1278</v>
      </c>
      <c r="C312" s="483">
        <v>46209</v>
      </c>
      <c r="D312" s="485">
        <v>2106.75</v>
      </c>
    </row>
    <row r="313" spans="1:4" x14ac:dyDescent="0.3">
      <c r="A313" s="481" t="s">
        <v>54</v>
      </c>
      <c r="B313" s="482" t="s">
        <v>1279</v>
      </c>
      <c r="C313" s="483">
        <v>46209</v>
      </c>
      <c r="D313" s="485">
        <v>2664.56</v>
      </c>
    </row>
    <row r="314" spans="1:4" x14ac:dyDescent="0.3">
      <c r="A314" s="481" t="s">
        <v>207</v>
      </c>
      <c r="B314" s="482" t="s">
        <v>1280</v>
      </c>
      <c r="C314" s="483">
        <v>46209</v>
      </c>
      <c r="D314" s="485">
        <v>12247.5</v>
      </c>
    </row>
    <row r="315" spans="1:4" x14ac:dyDescent="0.3">
      <c r="A315" s="481" t="s">
        <v>746</v>
      </c>
      <c r="B315" s="482" t="s">
        <v>1281</v>
      </c>
      <c r="C315" s="483">
        <v>46210</v>
      </c>
      <c r="D315" s="485">
        <v>1874.62</v>
      </c>
    </row>
    <row r="316" spans="1:4" x14ac:dyDescent="0.3">
      <c r="A316" s="481" t="s">
        <v>282</v>
      </c>
      <c r="B316" s="482">
        <v>64362203</v>
      </c>
      <c r="C316" s="483">
        <v>46210</v>
      </c>
      <c r="D316" s="485">
        <v>630</v>
      </c>
    </row>
    <row r="317" spans="1:4" x14ac:dyDescent="0.3">
      <c r="A317" s="481" t="s">
        <v>786</v>
      </c>
      <c r="B317" s="482" t="s">
        <v>1282</v>
      </c>
      <c r="C317" s="483">
        <v>46211</v>
      </c>
      <c r="D317" s="485">
        <v>4600.0200000000004</v>
      </c>
    </row>
    <row r="318" spans="1:4" x14ac:dyDescent="0.3">
      <c r="A318" s="481" t="s">
        <v>786</v>
      </c>
      <c r="B318" s="482" t="s">
        <v>1283</v>
      </c>
      <c r="C318" s="483">
        <v>46211</v>
      </c>
      <c r="D318" s="485">
        <v>5664.02</v>
      </c>
    </row>
    <row r="319" spans="1:4" x14ac:dyDescent="0.3">
      <c r="A319" s="481" t="s">
        <v>1118</v>
      </c>
      <c r="B319" s="482" t="s">
        <v>1284</v>
      </c>
      <c r="C319" s="483">
        <v>46211</v>
      </c>
      <c r="D319" s="485">
        <v>1573.34</v>
      </c>
    </row>
    <row r="320" spans="1:4" x14ac:dyDescent="0.3">
      <c r="A320" s="481" t="s">
        <v>1078</v>
      </c>
      <c r="B320" s="482">
        <v>112703</v>
      </c>
      <c r="C320" s="483">
        <v>46211</v>
      </c>
      <c r="D320" s="485">
        <v>3941.28</v>
      </c>
    </row>
    <row r="321" spans="1:4" x14ac:dyDescent="0.3">
      <c r="A321" s="481" t="s">
        <v>282</v>
      </c>
      <c r="B321" s="482">
        <v>48879803</v>
      </c>
      <c r="C321" s="483">
        <v>46212</v>
      </c>
      <c r="D321" s="485">
        <v>19814</v>
      </c>
    </row>
    <row r="322" spans="1:4" x14ac:dyDescent="0.3">
      <c r="A322" s="481" t="s">
        <v>1193</v>
      </c>
      <c r="B322" s="482">
        <v>99504</v>
      </c>
      <c r="C322" s="483">
        <v>46212</v>
      </c>
      <c r="D322" s="485">
        <v>2577.2399999999998</v>
      </c>
    </row>
    <row r="323" spans="1:4" x14ac:dyDescent="0.3">
      <c r="A323" s="481" t="s">
        <v>777</v>
      </c>
      <c r="B323" s="482">
        <v>31384850</v>
      </c>
      <c r="C323" s="483">
        <v>46213</v>
      </c>
      <c r="D323" s="485">
        <v>569.32000000000005</v>
      </c>
    </row>
    <row r="324" spans="1:4" x14ac:dyDescent="0.3">
      <c r="A324" s="481" t="s">
        <v>777</v>
      </c>
      <c r="B324" s="482">
        <v>32425377</v>
      </c>
      <c r="C324" s="483">
        <v>46213</v>
      </c>
      <c r="D324" s="485">
        <v>569.32000000000005</v>
      </c>
    </row>
    <row r="325" spans="1:4" x14ac:dyDescent="0.3">
      <c r="A325" s="481" t="s">
        <v>1074</v>
      </c>
      <c r="B325" s="482" t="s">
        <v>1285</v>
      </c>
      <c r="C325" s="483">
        <v>46213</v>
      </c>
      <c r="D325" s="485">
        <v>6308.1</v>
      </c>
    </row>
    <row r="326" spans="1:4" x14ac:dyDescent="0.3">
      <c r="A326" s="481" t="s">
        <v>285</v>
      </c>
      <c r="B326" s="482" t="s">
        <v>1286</v>
      </c>
      <c r="C326" s="483">
        <v>46213</v>
      </c>
      <c r="D326" s="485">
        <v>14214.78</v>
      </c>
    </row>
    <row r="327" spans="1:4" x14ac:dyDescent="0.3">
      <c r="A327" s="481" t="s">
        <v>58</v>
      </c>
      <c r="B327" s="482" t="s">
        <v>1287</v>
      </c>
      <c r="C327" s="483">
        <v>46213</v>
      </c>
      <c r="D327" s="485">
        <v>3403.76</v>
      </c>
    </row>
    <row r="328" spans="1:4" x14ac:dyDescent="0.3">
      <c r="A328" s="481" t="s">
        <v>762</v>
      </c>
      <c r="B328" s="482" t="s">
        <v>1288</v>
      </c>
      <c r="C328" s="483">
        <v>46214</v>
      </c>
      <c r="D328" s="485">
        <v>2082.12</v>
      </c>
    </row>
    <row r="329" spans="1:4" x14ac:dyDescent="0.3">
      <c r="A329" s="481" t="s">
        <v>736</v>
      </c>
      <c r="B329" s="482" t="s">
        <v>1289</v>
      </c>
      <c r="C329" s="483">
        <v>46215</v>
      </c>
      <c r="D329" s="485">
        <v>502.29</v>
      </c>
    </row>
    <row r="330" spans="1:4" x14ac:dyDescent="0.3">
      <c r="A330" s="481" t="s">
        <v>1126</v>
      </c>
      <c r="B330" s="482" t="s">
        <v>1290</v>
      </c>
      <c r="C330" s="483">
        <v>46216</v>
      </c>
      <c r="D330" s="485">
        <v>2621.84</v>
      </c>
    </row>
    <row r="331" spans="1:4" x14ac:dyDescent="0.3">
      <c r="A331" s="481" t="s">
        <v>289</v>
      </c>
      <c r="B331" s="482" t="s">
        <v>1291</v>
      </c>
      <c r="C331" s="483">
        <v>46216</v>
      </c>
      <c r="D331" s="485">
        <v>2066.6799999999998</v>
      </c>
    </row>
    <row r="332" spans="1:4" x14ac:dyDescent="0.3">
      <c r="A332" s="481" t="s">
        <v>1118</v>
      </c>
      <c r="B332" s="482" t="s">
        <v>1292</v>
      </c>
      <c r="C332" s="483">
        <v>46216</v>
      </c>
      <c r="D332" s="485">
        <v>2674.68</v>
      </c>
    </row>
    <row r="333" spans="1:4" x14ac:dyDescent="0.3">
      <c r="A333" s="481" t="s">
        <v>241</v>
      </c>
      <c r="B333" s="482" t="s">
        <v>1293</v>
      </c>
      <c r="C333" s="483">
        <v>46216</v>
      </c>
      <c r="D333" s="485">
        <v>1817.33</v>
      </c>
    </row>
    <row r="334" spans="1:4" x14ac:dyDescent="0.3">
      <c r="A334" s="481" t="s">
        <v>58</v>
      </c>
      <c r="B334" s="482" t="s">
        <v>1294</v>
      </c>
      <c r="C334" s="483">
        <v>46217</v>
      </c>
      <c r="D334" s="485">
        <v>1987.5</v>
      </c>
    </row>
    <row r="335" spans="1:4" x14ac:dyDescent="0.3">
      <c r="A335" s="481" t="s">
        <v>736</v>
      </c>
      <c r="B335" s="482" t="s">
        <v>1295</v>
      </c>
      <c r="C335" s="483">
        <v>46217</v>
      </c>
      <c r="D335" s="485">
        <v>6549.03</v>
      </c>
    </row>
    <row r="336" spans="1:4" x14ac:dyDescent="0.3">
      <c r="A336" s="481" t="s">
        <v>744</v>
      </c>
      <c r="B336" s="482" t="s">
        <v>1296</v>
      </c>
      <c r="C336" s="483">
        <v>46217</v>
      </c>
      <c r="D336" s="485">
        <v>1683.47</v>
      </c>
    </row>
    <row r="337" spans="1:4" x14ac:dyDescent="0.3">
      <c r="A337" s="481" t="s">
        <v>282</v>
      </c>
      <c r="B337" s="482">
        <v>48975403</v>
      </c>
      <c r="C337" s="483">
        <v>46217</v>
      </c>
      <c r="D337" s="485">
        <v>20373</v>
      </c>
    </row>
    <row r="338" spans="1:4" x14ac:dyDescent="0.3">
      <c r="A338" s="481" t="s">
        <v>241</v>
      </c>
      <c r="B338" s="482" t="s">
        <v>1297</v>
      </c>
      <c r="C338" s="483">
        <v>46217</v>
      </c>
      <c r="D338" s="485">
        <v>2782.25</v>
      </c>
    </row>
    <row r="339" spans="1:4" x14ac:dyDescent="0.3">
      <c r="A339" s="481" t="s">
        <v>1076</v>
      </c>
      <c r="B339" s="482">
        <v>126063</v>
      </c>
      <c r="C339" s="483">
        <v>46217</v>
      </c>
      <c r="D339" s="485">
        <v>4721.2</v>
      </c>
    </row>
    <row r="340" spans="1:4" x14ac:dyDescent="0.3">
      <c r="A340" s="481" t="s">
        <v>1078</v>
      </c>
      <c r="B340" s="482">
        <v>112733</v>
      </c>
      <c r="C340" s="483">
        <v>46217</v>
      </c>
      <c r="D340" s="485">
        <v>2064.48</v>
      </c>
    </row>
    <row r="341" spans="1:4" x14ac:dyDescent="0.3">
      <c r="A341" s="481" t="s">
        <v>58</v>
      </c>
      <c r="B341" s="482" t="s">
        <v>1298</v>
      </c>
      <c r="C341" s="483">
        <v>46218</v>
      </c>
      <c r="D341" s="485">
        <v>3403.76</v>
      </c>
    </row>
    <row r="342" spans="1:4" x14ac:dyDescent="0.3">
      <c r="A342" s="481" t="s">
        <v>282</v>
      </c>
      <c r="B342" s="482">
        <v>48992403</v>
      </c>
      <c r="C342" s="483">
        <v>46218</v>
      </c>
      <c r="D342" s="485">
        <v>3093</v>
      </c>
    </row>
    <row r="343" spans="1:4" x14ac:dyDescent="0.3">
      <c r="A343" s="481" t="s">
        <v>282</v>
      </c>
      <c r="B343" s="482">
        <v>64490003</v>
      </c>
      <c r="C343" s="483">
        <v>46218</v>
      </c>
      <c r="D343" s="485">
        <v>1459</v>
      </c>
    </row>
    <row r="344" spans="1:4" x14ac:dyDescent="0.3">
      <c r="A344" s="481" t="s">
        <v>1078</v>
      </c>
      <c r="B344" s="482">
        <v>112763</v>
      </c>
      <c r="C344" s="483">
        <v>46218</v>
      </c>
      <c r="D344" s="485">
        <v>7882.56</v>
      </c>
    </row>
    <row r="345" spans="1:4" x14ac:dyDescent="0.3">
      <c r="A345" s="481" t="s">
        <v>736</v>
      </c>
      <c r="B345" s="482" t="s">
        <v>1299</v>
      </c>
      <c r="C345" s="483">
        <v>46219</v>
      </c>
      <c r="D345" s="485">
        <v>1100.43</v>
      </c>
    </row>
    <row r="346" spans="1:4" x14ac:dyDescent="0.3">
      <c r="A346" s="481" t="s">
        <v>240</v>
      </c>
      <c r="B346" s="482" t="s">
        <v>1092</v>
      </c>
      <c r="C346" s="483">
        <v>46221</v>
      </c>
      <c r="D346" s="485">
        <v>70</v>
      </c>
    </row>
    <row r="347" spans="1:4" x14ac:dyDescent="0.3">
      <c r="A347" s="481" t="s">
        <v>1158</v>
      </c>
      <c r="B347" s="482" t="s">
        <v>1300</v>
      </c>
      <c r="C347" s="483">
        <v>46221</v>
      </c>
      <c r="D347" s="485">
        <v>1998.47</v>
      </c>
    </row>
    <row r="348" spans="1:4" x14ac:dyDescent="0.3">
      <c r="A348" s="481" t="s">
        <v>744</v>
      </c>
      <c r="B348" s="482" t="s">
        <v>1301</v>
      </c>
      <c r="C348" s="483">
        <v>46222</v>
      </c>
      <c r="D348" s="485">
        <v>2058.96</v>
      </c>
    </row>
    <row r="349" spans="1:4" x14ac:dyDescent="0.3">
      <c r="A349" s="481" t="s">
        <v>242</v>
      </c>
      <c r="B349" s="482" t="s">
        <v>1161</v>
      </c>
      <c r="C349" s="483">
        <v>46223</v>
      </c>
      <c r="D349" s="485">
        <v>2067.37</v>
      </c>
    </row>
    <row r="350" spans="1:4" x14ac:dyDescent="0.3">
      <c r="A350" s="481" t="s">
        <v>240</v>
      </c>
      <c r="B350" s="482" t="s">
        <v>1092</v>
      </c>
      <c r="C350" s="483">
        <v>46223</v>
      </c>
      <c r="D350" s="485">
        <v>3924</v>
      </c>
    </row>
    <row r="351" spans="1:4" x14ac:dyDescent="0.3">
      <c r="A351" s="481" t="s">
        <v>58</v>
      </c>
      <c r="B351" s="482" t="s">
        <v>1302</v>
      </c>
      <c r="C351" s="483">
        <v>46223</v>
      </c>
      <c r="D351" s="485">
        <v>1987.5</v>
      </c>
    </row>
    <row r="352" spans="1:4" x14ac:dyDescent="0.3">
      <c r="A352" s="481" t="s">
        <v>762</v>
      </c>
      <c r="B352" s="482" t="s">
        <v>1303</v>
      </c>
      <c r="C352" s="483">
        <v>46224</v>
      </c>
      <c r="D352" s="485">
        <v>3401.12</v>
      </c>
    </row>
    <row r="353" spans="1:4" x14ac:dyDescent="0.3">
      <c r="A353" s="481" t="s">
        <v>282</v>
      </c>
      <c r="B353" s="482">
        <v>48486304</v>
      </c>
      <c r="C353" s="483">
        <v>46225</v>
      </c>
      <c r="D353" s="485">
        <v>2390</v>
      </c>
    </row>
    <row r="354" spans="1:4" x14ac:dyDescent="0.3">
      <c r="A354" s="481" t="s">
        <v>736</v>
      </c>
      <c r="B354" s="482" t="s">
        <v>1304</v>
      </c>
      <c r="C354" s="483">
        <v>46225</v>
      </c>
      <c r="D354" s="485">
        <v>10360.42</v>
      </c>
    </row>
    <row r="355" spans="1:4" x14ac:dyDescent="0.3">
      <c r="A355" s="481" t="s">
        <v>282</v>
      </c>
      <c r="B355" s="482">
        <v>53990303</v>
      </c>
      <c r="C355" s="483">
        <v>46225</v>
      </c>
      <c r="D355" s="485">
        <v>1256</v>
      </c>
    </row>
    <row r="356" spans="1:4" x14ac:dyDescent="0.3">
      <c r="A356" s="481" t="s">
        <v>1078</v>
      </c>
      <c r="B356" s="482">
        <v>112873</v>
      </c>
      <c r="C356" s="483">
        <v>46225</v>
      </c>
      <c r="D356" s="485">
        <v>7882.56</v>
      </c>
    </row>
    <row r="357" spans="1:4" x14ac:dyDescent="0.3">
      <c r="A357" s="481" t="s">
        <v>792</v>
      </c>
      <c r="B357" s="482" t="s">
        <v>1305</v>
      </c>
      <c r="C357" s="483">
        <v>46226</v>
      </c>
      <c r="D357" s="485">
        <v>15970.84</v>
      </c>
    </row>
    <row r="358" spans="1:4" x14ac:dyDescent="0.3">
      <c r="A358" s="481" t="s">
        <v>282</v>
      </c>
      <c r="B358" s="482">
        <v>49145503</v>
      </c>
      <c r="C358" s="483">
        <v>46226</v>
      </c>
      <c r="D358" s="485">
        <v>13215</v>
      </c>
    </row>
    <row r="359" spans="1:4" x14ac:dyDescent="0.3">
      <c r="A359" s="481" t="s">
        <v>282</v>
      </c>
      <c r="B359" s="482">
        <v>49136803</v>
      </c>
      <c r="C359" s="483">
        <v>46226</v>
      </c>
      <c r="D359" s="485">
        <v>744</v>
      </c>
    </row>
    <row r="360" spans="1:4" x14ac:dyDescent="0.3">
      <c r="A360" s="481" t="s">
        <v>282</v>
      </c>
      <c r="B360" s="482">
        <v>48538504</v>
      </c>
      <c r="C360" s="483">
        <v>46227</v>
      </c>
      <c r="D360" s="485">
        <v>12786</v>
      </c>
    </row>
    <row r="361" spans="1:4" x14ac:dyDescent="0.3">
      <c r="A361" s="481" t="s">
        <v>216</v>
      </c>
      <c r="B361" s="482" t="s">
        <v>1092</v>
      </c>
      <c r="C361" s="483">
        <v>46228</v>
      </c>
      <c r="D361" s="485">
        <v>3200</v>
      </c>
    </row>
    <row r="362" spans="1:4" x14ac:dyDescent="0.3">
      <c r="A362" s="481" t="s">
        <v>282</v>
      </c>
      <c r="B362" s="482">
        <v>48574804</v>
      </c>
      <c r="C362" s="483">
        <v>46228</v>
      </c>
      <c r="D362" s="485">
        <v>3211</v>
      </c>
    </row>
    <row r="363" spans="1:4" x14ac:dyDescent="0.3">
      <c r="A363" s="481" t="s">
        <v>282</v>
      </c>
      <c r="B363" s="482">
        <v>64245704</v>
      </c>
      <c r="C363" s="483">
        <v>46228</v>
      </c>
      <c r="D363" s="485">
        <v>1542</v>
      </c>
    </row>
    <row r="364" spans="1:4" x14ac:dyDescent="0.3">
      <c r="A364" s="481" t="s">
        <v>744</v>
      </c>
      <c r="B364" s="482" t="s">
        <v>1306</v>
      </c>
      <c r="C364" s="483">
        <v>46228</v>
      </c>
      <c r="D364" s="485">
        <v>859.5</v>
      </c>
    </row>
    <row r="365" spans="1:4" x14ac:dyDescent="0.3">
      <c r="A365" s="481" t="s">
        <v>282</v>
      </c>
      <c r="B365" s="482">
        <v>48575604</v>
      </c>
      <c r="C365" s="483">
        <v>46228</v>
      </c>
      <c r="D365" s="485">
        <v>1785</v>
      </c>
    </row>
    <row r="366" spans="1:4" x14ac:dyDescent="0.3">
      <c r="A366" s="481" t="s">
        <v>1074</v>
      </c>
      <c r="B366" s="482" t="s">
        <v>1307</v>
      </c>
      <c r="C366" s="483">
        <v>46228</v>
      </c>
      <c r="D366" s="485">
        <v>8948.49</v>
      </c>
    </row>
    <row r="367" spans="1:4" x14ac:dyDescent="0.3">
      <c r="A367" s="481" t="s">
        <v>1074</v>
      </c>
      <c r="B367" s="482" t="s">
        <v>1308</v>
      </c>
      <c r="C367" s="483">
        <v>46228</v>
      </c>
      <c r="D367" s="485">
        <v>27086.73</v>
      </c>
    </row>
    <row r="368" spans="1:4" x14ac:dyDescent="0.3">
      <c r="A368" s="481" t="s">
        <v>762</v>
      </c>
      <c r="B368" s="482" t="s">
        <v>1309</v>
      </c>
      <c r="C368" s="483">
        <v>46229</v>
      </c>
      <c r="D368" s="485">
        <v>880.28</v>
      </c>
    </row>
    <row r="369" spans="1:4" x14ac:dyDescent="0.3">
      <c r="A369" s="481" t="s">
        <v>786</v>
      </c>
      <c r="B369" s="482" t="s">
        <v>1310</v>
      </c>
      <c r="C369" s="483">
        <v>46229</v>
      </c>
      <c r="D369" s="485">
        <v>10000.02</v>
      </c>
    </row>
    <row r="370" spans="1:4" x14ac:dyDescent="0.3">
      <c r="A370" s="481" t="s">
        <v>241</v>
      </c>
      <c r="B370" s="482" t="s">
        <v>1311</v>
      </c>
      <c r="C370" s="483">
        <v>46229</v>
      </c>
      <c r="D370" s="485">
        <v>2367.86</v>
      </c>
    </row>
    <row r="371" spans="1:4" x14ac:dyDescent="0.3">
      <c r="A371" s="481" t="s">
        <v>58</v>
      </c>
      <c r="B371" s="482" t="s">
        <v>1312</v>
      </c>
      <c r="C371" s="483">
        <v>46230</v>
      </c>
      <c r="D371" s="485">
        <v>2106.75</v>
      </c>
    </row>
    <row r="372" spans="1:4" x14ac:dyDescent="0.3">
      <c r="A372" s="481" t="s">
        <v>738</v>
      </c>
      <c r="B372" s="482">
        <v>29403</v>
      </c>
      <c r="C372" s="483">
        <v>46230</v>
      </c>
      <c r="D372" s="485">
        <v>2302.4299999999998</v>
      </c>
    </row>
    <row r="373" spans="1:4" x14ac:dyDescent="0.3">
      <c r="A373" s="481" t="s">
        <v>289</v>
      </c>
      <c r="B373" s="482" t="s">
        <v>1313</v>
      </c>
      <c r="C373" s="483">
        <v>46230</v>
      </c>
      <c r="D373" s="485">
        <v>25597.439999999999</v>
      </c>
    </row>
    <row r="374" spans="1:4" x14ac:dyDescent="0.3">
      <c r="A374" s="481" t="s">
        <v>289</v>
      </c>
      <c r="B374" s="482" t="s">
        <v>1314</v>
      </c>
      <c r="C374" s="483">
        <v>46230</v>
      </c>
      <c r="D374" s="485">
        <v>25597.439999999999</v>
      </c>
    </row>
    <row r="375" spans="1:4" x14ac:dyDescent="0.3">
      <c r="A375" s="481" t="s">
        <v>58</v>
      </c>
      <c r="B375" s="482" t="s">
        <v>1315</v>
      </c>
      <c r="C375" s="483">
        <v>46231</v>
      </c>
      <c r="D375" s="485">
        <v>3403.74</v>
      </c>
    </row>
    <row r="376" spans="1:4" x14ac:dyDescent="0.3">
      <c r="A376" s="481" t="s">
        <v>282</v>
      </c>
      <c r="B376" s="482">
        <v>64634303</v>
      </c>
      <c r="C376" s="483">
        <v>46231</v>
      </c>
      <c r="D376" s="485">
        <v>503</v>
      </c>
    </row>
    <row r="377" spans="1:4" x14ac:dyDescent="0.3">
      <c r="A377" s="481" t="s">
        <v>282</v>
      </c>
      <c r="B377" s="482">
        <v>64292704</v>
      </c>
      <c r="C377" s="483">
        <v>46232</v>
      </c>
      <c r="D377" s="485">
        <v>5357</v>
      </c>
    </row>
    <row r="378" spans="1:4" x14ac:dyDescent="0.3">
      <c r="A378" s="481" t="s">
        <v>736</v>
      </c>
      <c r="B378" s="482" t="s">
        <v>1316</v>
      </c>
      <c r="C378" s="483">
        <v>46232</v>
      </c>
      <c r="D378" s="485">
        <v>7380.92</v>
      </c>
    </row>
    <row r="379" spans="1:4" x14ac:dyDescent="0.3">
      <c r="A379" s="481" t="s">
        <v>744</v>
      </c>
      <c r="B379" s="482" t="s">
        <v>1317</v>
      </c>
      <c r="C379" s="483">
        <v>46233</v>
      </c>
      <c r="D379" s="485">
        <v>5089.29</v>
      </c>
    </row>
    <row r="380" spans="1:4" x14ac:dyDescent="0.3">
      <c r="A380" s="481" t="s">
        <v>282</v>
      </c>
      <c r="B380" s="482">
        <v>48676904</v>
      </c>
      <c r="C380" s="483">
        <v>46233</v>
      </c>
      <c r="D380" s="485">
        <v>4941</v>
      </c>
    </row>
    <row r="381" spans="1:4" x14ac:dyDescent="0.3">
      <c r="A381" s="481" t="s">
        <v>58</v>
      </c>
      <c r="B381" s="482" t="s">
        <v>1318</v>
      </c>
      <c r="C381" s="483">
        <v>46233</v>
      </c>
      <c r="D381" s="485">
        <v>3403.74</v>
      </c>
    </row>
    <row r="382" spans="1:4" x14ac:dyDescent="0.3">
      <c r="A382" s="481" t="s">
        <v>1074</v>
      </c>
      <c r="B382" s="482" t="s">
        <v>1319</v>
      </c>
      <c r="C382" s="483">
        <v>46234</v>
      </c>
      <c r="D382" s="485">
        <v>10842</v>
      </c>
    </row>
    <row r="383" spans="1:4" x14ac:dyDescent="0.3">
      <c r="A383" s="481" t="s">
        <v>58</v>
      </c>
      <c r="B383" s="482" t="s">
        <v>1320</v>
      </c>
      <c r="C383" s="483">
        <v>46237</v>
      </c>
      <c r="D383" s="485">
        <v>2106.75</v>
      </c>
    </row>
    <row r="384" spans="1:4" x14ac:dyDescent="0.3">
      <c r="A384" s="481" t="s">
        <v>744</v>
      </c>
      <c r="B384" s="482" t="s">
        <v>1321</v>
      </c>
      <c r="C384" s="483">
        <v>46239</v>
      </c>
      <c r="D384" s="485">
        <v>632.32000000000005</v>
      </c>
    </row>
    <row r="385" spans="1:4" x14ac:dyDescent="0.3">
      <c r="A385" s="481" t="s">
        <v>58</v>
      </c>
      <c r="B385" s="482" t="s">
        <v>1322</v>
      </c>
      <c r="C385" s="483">
        <v>46241</v>
      </c>
      <c r="D385" s="485">
        <v>3403.74</v>
      </c>
    </row>
    <row r="386" spans="1:4" x14ac:dyDescent="0.3">
      <c r="A386" s="481" t="s">
        <v>282</v>
      </c>
      <c r="B386" s="482">
        <v>48879804</v>
      </c>
      <c r="C386" s="483">
        <v>46242</v>
      </c>
      <c r="D386" s="485">
        <v>19814</v>
      </c>
    </row>
    <row r="387" spans="1:4" x14ac:dyDescent="0.3">
      <c r="A387" s="481" t="s">
        <v>1074</v>
      </c>
      <c r="B387" s="482" t="s">
        <v>1323</v>
      </c>
      <c r="C387" s="483">
        <v>46243</v>
      </c>
      <c r="D387" s="485">
        <v>6308.11</v>
      </c>
    </row>
    <row r="388" spans="1:4" x14ac:dyDescent="0.3">
      <c r="A388" s="481" t="s">
        <v>777</v>
      </c>
      <c r="B388" s="482">
        <v>31384851</v>
      </c>
      <c r="C388" s="483">
        <v>46244</v>
      </c>
      <c r="D388" s="485">
        <v>569.32000000000005</v>
      </c>
    </row>
    <row r="389" spans="1:4" x14ac:dyDescent="0.3">
      <c r="A389" s="481" t="s">
        <v>777</v>
      </c>
      <c r="B389" s="482">
        <v>32425378</v>
      </c>
      <c r="C389" s="483">
        <v>46244</v>
      </c>
      <c r="D389" s="485">
        <v>569.32000000000005</v>
      </c>
    </row>
    <row r="390" spans="1:4" x14ac:dyDescent="0.3">
      <c r="A390" s="481" t="s">
        <v>58</v>
      </c>
      <c r="B390" s="482" t="s">
        <v>1324</v>
      </c>
      <c r="C390" s="483">
        <v>46246</v>
      </c>
      <c r="D390" s="485">
        <v>3403.74</v>
      </c>
    </row>
    <row r="391" spans="1:4" x14ac:dyDescent="0.3">
      <c r="A391" s="481" t="s">
        <v>736</v>
      </c>
      <c r="B391" s="482" t="s">
        <v>1325</v>
      </c>
      <c r="C391" s="483">
        <v>46247</v>
      </c>
      <c r="D391" s="485">
        <v>6549.03</v>
      </c>
    </row>
    <row r="392" spans="1:4" x14ac:dyDescent="0.3">
      <c r="A392" s="481" t="s">
        <v>282</v>
      </c>
      <c r="B392" s="482">
        <v>48975404</v>
      </c>
      <c r="C392" s="483">
        <v>46247</v>
      </c>
      <c r="D392" s="485">
        <v>20373</v>
      </c>
    </row>
    <row r="393" spans="1:4" x14ac:dyDescent="0.3">
      <c r="A393" s="481" t="s">
        <v>744</v>
      </c>
      <c r="B393" s="482" t="s">
        <v>1326</v>
      </c>
      <c r="C393" s="483">
        <v>46247</v>
      </c>
      <c r="D393" s="485">
        <v>1683.47</v>
      </c>
    </row>
    <row r="394" spans="1:4" x14ac:dyDescent="0.3">
      <c r="A394" s="481" t="s">
        <v>282</v>
      </c>
      <c r="B394" s="482">
        <v>48992404</v>
      </c>
      <c r="C394" s="483">
        <v>46248</v>
      </c>
      <c r="D394" s="485">
        <v>3093</v>
      </c>
    </row>
    <row r="395" spans="1:4" x14ac:dyDescent="0.3">
      <c r="A395" s="481" t="s">
        <v>282</v>
      </c>
      <c r="B395" s="482">
        <v>64490004</v>
      </c>
      <c r="C395" s="483">
        <v>46248</v>
      </c>
      <c r="D395" s="485">
        <v>1459</v>
      </c>
    </row>
    <row r="396" spans="1:4" x14ac:dyDescent="0.3">
      <c r="A396" s="481" t="s">
        <v>240</v>
      </c>
      <c r="B396" s="482" t="s">
        <v>1092</v>
      </c>
      <c r="C396" s="483">
        <v>46252</v>
      </c>
      <c r="D396" s="485">
        <v>70</v>
      </c>
    </row>
    <row r="397" spans="1:4" x14ac:dyDescent="0.3">
      <c r="A397" s="481" t="s">
        <v>744</v>
      </c>
      <c r="B397" s="482" t="s">
        <v>1327</v>
      </c>
      <c r="C397" s="483">
        <v>46252</v>
      </c>
      <c r="D397" s="485">
        <v>2058.96</v>
      </c>
    </row>
    <row r="398" spans="1:4" x14ac:dyDescent="0.3">
      <c r="A398" s="481" t="s">
        <v>240</v>
      </c>
      <c r="B398" s="482" t="s">
        <v>1092</v>
      </c>
      <c r="C398" s="483">
        <v>46254</v>
      </c>
      <c r="D398" s="485">
        <v>3924</v>
      </c>
    </row>
    <row r="399" spans="1:4" x14ac:dyDescent="0.3">
      <c r="A399" s="481" t="s">
        <v>736</v>
      </c>
      <c r="B399" s="482" t="s">
        <v>1328</v>
      </c>
      <c r="C399" s="483">
        <v>46255</v>
      </c>
      <c r="D399" s="485">
        <v>10360.4</v>
      </c>
    </row>
    <row r="400" spans="1:4" x14ac:dyDescent="0.3">
      <c r="A400" s="481" t="s">
        <v>282</v>
      </c>
      <c r="B400" s="482">
        <v>53990304</v>
      </c>
      <c r="C400" s="483">
        <v>46255</v>
      </c>
      <c r="D400" s="485">
        <v>1256</v>
      </c>
    </row>
    <row r="401" spans="1:4" x14ac:dyDescent="0.3">
      <c r="A401" s="481" t="s">
        <v>282</v>
      </c>
      <c r="B401" s="482">
        <v>49145504</v>
      </c>
      <c r="C401" s="483">
        <v>46256</v>
      </c>
      <c r="D401" s="485">
        <v>13215</v>
      </c>
    </row>
    <row r="402" spans="1:4" x14ac:dyDescent="0.3">
      <c r="A402" s="481" t="s">
        <v>282</v>
      </c>
      <c r="B402" s="482">
        <v>49136804</v>
      </c>
      <c r="C402" s="483">
        <v>46256</v>
      </c>
      <c r="D402" s="485">
        <v>744</v>
      </c>
    </row>
    <row r="403" spans="1:4" x14ac:dyDescent="0.3">
      <c r="A403" s="481" t="s">
        <v>792</v>
      </c>
      <c r="B403" s="482" t="s">
        <v>1329</v>
      </c>
      <c r="C403" s="483">
        <v>46257</v>
      </c>
      <c r="D403" s="485">
        <v>15970.84</v>
      </c>
    </row>
    <row r="404" spans="1:4" x14ac:dyDescent="0.3">
      <c r="A404" s="481" t="s">
        <v>1074</v>
      </c>
      <c r="B404" s="482" t="s">
        <v>1330</v>
      </c>
      <c r="C404" s="483">
        <v>46258</v>
      </c>
      <c r="D404" s="485">
        <v>27086.74</v>
      </c>
    </row>
    <row r="405" spans="1:4" x14ac:dyDescent="0.3">
      <c r="A405" s="481" t="s">
        <v>1074</v>
      </c>
      <c r="B405" s="482" t="s">
        <v>1331</v>
      </c>
      <c r="C405" s="483">
        <v>46258</v>
      </c>
      <c r="D405" s="485">
        <v>8948.51</v>
      </c>
    </row>
    <row r="406" spans="1:4" x14ac:dyDescent="0.3">
      <c r="A406" s="481" t="s">
        <v>216</v>
      </c>
      <c r="B406" s="482" t="s">
        <v>1092</v>
      </c>
      <c r="C406" s="483">
        <v>46259</v>
      </c>
      <c r="D406" s="485">
        <v>3200</v>
      </c>
    </row>
    <row r="407" spans="1:4" x14ac:dyDescent="0.3">
      <c r="A407" s="481" t="s">
        <v>736</v>
      </c>
      <c r="B407" s="482" t="s">
        <v>1332</v>
      </c>
      <c r="C407" s="483">
        <v>46262</v>
      </c>
      <c r="D407" s="485">
        <v>7380.92</v>
      </c>
    </row>
    <row r="408" spans="1:4" x14ac:dyDescent="0.3">
      <c r="A408" s="481" t="s">
        <v>744</v>
      </c>
      <c r="B408" s="482" t="s">
        <v>1333</v>
      </c>
      <c r="C408" s="483">
        <v>46263</v>
      </c>
      <c r="D408" s="485">
        <v>5089.29</v>
      </c>
    </row>
    <row r="409" spans="1:4" x14ac:dyDescent="0.3">
      <c r="A409" s="481" t="s">
        <v>1074</v>
      </c>
      <c r="B409" s="482" t="s">
        <v>1334</v>
      </c>
      <c r="C409" s="483">
        <v>46264</v>
      </c>
      <c r="D409" s="485">
        <v>10842</v>
      </c>
    </row>
    <row r="410" spans="1:4" x14ac:dyDescent="0.3">
      <c r="A410" s="481" t="s">
        <v>777</v>
      </c>
      <c r="B410" s="482">
        <v>31384852</v>
      </c>
      <c r="C410" s="483">
        <v>46275</v>
      </c>
      <c r="D410" s="485">
        <v>569.30999999999995</v>
      </c>
    </row>
    <row r="411" spans="1:4" x14ac:dyDescent="0.3">
      <c r="A411" s="481" t="s">
        <v>777</v>
      </c>
      <c r="B411" s="482">
        <v>32425379</v>
      </c>
      <c r="C411" s="483">
        <v>46275</v>
      </c>
      <c r="D411" s="485">
        <v>569.30999999999995</v>
      </c>
    </row>
    <row r="412" spans="1:4" x14ac:dyDescent="0.3">
      <c r="A412" s="481" t="s">
        <v>736</v>
      </c>
      <c r="B412" s="482" t="s">
        <v>1335</v>
      </c>
      <c r="C412" s="483">
        <v>46277</v>
      </c>
      <c r="D412" s="485">
        <v>6549.01</v>
      </c>
    </row>
    <row r="413" spans="1:4" x14ac:dyDescent="0.3">
      <c r="A413" s="481" t="s">
        <v>240</v>
      </c>
      <c r="B413" s="482" t="s">
        <v>1092</v>
      </c>
      <c r="C413" s="483">
        <v>46283</v>
      </c>
      <c r="D413" s="485">
        <v>70</v>
      </c>
    </row>
    <row r="414" spans="1:4" x14ac:dyDescent="0.3">
      <c r="A414" s="481" t="s">
        <v>240</v>
      </c>
      <c r="B414" s="482" t="s">
        <v>1092</v>
      </c>
      <c r="C414" s="483">
        <v>46285</v>
      </c>
      <c r="D414" s="485">
        <v>3924</v>
      </c>
    </row>
    <row r="415" spans="1:4" x14ac:dyDescent="0.3">
      <c r="A415" s="481" t="s">
        <v>792</v>
      </c>
      <c r="B415" s="482" t="s">
        <v>1336</v>
      </c>
      <c r="C415" s="483">
        <v>46288</v>
      </c>
      <c r="D415" s="485">
        <v>15970.84</v>
      </c>
    </row>
    <row r="416" spans="1:4" x14ac:dyDescent="0.3">
      <c r="A416" s="481" t="s">
        <v>216</v>
      </c>
      <c r="B416" s="482" t="s">
        <v>1092</v>
      </c>
      <c r="C416" s="483">
        <v>46290</v>
      </c>
      <c r="D416" s="485">
        <v>3200</v>
      </c>
    </row>
    <row r="417" spans="1:4" x14ac:dyDescent="0.3">
      <c r="A417" s="481" t="s">
        <v>736</v>
      </c>
      <c r="B417" s="482" t="s">
        <v>1337</v>
      </c>
      <c r="C417" s="483">
        <v>46292</v>
      </c>
      <c r="D417" s="485">
        <v>7380.91</v>
      </c>
    </row>
    <row r="418" spans="1:4" x14ac:dyDescent="0.3">
      <c r="A418" s="481" t="s">
        <v>777</v>
      </c>
      <c r="B418" s="482">
        <v>31384853</v>
      </c>
      <c r="C418" s="483">
        <v>46308</v>
      </c>
      <c r="D418" s="485">
        <v>569.30999999999995</v>
      </c>
    </row>
    <row r="419" spans="1:4" x14ac:dyDescent="0.3">
      <c r="A419" s="481" t="s">
        <v>777</v>
      </c>
      <c r="B419" s="482">
        <v>32425380</v>
      </c>
      <c r="C419" s="483">
        <v>46308</v>
      </c>
      <c r="D419" s="485">
        <v>569.30999999999995</v>
      </c>
    </row>
    <row r="420" spans="1:4" x14ac:dyDescent="0.3">
      <c r="A420" s="481" t="s">
        <v>240</v>
      </c>
      <c r="B420" s="482" t="s">
        <v>1092</v>
      </c>
      <c r="C420" s="483">
        <v>46313</v>
      </c>
      <c r="D420" s="485">
        <v>70</v>
      </c>
    </row>
    <row r="421" spans="1:4" x14ac:dyDescent="0.3">
      <c r="A421" s="481" t="s">
        <v>240</v>
      </c>
      <c r="B421" s="482" t="s">
        <v>1092</v>
      </c>
      <c r="C421" s="483">
        <v>46315</v>
      </c>
      <c r="D421" s="485">
        <v>3924</v>
      </c>
    </row>
    <row r="422" spans="1:4" x14ac:dyDescent="0.3">
      <c r="A422" s="481" t="s">
        <v>792</v>
      </c>
      <c r="B422" s="482" t="s">
        <v>1338</v>
      </c>
      <c r="C422" s="483">
        <v>46318</v>
      </c>
      <c r="D422" s="485">
        <v>15970.84</v>
      </c>
    </row>
    <row r="423" spans="1:4" x14ac:dyDescent="0.3">
      <c r="A423" s="481" t="s">
        <v>216</v>
      </c>
      <c r="B423" s="482" t="s">
        <v>1092</v>
      </c>
      <c r="C423" s="483">
        <v>46320</v>
      </c>
      <c r="D423" s="485">
        <v>3200</v>
      </c>
    </row>
    <row r="424" spans="1:4" x14ac:dyDescent="0.3">
      <c r="A424" s="481" t="s">
        <v>777</v>
      </c>
      <c r="B424" s="482">
        <v>31384854</v>
      </c>
      <c r="C424" s="483">
        <v>46336</v>
      </c>
      <c r="D424" s="485">
        <v>569.30999999999995</v>
      </c>
    </row>
    <row r="425" spans="1:4" x14ac:dyDescent="0.3">
      <c r="A425" s="481" t="s">
        <v>777</v>
      </c>
      <c r="B425" s="482">
        <v>32425381</v>
      </c>
      <c r="C425" s="483">
        <v>46336</v>
      </c>
      <c r="D425" s="485">
        <v>569.30999999999995</v>
      </c>
    </row>
    <row r="426" spans="1:4" x14ac:dyDescent="0.3">
      <c r="A426" s="481" t="s">
        <v>240</v>
      </c>
      <c r="B426" s="482" t="s">
        <v>1092</v>
      </c>
      <c r="C426" s="483">
        <v>46344</v>
      </c>
      <c r="D426" s="485">
        <v>70</v>
      </c>
    </row>
    <row r="427" spans="1:4" x14ac:dyDescent="0.3">
      <c r="A427" s="481" t="s">
        <v>240</v>
      </c>
      <c r="B427" s="482" t="s">
        <v>1092</v>
      </c>
      <c r="C427" s="483">
        <v>46346</v>
      </c>
      <c r="D427" s="485">
        <v>3924</v>
      </c>
    </row>
    <row r="428" spans="1:4" x14ac:dyDescent="0.3">
      <c r="A428" s="481" t="s">
        <v>792</v>
      </c>
      <c r="B428" s="482" t="s">
        <v>1339</v>
      </c>
      <c r="C428" s="483">
        <v>46349</v>
      </c>
      <c r="D428" s="485">
        <v>15970.84</v>
      </c>
    </row>
    <row r="429" spans="1:4" x14ac:dyDescent="0.3">
      <c r="A429" s="481" t="s">
        <v>216</v>
      </c>
      <c r="B429" s="482" t="s">
        <v>1092</v>
      </c>
      <c r="C429" s="483">
        <v>46351</v>
      </c>
      <c r="D429" s="485">
        <v>3200</v>
      </c>
    </row>
    <row r="430" spans="1:4" x14ac:dyDescent="0.3">
      <c r="A430" s="481" t="s">
        <v>777</v>
      </c>
      <c r="B430" s="482">
        <v>31384855</v>
      </c>
      <c r="C430" s="483">
        <v>46366</v>
      </c>
      <c r="D430" s="485">
        <v>569.30999999999995</v>
      </c>
    </row>
    <row r="431" spans="1:4" x14ac:dyDescent="0.3">
      <c r="A431" s="481" t="s">
        <v>777</v>
      </c>
      <c r="B431" s="482">
        <v>32425382</v>
      </c>
      <c r="C431" s="483">
        <v>46366</v>
      </c>
      <c r="D431" s="485">
        <v>569.30999999999995</v>
      </c>
    </row>
    <row r="432" spans="1:4" x14ac:dyDescent="0.3">
      <c r="A432" s="481" t="s">
        <v>240</v>
      </c>
      <c r="B432" s="482" t="s">
        <v>1092</v>
      </c>
      <c r="C432" s="483">
        <v>46374</v>
      </c>
      <c r="D432" s="485">
        <v>70</v>
      </c>
    </row>
    <row r="433" spans="1:4" x14ac:dyDescent="0.3">
      <c r="A433" s="481" t="s">
        <v>240</v>
      </c>
      <c r="B433" s="482" t="s">
        <v>1092</v>
      </c>
      <c r="C433" s="483">
        <v>46376</v>
      </c>
      <c r="D433" s="485">
        <v>3924</v>
      </c>
    </row>
    <row r="434" spans="1:4" x14ac:dyDescent="0.3">
      <c r="A434" s="481" t="s">
        <v>792</v>
      </c>
      <c r="B434" s="482" t="s">
        <v>1340</v>
      </c>
      <c r="C434" s="483">
        <v>46379</v>
      </c>
      <c r="D434" s="485">
        <v>15970.84</v>
      </c>
    </row>
    <row r="435" spans="1:4" x14ac:dyDescent="0.3">
      <c r="A435" s="481" t="s">
        <v>216</v>
      </c>
      <c r="B435" s="482" t="s">
        <v>1092</v>
      </c>
      <c r="C435" s="483">
        <v>46381</v>
      </c>
      <c r="D435" s="485">
        <v>3200</v>
      </c>
    </row>
    <row r="436" spans="1:4" x14ac:dyDescent="0.3">
      <c r="A436" s="481" t="s">
        <v>792</v>
      </c>
      <c r="B436" s="482" t="s">
        <v>1341</v>
      </c>
      <c r="C436" s="483">
        <v>46410</v>
      </c>
      <c r="D436" s="485">
        <v>15970.84</v>
      </c>
    </row>
    <row r="437" spans="1:4" x14ac:dyDescent="0.3">
      <c r="A437" s="481" t="s">
        <v>216</v>
      </c>
      <c r="B437" s="482" t="s">
        <v>1092</v>
      </c>
      <c r="C437" s="483">
        <v>46412</v>
      </c>
      <c r="D437" s="485">
        <v>3200</v>
      </c>
    </row>
    <row r="438" spans="1:4" x14ac:dyDescent="0.3">
      <c r="A438" s="481" t="s">
        <v>792</v>
      </c>
      <c r="B438" s="482" t="s">
        <v>1342</v>
      </c>
      <c r="C438" s="483">
        <v>46441</v>
      </c>
      <c r="D438" s="485">
        <v>15970.84</v>
      </c>
    </row>
    <row r="439" spans="1:4" x14ac:dyDescent="0.3">
      <c r="A439" s="481" t="s">
        <v>792</v>
      </c>
      <c r="B439" s="482" t="s">
        <v>1343</v>
      </c>
      <c r="C439" s="483">
        <v>46469</v>
      </c>
      <c r="D439" s="485">
        <v>15970.84</v>
      </c>
    </row>
    <row r="440" spans="1:4" x14ac:dyDescent="0.3">
      <c r="A440" s="481" t="s">
        <v>792</v>
      </c>
      <c r="B440" s="482" t="s">
        <v>1344</v>
      </c>
      <c r="C440" s="483">
        <v>46500</v>
      </c>
      <c r="D440" s="485">
        <v>15970.84</v>
      </c>
    </row>
    <row r="441" spans="1:4" x14ac:dyDescent="0.3">
      <c r="A441" s="481" t="s">
        <v>792</v>
      </c>
      <c r="B441" s="482" t="s">
        <v>1345</v>
      </c>
      <c r="C441" s="483">
        <v>46530</v>
      </c>
      <c r="D441" s="485">
        <v>15970.84</v>
      </c>
    </row>
    <row r="442" spans="1:4" x14ac:dyDescent="0.3">
      <c r="A442" s="481" t="s">
        <v>792</v>
      </c>
      <c r="B442" s="482" t="s">
        <v>1346</v>
      </c>
      <c r="C442" s="483">
        <v>46561</v>
      </c>
      <c r="D442" s="485">
        <v>15970.84</v>
      </c>
    </row>
    <row r="443" spans="1:4" x14ac:dyDescent="0.3">
      <c r="A443" s="481" t="s">
        <v>792</v>
      </c>
      <c r="B443" s="482" t="s">
        <v>1347</v>
      </c>
      <c r="C443" s="483">
        <v>46591</v>
      </c>
      <c r="D443" s="485">
        <v>15970.84</v>
      </c>
    </row>
    <row r="444" spans="1:4" x14ac:dyDescent="0.3">
      <c r="A444" s="481" t="s">
        <v>792</v>
      </c>
      <c r="B444" s="482" t="s">
        <v>1348</v>
      </c>
      <c r="C444" s="483">
        <v>46622</v>
      </c>
      <c r="D444" s="485">
        <v>15970.84</v>
      </c>
    </row>
    <row r="445" spans="1:4" x14ac:dyDescent="0.3">
      <c r="A445" s="481" t="s">
        <v>792</v>
      </c>
      <c r="B445" s="482" t="s">
        <v>1349</v>
      </c>
      <c r="C445" s="483">
        <v>46653</v>
      </c>
      <c r="D445" s="485">
        <v>15970.84</v>
      </c>
    </row>
    <row r="446" spans="1:4" x14ac:dyDescent="0.3">
      <c r="A446" s="481" t="s">
        <v>792</v>
      </c>
      <c r="B446" s="482" t="s">
        <v>1350</v>
      </c>
      <c r="C446" s="483">
        <v>46683</v>
      </c>
      <c r="D446" s="485">
        <v>15970.84</v>
      </c>
    </row>
    <row r="447" spans="1:4" x14ac:dyDescent="0.3">
      <c r="A447" s="481" t="s">
        <v>792</v>
      </c>
      <c r="B447" s="482" t="s">
        <v>1351</v>
      </c>
      <c r="C447" s="483">
        <v>46714</v>
      </c>
      <c r="D447" s="485">
        <v>15970.84</v>
      </c>
    </row>
    <row r="448" spans="1:4" x14ac:dyDescent="0.3">
      <c r="A448" s="481" t="s">
        <v>792</v>
      </c>
      <c r="B448" s="482" t="s">
        <v>1352</v>
      </c>
      <c r="C448" s="483">
        <v>46744</v>
      </c>
      <c r="D448" s="485">
        <v>15970.84</v>
      </c>
    </row>
    <row r="449" spans="1:4" x14ac:dyDescent="0.3">
      <c r="A449" s="481" t="s">
        <v>792</v>
      </c>
      <c r="B449" s="482" t="s">
        <v>1353</v>
      </c>
      <c r="C449" s="483">
        <v>46775</v>
      </c>
      <c r="D449" s="485">
        <v>15970.84</v>
      </c>
    </row>
    <row r="450" spans="1:4" x14ac:dyDescent="0.3">
      <c r="A450" s="481" t="s">
        <v>792</v>
      </c>
      <c r="B450" s="482" t="s">
        <v>1354</v>
      </c>
      <c r="C450" s="483">
        <v>46806</v>
      </c>
      <c r="D450" s="485">
        <v>15970.84</v>
      </c>
    </row>
    <row r="451" spans="1:4" x14ac:dyDescent="0.3">
      <c r="A451" s="481" t="s">
        <v>792</v>
      </c>
      <c r="B451" s="482" t="s">
        <v>1355</v>
      </c>
      <c r="C451" s="483">
        <v>46835</v>
      </c>
      <c r="D451" s="485">
        <v>15970.84</v>
      </c>
    </row>
    <row r="452" spans="1:4" x14ac:dyDescent="0.3">
      <c r="A452" s="481" t="s">
        <v>792</v>
      </c>
      <c r="B452" s="482" t="s">
        <v>1356</v>
      </c>
      <c r="C452" s="483">
        <v>46866</v>
      </c>
      <c r="D452" s="485">
        <v>15970.84</v>
      </c>
    </row>
    <row r="453" spans="1:4" x14ac:dyDescent="0.3">
      <c r="A453" s="481" t="s">
        <v>792</v>
      </c>
      <c r="B453" s="482" t="s">
        <v>1357</v>
      </c>
      <c r="C453" s="483">
        <v>46896</v>
      </c>
      <c r="D453" s="485">
        <v>15970.84</v>
      </c>
    </row>
    <row r="454" spans="1:4" x14ac:dyDescent="0.3">
      <c r="A454" s="481" t="s">
        <v>792</v>
      </c>
      <c r="B454" s="482" t="s">
        <v>1358</v>
      </c>
      <c r="C454" s="483">
        <v>46927</v>
      </c>
      <c r="D454" s="485">
        <v>15970.84</v>
      </c>
    </row>
    <row r="455" spans="1:4" x14ac:dyDescent="0.3">
      <c r="A455" s="481" t="s">
        <v>792</v>
      </c>
      <c r="B455" s="482" t="s">
        <v>1359</v>
      </c>
      <c r="C455" s="483">
        <v>46957</v>
      </c>
      <c r="D455" s="485">
        <v>15970.84</v>
      </c>
    </row>
    <row r="456" spans="1:4" x14ac:dyDescent="0.3">
      <c r="A456" s="481" t="s">
        <v>792</v>
      </c>
      <c r="B456" s="482" t="s">
        <v>1360</v>
      </c>
      <c r="C456" s="483">
        <v>46988</v>
      </c>
      <c r="D456" s="485">
        <v>15970.84</v>
      </c>
    </row>
    <row r="457" spans="1:4" x14ac:dyDescent="0.3">
      <c r="A457" s="481" t="s">
        <v>792</v>
      </c>
      <c r="B457" s="482" t="s">
        <v>1361</v>
      </c>
      <c r="C457" s="483">
        <v>47019</v>
      </c>
      <c r="D457" s="485">
        <v>15970.84</v>
      </c>
    </row>
    <row r="458" spans="1:4" x14ac:dyDescent="0.3">
      <c r="A458" s="481" t="s">
        <v>792</v>
      </c>
      <c r="B458" s="482" t="s">
        <v>1362</v>
      </c>
      <c r="C458" s="483">
        <v>47049</v>
      </c>
      <c r="D458" s="485">
        <v>15970.99</v>
      </c>
    </row>
    <row r="911" spans="8:8" x14ac:dyDescent="0.3">
      <c r="H911" t="s">
        <v>1363</v>
      </c>
    </row>
  </sheetData>
  <autoFilter ref="A2:D430" xr:uid="{75711890-CE41-4F4F-B007-DDC918FC233C}"/>
  <sortState xmlns:xlrd2="http://schemas.microsoft.com/office/spreadsheetml/2017/richdata2" ref="A3:D325">
    <sortCondition ref="C3:C325"/>
  </sortState>
  <dataValidations count="2">
    <dataValidation type="list" allowBlank="1" showInputMessage="1" showErrorMessage="1" sqref="G1 L1 Q1 V1" xr:uid="{065C0742-E020-415F-AE11-2EEA93033554}">
      <formula1>"01,02,03,04,05,06,07,08,09,10,11,12"</formula1>
    </dataValidation>
    <dataValidation type="list" allowBlank="1" showInputMessage="1" showErrorMessage="1" sqref="G2 L2 Q2 V2" xr:uid="{9A6FECAB-BCDA-4F07-AD73-06E1000E97C5}">
      <formula1>"2026"</formula1>
    </dataValidation>
  </dataValidations>
  <pageMargins left="0.511811024" right="0.511811024" top="0.78740157499999996" bottom="0.78740157499999996" header="0.31496062000000002" footer="0.31496062000000002"/>
  <ignoredErrors>
    <ignoredError sqref="K4:K12 P4:P12 U4:U12 F4:F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263D2-8CED-4C69-BF0D-396C3CDD89B5}">
  <dimension ref="A1:R56"/>
  <sheetViews>
    <sheetView showGridLines="0" workbookViewId="0">
      <selection activeCell="I2" sqref="I2"/>
    </sheetView>
  </sheetViews>
  <sheetFormatPr defaultColWidth="9.109375" defaultRowHeight="14.4" x14ac:dyDescent="0.3"/>
  <cols>
    <col min="1" max="1" width="10.88671875" style="446" bestFit="1" customWidth="1"/>
    <col min="2" max="2" width="10.88671875" style="429" bestFit="1" customWidth="1"/>
    <col min="3" max="3" width="54.33203125" style="50" bestFit="1" customWidth="1"/>
    <col min="4" max="4" width="11.6640625" style="170" bestFit="1" customWidth="1"/>
    <col min="5" max="5" width="13.33203125" style="309" bestFit="1" customWidth="1"/>
    <col min="6" max="6" width="11.6640625" style="50" bestFit="1" customWidth="1"/>
    <col min="7" max="7" width="2.6640625" style="50" customWidth="1"/>
    <col min="8" max="8" width="10.33203125" style="170" bestFit="1" customWidth="1"/>
    <col min="9" max="9" width="13.33203125" style="170" bestFit="1" customWidth="1"/>
    <col min="10" max="10" width="14" style="50" bestFit="1" customWidth="1"/>
    <col min="11" max="11" width="2.6640625" style="50" customWidth="1"/>
    <col min="12" max="12" width="24.44140625" style="170" customWidth="1"/>
    <col min="13" max="15" width="22.6640625" style="50" customWidth="1"/>
    <col min="16" max="16384" width="9.109375" style="50"/>
  </cols>
  <sheetData>
    <row r="1" spans="1:16" x14ac:dyDescent="0.3">
      <c r="A1" s="431" t="s">
        <v>1364</v>
      </c>
      <c r="B1" s="431" t="s">
        <v>1065</v>
      </c>
      <c r="C1" s="360" t="s">
        <v>1365</v>
      </c>
      <c r="D1" s="362" t="s">
        <v>1366</v>
      </c>
      <c r="E1" s="361" t="s">
        <v>1060</v>
      </c>
      <c r="F1" s="362" t="s">
        <v>1367</v>
      </c>
      <c r="H1" s="171" t="s">
        <v>1051</v>
      </c>
      <c r="I1" s="171" t="s">
        <v>1368</v>
      </c>
      <c r="J1" s="171" t="s">
        <v>1369</v>
      </c>
      <c r="L1" s="379"/>
      <c r="M1" s="379"/>
      <c r="N1" s="379"/>
      <c r="O1" s="379"/>
    </row>
    <row r="2" spans="1:16" x14ac:dyDescent="0.3">
      <c r="A2" s="374" t="s">
        <v>1370</v>
      </c>
      <c r="B2" s="426" t="s">
        <v>1371</v>
      </c>
      <c r="C2" s="375" t="s">
        <v>1372</v>
      </c>
      <c r="D2" s="374" t="s">
        <v>1373</v>
      </c>
      <c r="E2" s="377">
        <v>20435</v>
      </c>
      <c r="F2" s="374"/>
      <c r="H2" s="185" t="s">
        <v>1374</v>
      </c>
      <c r="I2" s="432">
        <v>73659.53</v>
      </c>
      <c r="J2" s="363">
        <f>SUM(J4:J34)</f>
        <v>883700.3</v>
      </c>
      <c r="L2" s="380" t="s">
        <v>1375</v>
      </c>
      <c r="M2" s="380" t="s">
        <v>1376</v>
      </c>
      <c r="N2" s="380" t="s">
        <v>1377</v>
      </c>
      <c r="O2" s="380" t="s">
        <v>1378</v>
      </c>
    </row>
    <row r="3" spans="1:16" x14ac:dyDescent="0.3">
      <c r="A3" s="374" t="s">
        <v>1370</v>
      </c>
      <c r="B3" s="426" t="s">
        <v>1379</v>
      </c>
      <c r="C3" s="375" t="s">
        <v>1372</v>
      </c>
      <c r="D3" s="374" t="s">
        <v>1373</v>
      </c>
      <c r="E3" s="377">
        <v>13502</v>
      </c>
      <c r="F3" s="374"/>
      <c r="H3" s="171" t="s">
        <v>1065</v>
      </c>
      <c r="I3" s="171" t="s">
        <v>1064</v>
      </c>
      <c r="J3" s="171" t="s">
        <v>1380</v>
      </c>
      <c r="L3" s="380"/>
      <c r="M3" s="380"/>
      <c r="N3" s="380"/>
      <c r="O3" s="381"/>
    </row>
    <row r="4" spans="1:16" ht="21" x14ac:dyDescent="0.3">
      <c r="A4" s="374" t="s">
        <v>1370</v>
      </c>
      <c r="B4" s="426" t="s">
        <v>1379</v>
      </c>
      <c r="C4" s="375" t="s">
        <v>1381</v>
      </c>
      <c r="D4" s="374" t="s">
        <v>1382</v>
      </c>
      <c r="E4" s="377">
        <v>82.59</v>
      </c>
      <c r="F4" s="374"/>
      <c r="H4" s="349">
        <v>46113</v>
      </c>
      <c r="I4" s="364">
        <f>H4</f>
        <v>46113</v>
      </c>
      <c r="J4" s="365">
        <f t="shared" ref="J4:J34" si="0">SUMIF(B:B,H4,E:E)</f>
        <v>0</v>
      </c>
      <c r="L4" s="382" t="str">
        <f>H2</f>
        <v>Abril</v>
      </c>
      <c r="M4" s="383">
        <f>J2</f>
        <v>883700.3</v>
      </c>
      <c r="N4" s="383">
        <v>851256.72</v>
      </c>
      <c r="O4" s="383">
        <f>M4-N4</f>
        <v>32443.580000000075</v>
      </c>
    </row>
    <row r="5" spans="1:16" x14ac:dyDescent="0.3">
      <c r="A5" s="374" t="s">
        <v>1370</v>
      </c>
      <c r="B5" s="426" t="s">
        <v>1379</v>
      </c>
      <c r="C5" s="375" t="s">
        <v>1383</v>
      </c>
      <c r="D5" s="374" t="s">
        <v>1373</v>
      </c>
      <c r="E5" s="377">
        <v>266.32</v>
      </c>
      <c r="H5" s="349">
        <v>46114</v>
      </c>
      <c r="I5" s="364">
        <f t="shared" ref="I5:I34" si="1">H5</f>
        <v>46114</v>
      </c>
      <c r="J5" s="365">
        <f t="shared" si="0"/>
        <v>20435</v>
      </c>
      <c r="L5" s="384"/>
      <c r="M5" s="435">
        <f>M4/N14</f>
        <v>0.68745039771290772</v>
      </c>
      <c r="N5" s="385"/>
      <c r="O5" s="385"/>
    </row>
    <row r="6" spans="1:16" x14ac:dyDescent="0.3">
      <c r="A6" s="374" t="s">
        <v>1370</v>
      </c>
      <c r="B6" s="427" t="s">
        <v>1379</v>
      </c>
      <c r="C6" s="395" t="s">
        <v>1372</v>
      </c>
      <c r="D6" s="394" t="s">
        <v>1373</v>
      </c>
      <c r="E6" s="439">
        <v>46650</v>
      </c>
      <c r="F6" s="374"/>
      <c r="H6" s="349">
        <v>46115</v>
      </c>
      <c r="I6" s="364">
        <f t="shared" si="1"/>
        <v>46115</v>
      </c>
      <c r="J6" s="365">
        <f t="shared" si="0"/>
        <v>0</v>
      </c>
      <c r="L6" s="386"/>
      <c r="M6" s="386"/>
      <c r="N6" s="386"/>
      <c r="O6" s="386"/>
    </row>
    <row r="7" spans="1:16" x14ac:dyDescent="0.3">
      <c r="A7" s="374" t="s">
        <v>1370</v>
      </c>
      <c r="B7" s="427" t="s">
        <v>1384</v>
      </c>
      <c r="C7" s="395" t="s">
        <v>1385</v>
      </c>
      <c r="D7" s="394" t="s">
        <v>1373</v>
      </c>
      <c r="E7" s="439">
        <v>542.97</v>
      </c>
      <c r="H7" s="349">
        <v>46116</v>
      </c>
      <c r="I7" s="364">
        <f t="shared" si="1"/>
        <v>46116</v>
      </c>
      <c r="J7" s="367">
        <f t="shared" si="0"/>
        <v>0</v>
      </c>
      <c r="L7" s="387" t="str">
        <f>L2</f>
        <v>Mês de Competência</v>
      </c>
      <c r="M7" s="387" t="s">
        <v>1386</v>
      </c>
      <c r="N7" s="387" t="s">
        <v>1387</v>
      </c>
      <c r="O7" s="387" t="s">
        <v>1388</v>
      </c>
    </row>
    <row r="8" spans="1:16" x14ac:dyDescent="0.3">
      <c r="A8" s="374" t="s">
        <v>1370</v>
      </c>
      <c r="B8" s="427" t="s">
        <v>1384</v>
      </c>
      <c r="C8" s="395" t="s">
        <v>1372</v>
      </c>
      <c r="D8" s="394" t="s">
        <v>1373</v>
      </c>
      <c r="E8" s="439">
        <v>50000</v>
      </c>
      <c r="H8" s="349">
        <v>46117</v>
      </c>
      <c r="I8" s="364">
        <f t="shared" si="1"/>
        <v>46117</v>
      </c>
      <c r="J8" s="367">
        <f t="shared" si="0"/>
        <v>0</v>
      </c>
      <c r="L8" s="387"/>
      <c r="M8" s="387"/>
      <c r="N8" s="387"/>
      <c r="O8" s="387"/>
    </row>
    <row r="9" spans="1:16" ht="21" x14ac:dyDescent="0.3">
      <c r="A9" s="374" t="s">
        <v>1370</v>
      </c>
      <c r="B9" s="427" t="s">
        <v>1389</v>
      </c>
      <c r="C9" s="395" t="s">
        <v>1390</v>
      </c>
      <c r="D9" s="394" t="s">
        <v>1391</v>
      </c>
      <c r="E9" s="439">
        <v>350</v>
      </c>
      <c r="H9" s="349">
        <v>46118</v>
      </c>
      <c r="I9" s="364">
        <f t="shared" si="1"/>
        <v>46118</v>
      </c>
      <c r="J9" s="365">
        <f t="shared" si="0"/>
        <v>60500.91</v>
      </c>
      <c r="L9" s="388" t="str">
        <f>L4</f>
        <v>Abril</v>
      </c>
      <c r="M9" s="389">
        <v>41217.949999999997</v>
      </c>
      <c r="N9" s="390">
        <f>I2</f>
        <v>73659.53</v>
      </c>
      <c r="O9" s="390">
        <f>N9-M9</f>
        <v>32441.58</v>
      </c>
    </row>
    <row r="10" spans="1:16" x14ac:dyDescent="0.3">
      <c r="A10" s="374" t="s">
        <v>1370</v>
      </c>
      <c r="B10" s="427" t="s">
        <v>1389</v>
      </c>
      <c r="C10" s="395" t="s">
        <v>1372</v>
      </c>
      <c r="D10" s="394" t="s">
        <v>1373</v>
      </c>
      <c r="E10" s="439">
        <v>24769</v>
      </c>
      <c r="H10" s="349">
        <v>46119</v>
      </c>
      <c r="I10" s="364">
        <f t="shared" si="1"/>
        <v>46119</v>
      </c>
      <c r="J10" s="365">
        <f t="shared" si="0"/>
        <v>50542.97</v>
      </c>
      <c r="L10" s="391"/>
      <c r="M10" s="392"/>
      <c r="N10" s="393"/>
      <c r="O10" s="393"/>
    </row>
    <row r="11" spans="1:16" x14ac:dyDescent="0.3">
      <c r="A11" s="374" t="s">
        <v>1370</v>
      </c>
      <c r="B11" s="428">
        <v>46121</v>
      </c>
      <c r="C11" s="415" t="s">
        <v>1392</v>
      </c>
      <c r="D11" s="394">
        <v>739614</v>
      </c>
      <c r="E11" s="440">
        <v>469.86</v>
      </c>
      <c r="H11" s="349">
        <v>46120</v>
      </c>
      <c r="I11" s="364">
        <f t="shared" si="1"/>
        <v>46120</v>
      </c>
      <c r="J11" s="365">
        <f t="shared" si="0"/>
        <v>25119</v>
      </c>
      <c r="L11" s="407"/>
      <c r="M11" s="407"/>
      <c r="N11" s="407"/>
      <c r="O11" s="407"/>
    </row>
    <row r="12" spans="1:16" x14ac:dyDescent="0.3">
      <c r="A12" s="374" t="s">
        <v>1370</v>
      </c>
      <c r="B12" s="428">
        <v>46121</v>
      </c>
      <c r="C12" s="415" t="s">
        <v>1372</v>
      </c>
      <c r="D12" s="394" t="s">
        <v>1373</v>
      </c>
      <c r="E12" s="440">
        <v>50000</v>
      </c>
      <c r="H12" s="349">
        <v>46121</v>
      </c>
      <c r="I12" s="364">
        <f t="shared" si="1"/>
        <v>46121</v>
      </c>
      <c r="J12" s="365">
        <f t="shared" si="0"/>
        <v>50469.86</v>
      </c>
      <c r="L12" s="408" t="str">
        <f>L7</f>
        <v>Mês de Competência</v>
      </c>
      <c r="M12" s="408" t="s">
        <v>1393</v>
      </c>
      <c r="N12" s="408" t="s">
        <v>1394</v>
      </c>
      <c r="O12" s="408" t="s">
        <v>1395</v>
      </c>
    </row>
    <row r="13" spans="1:16" x14ac:dyDescent="0.3">
      <c r="A13" s="374" t="s">
        <v>1370</v>
      </c>
      <c r="B13" s="428">
        <v>46122</v>
      </c>
      <c r="C13" s="415" t="s">
        <v>1396</v>
      </c>
      <c r="D13" s="394">
        <v>821732437</v>
      </c>
      <c r="E13" s="440">
        <v>2290.2800000000002</v>
      </c>
      <c r="H13" s="349">
        <v>46122</v>
      </c>
      <c r="I13" s="364">
        <f t="shared" si="1"/>
        <v>46122</v>
      </c>
      <c r="J13" s="365">
        <f t="shared" si="0"/>
        <v>8076.3900000000012</v>
      </c>
      <c r="L13" s="408"/>
      <c r="M13" s="408"/>
      <c r="N13" s="408"/>
      <c r="O13" s="408"/>
    </row>
    <row r="14" spans="1:16" ht="21" x14ac:dyDescent="0.3">
      <c r="A14" s="374" t="s">
        <v>1370</v>
      </c>
      <c r="B14" s="428">
        <v>46122</v>
      </c>
      <c r="C14" s="415" t="s">
        <v>1397</v>
      </c>
      <c r="D14" s="394">
        <v>821732411</v>
      </c>
      <c r="E14" s="440">
        <v>479.72</v>
      </c>
      <c r="H14" s="349">
        <v>46123</v>
      </c>
      <c r="I14" s="364">
        <f t="shared" si="1"/>
        <v>46123</v>
      </c>
      <c r="J14" s="367">
        <f t="shared" si="0"/>
        <v>0</v>
      </c>
      <c r="L14" s="409" t="str">
        <f>L9</f>
        <v>Abril</v>
      </c>
      <c r="M14" s="410">
        <v>1500000</v>
      </c>
      <c r="N14" s="410">
        <v>1285475</v>
      </c>
      <c r="O14" s="414">
        <f>N14/M14</f>
        <v>0.85698333333333332</v>
      </c>
      <c r="P14" s="491"/>
    </row>
    <row r="15" spans="1:16" x14ac:dyDescent="0.3">
      <c r="A15" s="374" t="s">
        <v>1370</v>
      </c>
      <c r="B15" s="428">
        <v>46122</v>
      </c>
      <c r="C15" s="415" t="s">
        <v>1381</v>
      </c>
      <c r="D15" s="394">
        <v>821732424</v>
      </c>
      <c r="E15" s="440">
        <v>2690.03</v>
      </c>
      <c r="H15" s="349">
        <v>46124</v>
      </c>
      <c r="I15" s="364">
        <f t="shared" si="1"/>
        <v>46124</v>
      </c>
      <c r="J15" s="367">
        <f t="shared" si="0"/>
        <v>0</v>
      </c>
      <c r="L15" s="411"/>
      <c r="M15" s="412"/>
      <c r="N15" s="413"/>
      <c r="O15" s="413"/>
    </row>
    <row r="16" spans="1:16" x14ac:dyDescent="0.3">
      <c r="A16" s="374" t="s">
        <v>1370</v>
      </c>
      <c r="B16" s="429" t="s">
        <v>1398</v>
      </c>
      <c r="C16" s="50" t="s">
        <v>1399</v>
      </c>
      <c r="D16" s="170" t="s">
        <v>1373</v>
      </c>
      <c r="E16" s="366">
        <v>2476.36</v>
      </c>
      <c r="H16" s="349">
        <v>46125</v>
      </c>
      <c r="I16" s="364">
        <f t="shared" si="1"/>
        <v>46125</v>
      </c>
      <c r="J16" s="365">
        <f t="shared" si="0"/>
        <v>52990.14</v>
      </c>
      <c r="L16" s="170" t="s">
        <v>1400</v>
      </c>
      <c r="M16" s="170">
        <v>2130</v>
      </c>
      <c r="N16" s="451" t="s">
        <v>1401</v>
      </c>
      <c r="O16" s="453">
        <f>M16-N16</f>
        <v>463</v>
      </c>
    </row>
    <row r="17" spans="1:18" x14ac:dyDescent="0.3">
      <c r="A17" s="374" t="s">
        <v>1370</v>
      </c>
      <c r="B17" s="429" t="s">
        <v>1398</v>
      </c>
      <c r="C17" s="50" t="s">
        <v>1402</v>
      </c>
      <c r="D17" s="170" t="s">
        <v>1373</v>
      </c>
      <c r="E17" s="366">
        <v>140</v>
      </c>
      <c r="H17" s="349">
        <v>46126</v>
      </c>
      <c r="I17" s="364">
        <f t="shared" si="1"/>
        <v>46126</v>
      </c>
      <c r="J17" s="365">
        <f t="shared" si="0"/>
        <v>707.92</v>
      </c>
      <c r="Q17" s="170"/>
      <c r="R17" s="368"/>
    </row>
    <row r="18" spans="1:18" x14ac:dyDescent="0.3">
      <c r="A18" s="374" t="s">
        <v>1370</v>
      </c>
      <c r="B18" s="429" t="s">
        <v>1403</v>
      </c>
      <c r="C18" s="50" t="s">
        <v>1372</v>
      </c>
      <c r="D18" s="170" t="s">
        <v>1373</v>
      </c>
      <c r="E18" s="366">
        <v>24850</v>
      </c>
      <c r="H18" s="349">
        <v>46127</v>
      </c>
      <c r="I18" s="364">
        <f t="shared" si="1"/>
        <v>46127</v>
      </c>
      <c r="J18" s="365">
        <f t="shared" si="0"/>
        <v>50000</v>
      </c>
      <c r="Q18" s="170"/>
    </row>
    <row r="19" spans="1:18" x14ac:dyDescent="0.3">
      <c r="A19" s="374" t="s">
        <v>1370</v>
      </c>
      <c r="B19" s="429" t="s">
        <v>1403</v>
      </c>
      <c r="C19" s="50" t="s">
        <v>1385</v>
      </c>
      <c r="D19" s="170" t="s">
        <v>1373</v>
      </c>
      <c r="E19" s="366">
        <v>256.14</v>
      </c>
      <c r="H19" s="349">
        <v>46128</v>
      </c>
      <c r="I19" s="364">
        <f t="shared" si="1"/>
        <v>46128</v>
      </c>
      <c r="J19" s="365">
        <f t="shared" si="0"/>
        <v>113089.92</v>
      </c>
      <c r="L19" s="113" t="s">
        <v>1375</v>
      </c>
      <c r="M19" s="113" t="s">
        <v>1376</v>
      </c>
      <c r="N19" s="113" t="s">
        <v>1377</v>
      </c>
      <c r="O19" s="113" t="s">
        <v>1378</v>
      </c>
    </row>
    <row r="20" spans="1:18" x14ac:dyDescent="0.3">
      <c r="A20" s="374" t="s">
        <v>1370</v>
      </c>
      <c r="B20" s="429">
        <v>46125</v>
      </c>
      <c r="C20" s="50" t="s">
        <v>1372</v>
      </c>
      <c r="D20" s="170" t="s">
        <v>1373</v>
      </c>
      <c r="E20" s="366">
        <v>27884</v>
      </c>
      <c r="H20" s="349">
        <v>46129</v>
      </c>
      <c r="I20" s="364">
        <f t="shared" si="1"/>
        <v>46129</v>
      </c>
      <c r="J20" s="365">
        <f t="shared" si="0"/>
        <v>42189</v>
      </c>
      <c r="L20" s="356" t="s">
        <v>1404</v>
      </c>
      <c r="M20" s="357">
        <v>1036116.5200000001</v>
      </c>
      <c r="N20" s="357">
        <v>991713.58</v>
      </c>
      <c r="O20" s="357">
        <v>44402.940000000177</v>
      </c>
    </row>
    <row r="21" spans="1:18" x14ac:dyDescent="0.3">
      <c r="A21" s="374" t="s">
        <v>1370</v>
      </c>
      <c r="B21" s="429" t="s">
        <v>1405</v>
      </c>
      <c r="C21" s="50" t="s">
        <v>1385</v>
      </c>
      <c r="D21" s="170" t="s">
        <v>1373</v>
      </c>
      <c r="E21" s="366">
        <v>707.92</v>
      </c>
      <c r="H21" s="349">
        <v>46130</v>
      </c>
      <c r="I21" s="364">
        <f t="shared" si="1"/>
        <v>46130</v>
      </c>
      <c r="J21" s="367">
        <f t="shared" si="0"/>
        <v>0</v>
      </c>
      <c r="M21" s="170"/>
    </row>
    <row r="22" spans="1:18" x14ac:dyDescent="0.25">
      <c r="A22" s="374" t="s">
        <v>1370</v>
      </c>
      <c r="B22" s="434">
        <v>46127</v>
      </c>
      <c r="C22" s="433" t="s">
        <v>1372</v>
      </c>
      <c r="D22" s="443" t="s">
        <v>1373</v>
      </c>
      <c r="E22" s="441">
        <v>50000</v>
      </c>
      <c r="H22" s="349">
        <v>46131</v>
      </c>
      <c r="I22" s="364">
        <f t="shared" si="1"/>
        <v>46131</v>
      </c>
      <c r="J22" s="367">
        <f t="shared" si="0"/>
        <v>0</v>
      </c>
      <c r="M22" s="170"/>
      <c r="Q22" s="170"/>
    </row>
    <row r="23" spans="1:18" x14ac:dyDescent="0.25">
      <c r="A23" s="374" t="s">
        <v>1370</v>
      </c>
      <c r="B23" s="434">
        <v>46128</v>
      </c>
      <c r="C23" s="433" t="s">
        <v>1372</v>
      </c>
      <c r="D23" s="443" t="s">
        <v>1373</v>
      </c>
      <c r="E23" s="441">
        <v>82039</v>
      </c>
      <c r="H23" s="349">
        <v>46132</v>
      </c>
      <c r="I23" s="364">
        <f t="shared" si="1"/>
        <v>46132</v>
      </c>
      <c r="J23" s="365">
        <f t="shared" si="0"/>
        <v>51153.36</v>
      </c>
      <c r="L23" s="113" t="s">
        <v>1375</v>
      </c>
      <c r="M23" s="113" t="s">
        <v>1406</v>
      </c>
      <c r="N23" s="113" t="s">
        <v>1407</v>
      </c>
      <c r="O23" s="113" t="s">
        <v>1388</v>
      </c>
      <c r="Q23" s="170"/>
    </row>
    <row r="24" spans="1:18" x14ac:dyDescent="0.25">
      <c r="A24" s="374" t="s">
        <v>1370</v>
      </c>
      <c r="B24" s="434">
        <v>46128</v>
      </c>
      <c r="C24" s="433" t="s">
        <v>1372</v>
      </c>
      <c r="D24" s="443" t="s">
        <v>1373</v>
      </c>
      <c r="E24" s="441">
        <v>30409</v>
      </c>
      <c r="H24" s="349">
        <v>46133</v>
      </c>
      <c r="I24" s="364">
        <f t="shared" si="1"/>
        <v>46133</v>
      </c>
      <c r="J24" s="365">
        <f t="shared" si="0"/>
        <v>0</v>
      </c>
      <c r="L24" s="356" t="s">
        <v>1404</v>
      </c>
      <c r="M24" s="357">
        <v>-3932.19</v>
      </c>
      <c r="N24" s="357">
        <v>41217.949999999997</v>
      </c>
      <c r="O24" s="357">
        <v>45150.14</v>
      </c>
    </row>
    <row r="25" spans="1:18" x14ac:dyDescent="0.25">
      <c r="A25" s="374" t="s">
        <v>1370</v>
      </c>
      <c r="B25" s="434">
        <v>46128</v>
      </c>
      <c r="C25" s="433" t="s">
        <v>1385</v>
      </c>
      <c r="D25" s="443" t="s">
        <v>1373</v>
      </c>
      <c r="E25" s="441">
        <v>641.91999999999996</v>
      </c>
      <c r="H25" s="349">
        <v>46134</v>
      </c>
      <c r="I25" s="364">
        <f t="shared" si="1"/>
        <v>46134</v>
      </c>
      <c r="J25" s="365">
        <f t="shared" si="0"/>
        <v>141158.12</v>
      </c>
      <c r="M25" s="170"/>
    </row>
    <row r="26" spans="1:18" x14ac:dyDescent="0.25">
      <c r="A26" s="374" t="s">
        <v>1370</v>
      </c>
      <c r="B26" s="438" t="s">
        <v>1408</v>
      </c>
      <c r="C26" s="438" t="s">
        <v>1372</v>
      </c>
      <c r="D26" s="444" t="s">
        <v>1373</v>
      </c>
      <c r="E26" s="442">
        <v>42189</v>
      </c>
      <c r="H26" s="349">
        <v>46135</v>
      </c>
      <c r="I26" s="364">
        <f t="shared" si="1"/>
        <v>46135</v>
      </c>
      <c r="J26" s="365">
        <f t="shared" si="0"/>
        <v>54913</v>
      </c>
      <c r="M26" s="170"/>
    </row>
    <row r="27" spans="1:18" x14ac:dyDescent="0.3">
      <c r="A27" s="374" t="s">
        <v>1370</v>
      </c>
      <c r="B27" s="436">
        <v>46132</v>
      </c>
      <c r="C27" s="437" t="s">
        <v>1396</v>
      </c>
      <c r="D27" s="445">
        <v>825395361</v>
      </c>
      <c r="E27" s="448">
        <v>5771.86</v>
      </c>
      <c r="H27" s="349">
        <v>46136</v>
      </c>
      <c r="I27" s="364">
        <f t="shared" si="1"/>
        <v>46136</v>
      </c>
      <c r="J27" s="365">
        <f t="shared" si="0"/>
        <v>40462</v>
      </c>
      <c r="M27" s="115"/>
      <c r="Q27" s="170"/>
    </row>
    <row r="28" spans="1:18" x14ac:dyDescent="0.3">
      <c r="A28" s="374" t="s">
        <v>1370</v>
      </c>
      <c r="B28" s="429">
        <v>46132</v>
      </c>
      <c r="C28" s="50" t="s">
        <v>1397</v>
      </c>
      <c r="D28" s="170">
        <v>825395626</v>
      </c>
      <c r="E28" s="366">
        <v>751.55</v>
      </c>
      <c r="H28" s="349">
        <v>46137</v>
      </c>
      <c r="I28" s="364">
        <f t="shared" si="1"/>
        <v>46137</v>
      </c>
      <c r="J28" s="367">
        <f t="shared" si="0"/>
        <v>0</v>
      </c>
      <c r="M28" s="170"/>
      <c r="Q28" s="170"/>
    </row>
    <row r="29" spans="1:18" x14ac:dyDescent="0.3">
      <c r="A29" s="374" t="s">
        <v>1370</v>
      </c>
      <c r="B29" s="429">
        <v>46132</v>
      </c>
      <c r="C29" s="50" t="s">
        <v>1381</v>
      </c>
      <c r="D29" s="170">
        <v>825395623</v>
      </c>
      <c r="E29" s="366">
        <v>8083.68</v>
      </c>
      <c r="H29" s="349">
        <v>46138</v>
      </c>
      <c r="I29" s="364">
        <f t="shared" si="1"/>
        <v>46138</v>
      </c>
      <c r="J29" s="367">
        <f t="shared" si="0"/>
        <v>0</v>
      </c>
      <c r="M29" s="369"/>
    </row>
    <row r="30" spans="1:18" x14ac:dyDescent="0.3">
      <c r="A30" s="374" t="s">
        <v>1370</v>
      </c>
      <c r="B30" s="429">
        <v>46132</v>
      </c>
      <c r="C30" s="50" t="s">
        <v>1381</v>
      </c>
      <c r="D30" s="170">
        <v>825395350</v>
      </c>
      <c r="E30" s="366">
        <v>1312.2</v>
      </c>
      <c r="H30" s="349">
        <v>46139</v>
      </c>
      <c r="I30" s="364">
        <f t="shared" si="1"/>
        <v>46139</v>
      </c>
      <c r="J30" s="365">
        <f t="shared" si="0"/>
        <v>14676.54</v>
      </c>
      <c r="M30" s="170"/>
    </row>
    <row r="31" spans="1:18" x14ac:dyDescent="0.3">
      <c r="A31" s="374" t="s">
        <v>1370</v>
      </c>
      <c r="B31" s="429">
        <v>46132</v>
      </c>
      <c r="C31" s="50" t="s">
        <v>1396</v>
      </c>
      <c r="D31" s="170">
        <v>825395662</v>
      </c>
      <c r="E31" s="366">
        <v>678.51</v>
      </c>
      <c r="H31" s="349">
        <v>46140</v>
      </c>
      <c r="I31" s="364">
        <f t="shared" si="1"/>
        <v>46140</v>
      </c>
      <c r="J31" s="365">
        <f t="shared" si="0"/>
        <v>71423</v>
      </c>
      <c r="M31" s="170"/>
    </row>
    <row r="32" spans="1:18" x14ac:dyDescent="0.3">
      <c r="A32" s="374" t="s">
        <v>1370</v>
      </c>
      <c r="B32" s="429">
        <v>46132</v>
      </c>
      <c r="C32" s="375" t="s">
        <v>1381</v>
      </c>
      <c r="D32" s="374">
        <v>825395646</v>
      </c>
      <c r="E32" s="377">
        <v>616.95000000000005</v>
      </c>
      <c r="F32" s="374"/>
      <c r="H32" s="349">
        <v>46141</v>
      </c>
      <c r="I32" s="364">
        <f t="shared" si="1"/>
        <v>46141</v>
      </c>
      <c r="J32" s="365">
        <f t="shared" si="0"/>
        <v>33906.17</v>
      </c>
      <c r="M32" s="115"/>
    </row>
    <row r="33" spans="1:13" x14ac:dyDescent="0.3">
      <c r="A33" s="374" t="s">
        <v>1370</v>
      </c>
      <c r="B33" s="429">
        <v>46132</v>
      </c>
      <c r="C33" s="375" t="s">
        <v>1409</v>
      </c>
      <c r="D33" s="374">
        <v>825395374</v>
      </c>
      <c r="E33" s="377">
        <v>553.13</v>
      </c>
      <c r="F33" s="374"/>
      <c r="H33" s="349">
        <v>46142</v>
      </c>
      <c r="I33" s="364">
        <f t="shared" si="1"/>
        <v>46142</v>
      </c>
      <c r="J33" s="365">
        <f t="shared" si="0"/>
        <v>1887</v>
      </c>
      <c r="M33" s="170"/>
    </row>
    <row r="34" spans="1:13" x14ac:dyDescent="0.25">
      <c r="A34" s="374" t="s">
        <v>1370</v>
      </c>
      <c r="B34" s="447" t="s">
        <v>1410</v>
      </c>
      <c r="C34" s="447" t="s">
        <v>1383</v>
      </c>
      <c r="D34" s="447" t="s">
        <v>1373</v>
      </c>
      <c r="E34" s="449">
        <v>1451.48</v>
      </c>
      <c r="H34" s="349"/>
      <c r="I34" s="364">
        <f t="shared" si="1"/>
        <v>0</v>
      </c>
      <c r="J34" s="365">
        <f t="shared" si="0"/>
        <v>0</v>
      </c>
      <c r="M34" s="369"/>
    </row>
    <row r="35" spans="1:13" x14ac:dyDescent="0.25">
      <c r="A35" s="374" t="s">
        <v>1370</v>
      </c>
      <c r="B35" s="447" t="s">
        <v>1410</v>
      </c>
      <c r="C35" s="447" t="s">
        <v>1372</v>
      </c>
      <c r="D35" s="447" t="s">
        <v>1373</v>
      </c>
      <c r="E35" s="449">
        <v>31934</v>
      </c>
      <c r="F35" s="374"/>
    </row>
    <row r="36" spans="1:13" x14ac:dyDescent="0.3">
      <c r="A36" s="374" t="s">
        <v>1370</v>
      </c>
      <c r="B36" s="430">
        <v>46134</v>
      </c>
      <c r="C36" s="375" t="s">
        <v>1411</v>
      </c>
      <c r="D36" s="374">
        <v>459370</v>
      </c>
      <c r="E36" s="376">
        <v>81158.12</v>
      </c>
      <c r="F36" s="374"/>
    </row>
    <row r="37" spans="1:13" x14ac:dyDescent="0.3">
      <c r="A37" s="374" t="s">
        <v>1370</v>
      </c>
      <c r="B37" s="430">
        <v>46134</v>
      </c>
      <c r="C37" s="375" t="s">
        <v>1372</v>
      </c>
      <c r="D37" s="374" t="s">
        <v>1373</v>
      </c>
      <c r="E37" s="377">
        <v>50000</v>
      </c>
      <c r="F37" s="374"/>
    </row>
    <row r="38" spans="1:13" x14ac:dyDescent="0.25">
      <c r="A38" s="374" t="s">
        <v>1370</v>
      </c>
      <c r="B38" s="434">
        <v>46134</v>
      </c>
      <c r="C38" s="433" t="s">
        <v>1372</v>
      </c>
      <c r="D38" s="433" t="s">
        <v>1373</v>
      </c>
      <c r="E38" s="450">
        <v>10000</v>
      </c>
      <c r="F38" s="374"/>
    </row>
    <row r="39" spans="1:13" x14ac:dyDescent="0.25">
      <c r="A39" s="374" t="s">
        <v>1370</v>
      </c>
      <c r="B39" s="434">
        <v>46135</v>
      </c>
      <c r="C39" s="433" t="s">
        <v>1372</v>
      </c>
      <c r="D39" s="433" t="s">
        <v>1373</v>
      </c>
      <c r="E39" s="441">
        <v>4563</v>
      </c>
      <c r="F39" s="374"/>
      <c r="L39" s="340"/>
    </row>
    <row r="40" spans="1:13" x14ac:dyDescent="0.25">
      <c r="A40" s="374" t="s">
        <v>1370</v>
      </c>
      <c r="B40" s="434">
        <v>46135</v>
      </c>
      <c r="C40" s="433" t="s">
        <v>1412</v>
      </c>
      <c r="D40" s="433" t="s">
        <v>1373</v>
      </c>
      <c r="E40" s="441">
        <v>350</v>
      </c>
      <c r="F40" s="374"/>
      <c r="L40" s="341" t="s">
        <v>1413</v>
      </c>
    </row>
    <row r="41" spans="1:13" x14ac:dyDescent="0.25">
      <c r="A41" s="374" t="s">
        <v>1370</v>
      </c>
      <c r="B41" s="434">
        <v>46135</v>
      </c>
      <c r="C41" s="433" t="s">
        <v>1372</v>
      </c>
      <c r="D41" s="433" t="s">
        <v>1373</v>
      </c>
      <c r="E41" s="441">
        <v>50000</v>
      </c>
      <c r="F41" s="374"/>
      <c r="L41" s="342"/>
    </row>
    <row r="42" spans="1:13" x14ac:dyDescent="0.25">
      <c r="A42" s="374" t="s">
        <v>1370</v>
      </c>
      <c r="B42" s="434">
        <v>46136</v>
      </c>
      <c r="C42" s="433" t="s">
        <v>1372</v>
      </c>
      <c r="D42" s="433" t="s">
        <v>1373</v>
      </c>
      <c r="E42" s="441">
        <v>23554</v>
      </c>
      <c r="F42" s="374"/>
      <c r="L42" s="342" t="s">
        <v>1414</v>
      </c>
    </row>
    <row r="43" spans="1:13" x14ac:dyDescent="0.3">
      <c r="A43" s="374" t="s">
        <v>1370</v>
      </c>
      <c r="B43" s="426" t="s">
        <v>1415</v>
      </c>
      <c r="C43" s="375" t="s">
        <v>1372</v>
      </c>
      <c r="D43" s="374" t="s">
        <v>1373</v>
      </c>
      <c r="E43" s="376">
        <v>16908</v>
      </c>
      <c r="F43" s="374"/>
      <c r="L43" s="342"/>
    </row>
    <row r="44" spans="1:13" x14ac:dyDescent="0.3">
      <c r="A44" s="374" t="s">
        <v>1370</v>
      </c>
      <c r="B44" s="426" t="s">
        <v>1416</v>
      </c>
      <c r="C44" s="375" t="s">
        <v>1417</v>
      </c>
      <c r="D44" s="374" t="s">
        <v>1373</v>
      </c>
      <c r="E44" s="376">
        <v>250</v>
      </c>
      <c r="F44" s="374"/>
      <c r="L44" s="342" t="s">
        <v>1418</v>
      </c>
    </row>
    <row r="45" spans="1:13" x14ac:dyDescent="0.25">
      <c r="A45" s="374" t="s">
        <v>1370</v>
      </c>
      <c r="B45" s="434">
        <v>46139</v>
      </c>
      <c r="C45" s="433" t="s">
        <v>1372</v>
      </c>
      <c r="D45" s="433" t="s">
        <v>1373</v>
      </c>
      <c r="E45" s="450">
        <v>7770</v>
      </c>
      <c r="F45" s="374"/>
      <c r="L45" s="343"/>
    </row>
    <row r="46" spans="1:13" x14ac:dyDescent="0.25">
      <c r="A46" s="374" t="s">
        <v>1370</v>
      </c>
      <c r="B46" s="434">
        <v>46139</v>
      </c>
      <c r="C46" s="433" t="s">
        <v>1399</v>
      </c>
      <c r="D46" s="433" t="s">
        <v>1373</v>
      </c>
      <c r="E46" s="450">
        <v>1456.54</v>
      </c>
      <c r="F46" s="374"/>
    </row>
    <row r="47" spans="1:13" x14ac:dyDescent="0.25">
      <c r="A47" s="374" t="s">
        <v>1370</v>
      </c>
      <c r="B47" s="434">
        <v>46139</v>
      </c>
      <c r="C47" s="433" t="s">
        <v>1372</v>
      </c>
      <c r="D47" s="433" t="s">
        <v>1373</v>
      </c>
      <c r="E47" s="450">
        <v>5200</v>
      </c>
      <c r="F47" s="374"/>
    </row>
    <row r="48" spans="1:13" x14ac:dyDescent="0.25">
      <c r="A48" s="374" t="s">
        <v>1370</v>
      </c>
      <c r="B48" s="434">
        <v>46140</v>
      </c>
      <c r="C48" s="433" t="s">
        <v>1372</v>
      </c>
      <c r="D48" s="433" t="s">
        <v>1373</v>
      </c>
      <c r="E48" s="450">
        <v>21423</v>
      </c>
      <c r="F48" s="374"/>
    </row>
    <row r="49" spans="1:6" x14ac:dyDescent="0.25">
      <c r="A49" s="374" t="s">
        <v>1370</v>
      </c>
      <c r="B49" s="434">
        <v>46140</v>
      </c>
      <c r="C49" s="433" t="s">
        <v>1372</v>
      </c>
      <c r="D49" s="433" t="s">
        <v>1373</v>
      </c>
      <c r="E49" s="450">
        <v>50000</v>
      </c>
      <c r="F49" s="378"/>
    </row>
    <row r="50" spans="1:6" x14ac:dyDescent="0.25">
      <c r="A50" s="374" t="s">
        <v>1370</v>
      </c>
      <c r="B50" s="434">
        <v>46141</v>
      </c>
      <c r="C50" s="433" t="s">
        <v>1372</v>
      </c>
      <c r="D50" s="433" t="s">
        <v>1373</v>
      </c>
      <c r="E50" s="450">
        <v>8200</v>
      </c>
      <c r="F50" s="374"/>
    </row>
    <row r="51" spans="1:6" x14ac:dyDescent="0.25">
      <c r="A51" s="374" t="s">
        <v>1370</v>
      </c>
      <c r="B51" s="434">
        <v>46141</v>
      </c>
      <c r="C51" s="433" t="s">
        <v>1372</v>
      </c>
      <c r="D51" s="433" t="s">
        <v>1373</v>
      </c>
      <c r="E51" s="450">
        <v>10000</v>
      </c>
    </row>
    <row r="52" spans="1:6" x14ac:dyDescent="0.25">
      <c r="A52" s="374" t="s">
        <v>1370</v>
      </c>
      <c r="B52" s="434">
        <v>46141</v>
      </c>
      <c r="C52" s="433" t="s">
        <v>1372</v>
      </c>
      <c r="D52" s="433" t="s">
        <v>1373</v>
      </c>
      <c r="E52" s="450">
        <v>15630</v>
      </c>
    </row>
    <row r="53" spans="1:6" x14ac:dyDescent="0.25">
      <c r="A53" s="374" t="s">
        <v>1370</v>
      </c>
      <c r="B53" s="434">
        <v>46141</v>
      </c>
      <c r="C53" s="433" t="s">
        <v>1385</v>
      </c>
      <c r="D53" s="433" t="s">
        <v>1373</v>
      </c>
      <c r="E53" s="450">
        <v>76.17</v>
      </c>
    </row>
    <row r="54" spans="1:6" x14ac:dyDescent="0.3">
      <c r="A54" s="374" t="s">
        <v>1370</v>
      </c>
      <c r="B54" s="429" t="s">
        <v>1419</v>
      </c>
      <c r="C54" s="50" t="s">
        <v>1420</v>
      </c>
      <c r="D54" s="170" t="s">
        <v>1421</v>
      </c>
      <c r="E54" s="309">
        <v>1120</v>
      </c>
    </row>
    <row r="55" spans="1:6" x14ac:dyDescent="0.3">
      <c r="A55" s="374" t="s">
        <v>1370</v>
      </c>
      <c r="B55" s="429" t="s">
        <v>1419</v>
      </c>
      <c r="C55" s="50" t="s">
        <v>1422</v>
      </c>
      <c r="D55" s="170" t="s">
        <v>1373</v>
      </c>
      <c r="E55" s="309">
        <v>33.5</v>
      </c>
    </row>
    <row r="56" spans="1:6" x14ac:dyDescent="0.3">
      <c r="A56" s="374" t="s">
        <v>1370</v>
      </c>
      <c r="B56" s="429" t="s">
        <v>1419</v>
      </c>
      <c r="C56" s="50" t="s">
        <v>1423</v>
      </c>
      <c r="D56" s="170" t="s">
        <v>1373</v>
      </c>
      <c r="E56" s="309">
        <v>733.5</v>
      </c>
    </row>
  </sheetData>
  <sortState xmlns:xlrd2="http://schemas.microsoft.com/office/spreadsheetml/2017/richdata2" ref="B2:E31">
    <sortCondition ref="B2:B31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D4 N1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23BB-9677-4DC4-816E-BA1A7D1EB641}">
  <dimension ref="A1:P107"/>
  <sheetViews>
    <sheetView showGridLines="0" workbookViewId="0">
      <selection activeCell="M47" sqref="M47"/>
    </sheetView>
  </sheetViews>
  <sheetFormatPr defaultColWidth="8.88671875" defaultRowHeight="13.8" x14ac:dyDescent="0.3"/>
  <cols>
    <col min="1" max="1" width="22" style="237" bestFit="1" customWidth="1"/>
    <col min="2" max="5" width="11.6640625" style="237" customWidth="1"/>
    <col min="6" max="6" width="15.33203125" style="237" customWidth="1"/>
    <col min="7" max="11" width="11.6640625" style="237" customWidth="1"/>
    <col min="12" max="12" width="13.5546875" style="237" customWidth="1"/>
    <col min="13" max="13" width="11.6640625" style="237" customWidth="1"/>
    <col min="14" max="14" width="12" style="237" bestFit="1" customWidth="1"/>
    <col min="15" max="15" width="23.109375" style="237" bestFit="1" customWidth="1"/>
    <col min="16" max="16" width="10.6640625" style="237" bestFit="1" customWidth="1"/>
    <col min="17" max="16384" width="8.88671875" style="237"/>
  </cols>
  <sheetData>
    <row r="1" spans="1:13" ht="30" customHeight="1" x14ac:dyDescent="0.3">
      <c r="A1" s="235"/>
      <c r="B1" s="236" t="s">
        <v>1424</v>
      </c>
      <c r="C1" s="236" t="s">
        <v>1425</v>
      </c>
      <c r="D1" s="236" t="s">
        <v>1426</v>
      </c>
      <c r="E1" s="236" t="s">
        <v>1427</v>
      </c>
      <c r="F1" s="236" t="s">
        <v>1428</v>
      </c>
      <c r="G1" s="236" t="s">
        <v>1429</v>
      </c>
      <c r="H1" s="236" t="s">
        <v>1430</v>
      </c>
      <c r="I1" s="236" t="s">
        <v>1431</v>
      </c>
      <c r="J1" s="236" t="s">
        <v>1432</v>
      </c>
      <c r="K1" s="236" t="s">
        <v>1433</v>
      </c>
      <c r="L1" s="236" t="s">
        <v>1434</v>
      </c>
      <c r="M1" s="236" t="s">
        <v>1435</v>
      </c>
    </row>
    <row r="2" spans="1:13" x14ac:dyDescent="0.3">
      <c r="A2" s="238" t="s">
        <v>1436</v>
      </c>
      <c r="B2" s="239">
        <v>189017.45</v>
      </c>
      <c r="C2" s="239">
        <v>275579.51</v>
      </c>
      <c r="D2" s="239">
        <v>964961.41</v>
      </c>
      <c r="E2" s="239">
        <v>583899.22</v>
      </c>
      <c r="F2" s="239">
        <v>662010.93999999994</v>
      </c>
      <c r="G2" s="239">
        <v>885159.23</v>
      </c>
      <c r="H2" s="239">
        <v>868491.23</v>
      </c>
      <c r="I2" s="239">
        <v>885285.93</v>
      </c>
      <c r="J2" s="239">
        <v>1150688.31</v>
      </c>
      <c r="K2" s="239">
        <v>1207206.99</v>
      </c>
      <c r="L2" s="239">
        <v>1594226.24</v>
      </c>
      <c r="M2" s="239">
        <v>1443037.2</v>
      </c>
    </row>
    <row r="3" spans="1:13" x14ac:dyDescent="0.3">
      <c r="A3" s="238" t="s">
        <v>1437</v>
      </c>
      <c r="B3" s="239">
        <v>1101552.02</v>
      </c>
      <c r="C3" s="239">
        <v>936890.74</v>
      </c>
      <c r="D3" s="239">
        <v>1373580.81</v>
      </c>
      <c r="E3" s="239"/>
      <c r="F3" s="239"/>
      <c r="G3" s="239"/>
      <c r="H3" s="239"/>
      <c r="I3" s="239"/>
      <c r="J3" s="239"/>
      <c r="K3" s="239"/>
      <c r="L3" s="239"/>
      <c r="M3" s="239"/>
    </row>
    <row r="4" spans="1:13" x14ac:dyDescent="0.3">
      <c r="A4" s="238" t="s">
        <v>1438</v>
      </c>
      <c r="B4" s="257">
        <f>IFERROR(B3/B2-1,0)</f>
        <v>4.8277794986653344</v>
      </c>
      <c r="C4" s="257">
        <f t="shared" ref="C4:D4" si="0">IFERROR(C3/C2-1,0)</f>
        <v>2.3997111759143483</v>
      </c>
      <c r="D4" s="257">
        <f t="shared" si="0"/>
        <v>0.42345672662702638</v>
      </c>
      <c r="E4" s="257"/>
      <c r="F4" s="257"/>
      <c r="G4" s="257"/>
      <c r="H4" s="257"/>
      <c r="I4" s="257"/>
      <c r="J4" s="257"/>
      <c r="K4" s="257"/>
      <c r="L4" s="257"/>
      <c r="M4" s="257"/>
    </row>
    <row r="24" spans="1:13" x14ac:dyDescent="0.3">
      <c r="A24" s="235"/>
      <c r="B24" s="236" t="s">
        <v>1424</v>
      </c>
      <c r="C24" s="236" t="s">
        <v>1425</v>
      </c>
      <c r="D24" s="236" t="s">
        <v>1426</v>
      </c>
      <c r="E24" s="236" t="s">
        <v>1427</v>
      </c>
      <c r="F24" s="236" t="s">
        <v>1428</v>
      </c>
      <c r="G24" s="236" t="s">
        <v>1429</v>
      </c>
      <c r="H24" s="236" t="s">
        <v>1430</v>
      </c>
      <c r="I24" s="236" t="s">
        <v>1431</v>
      </c>
      <c r="J24" s="236" t="s">
        <v>1432</v>
      </c>
      <c r="K24" s="236" t="s">
        <v>1433</v>
      </c>
      <c r="L24" s="236" t="s">
        <v>1434</v>
      </c>
      <c r="M24" s="236" t="s">
        <v>1435</v>
      </c>
    </row>
    <row r="25" spans="1:13" x14ac:dyDescent="0.3">
      <c r="A25" s="238" t="s">
        <v>1439</v>
      </c>
      <c r="B25" s="240">
        <v>282</v>
      </c>
      <c r="C25" s="240">
        <v>471</v>
      </c>
      <c r="D25" s="240">
        <v>1435</v>
      </c>
      <c r="E25" s="240">
        <v>814</v>
      </c>
      <c r="F25" s="240">
        <v>921</v>
      </c>
      <c r="G25" s="240">
        <v>1142</v>
      </c>
      <c r="H25" s="240">
        <v>1313</v>
      </c>
      <c r="I25" s="240">
        <v>1291</v>
      </c>
      <c r="J25" s="240">
        <v>1765</v>
      </c>
      <c r="K25" s="240">
        <v>1825</v>
      </c>
      <c r="L25" s="240">
        <v>2268</v>
      </c>
      <c r="M25" s="240">
        <v>2185</v>
      </c>
    </row>
    <row r="26" spans="1:13" x14ac:dyDescent="0.3">
      <c r="A26" s="238" t="s">
        <v>1440</v>
      </c>
      <c r="B26" s="240">
        <v>1647</v>
      </c>
      <c r="C26" s="240">
        <v>1330</v>
      </c>
      <c r="D26" s="240">
        <v>1877</v>
      </c>
      <c r="E26" s="240"/>
      <c r="F26" s="240"/>
      <c r="G26" s="240"/>
      <c r="H26" s="240"/>
      <c r="I26" s="240"/>
      <c r="J26" s="240"/>
      <c r="K26" s="240"/>
      <c r="L26" s="240"/>
      <c r="M26" s="240"/>
    </row>
    <row r="27" spans="1:13" x14ac:dyDescent="0.3">
      <c r="A27" s="238" t="s">
        <v>1438</v>
      </c>
      <c r="B27" s="257">
        <f>IFERROR(B26/B25-1,0)</f>
        <v>4.8404255319148932</v>
      </c>
      <c r="C27" s="257">
        <f t="shared" ref="C27:D27" si="1">IFERROR(C26/C25-1,0)</f>
        <v>1.8237791932059446</v>
      </c>
      <c r="D27" s="257">
        <f t="shared" si="1"/>
        <v>0.30801393728222992</v>
      </c>
      <c r="E27" s="257"/>
      <c r="F27" s="257"/>
      <c r="G27" s="257"/>
      <c r="H27" s="257"/>
      <c r="I27" s="257"/>
      <c r="J27" s="257"/>
      <c r="K27" s="257"/>
      <c r="L27" s="257"/>
      <c r="M27" s="257"/>
    </row>
    <row r="46" spans="1:11" x14ac:dyDescent="0.3">
      <c r="A46" s="258"/>
    </row>
    <row r="47" spans="1:11" ht="13.95" customHeight="1" x14ac:dyDescent="0.3">
      <c r="A47" s="245"/>
      <c r="B47" s="499" t="s">
        <v>1441</v>
      </c>
      <c r="C47" s="500"/>
      <c r="D47" s="499" t="s">
        <v>1442</v>
      </c>
      <c r="E47" s="500"/>
      <c r="F47" s="499" t="s">
        <v>1443</v>
      </c>
      <c r="G47" s="500"/>
      <c r="H47" s="499" t="s">
        <v>1444</v>
      </c>
      <c r="I47" s="500"/>
      <c r="J47" s="497">
        <v>46054</v>
      </c>
      <c r="K47" s="498"/>
    </row>
    <row r="48" spans="1:11" ht="13.95" customHeight="1" x14ac:dyDescent="0.3">
      <c r="A48" s="245"/>
      <c r="B48" s="98" t="s">
        <v>1445</v>
      </c>
      <c r="C48" s="98" t="s">
        <v>1446</v>
      </c>
      <c r="D48" s="98" t="s">
        <v>1445</v>
      </c>
      <c r="E48" s="98" t="s">
        <v>1446</v>
      </c>
      <c r="F48" s="98" t="s">
        <v>1445</v>
      </c>
      <c r="G48" s="98" t="s">
        <v>1446</v>
      </c>
      <c r="H48" s="98" t="s">
        <v>1445</v>
      </c>
      <c r="I48" s="98" t="s">
        <v>1446</v>
      </c>
      <c r="J48" s="98" t="s">
        <v>1445</v>
      </c>
      <c r="K48" s="98" t="s">
        <v>1446</v>
      </c>
    </row>
    <row r="49" spans="1:16" ht="13.95" customHeight="1" x14ac:dyDescent="0.3">
      <c r="A49" s="246" t="s">
        <v>1447</v>
      </c>
      <c r="B49" s="247">
        <f>SUM(B50:B59)</f>
        <v>1137554.1300000001</v>
      </c>
      <c r="C49" s="248">
        <f t="shared" ref="C49:C58" si="2">IFERROR(B49/$H$49,0)</f>
        <v>1.0363134275970192</v>
      </c>
      <c r="D49" s="247">
        <f>SUM(D50:D59)</f>
        <v>1453565.25</v>
      </c>
      <c r="E49" s="248">
        <f t="shared" ref="E49:E58" si="3">IFERROR(D49/$H$49,0)</f>
        <v>1.3242000066084045</v>
      </c>
      <c r="F49" s="247">
        <f>SUM(F50:F59)</f>
        <v>1358251.6700000002</v>
      </c>
      <c r="G49" s="248">
        <f t="shared" ref="G49:G58" si="4">IFERROR(F49/$H$49,0)</f>
        <v>1.2373691998965142</v>
      </c>
      <c r="H49" s="247">
        <f>SUM(H50:H59)</f>
        <v>1097693.1299999999</v>
      </c>
      <c r="I49" s="248">
        <f t="shared" ref="I49:I58" si="5">IFERROR(H49/$H$49,0)</f>
        <v>1</v>
      </c>
      <c r="J49" s="247">
        <f>SUM(J50:J59)</f>
        <v>936890.74</v>
      </c>
      <c r="K49" s="248">
        <f t="shared" ref="K49:K58" si="6">IFERROR(J49/$J$49,0)</f>
        <v>1</v>
      </c>
    </row>
    <row r="50" spans="1:16" ht="13.95" customHeight="1" x14ac:dyDescent="0.3">
      <c r="A50" s="242" t="s">
        <v>1448</v>
      </c>
      <c r="B50" s="243">
        <v>710617.19</v>
      </c>
      <c r="C50" s="244">
        <f t="shared" si="2"/>
        <v>0.64737326906655601</v>
      </c>
      <c r="D50" s="243">
        <v>1003857.29</v>
      </c>
      <c r="E50" s="244">
        <f t="shared" si="3"/>
        <v>0.91451541652629287</v>
      </c>
      <c r="F50" s="243">
        <v>1143229.8700000001</v>
      </c>
      <c r="G50" s="244">
        <f t="shared" si="4"/>
        <v>1.0414840347957723</v>
      </c>
      <c r="H50" s="243">
        <v>878335.15</v>
      </c>
      <c r="I50" s="244">
        <f t="shared" si="5"/>
        <v>0.80016456876249209</v>
      </c>
      <c r="J50" s="243">
        <v>815488.19</v>
      </c>
      <c r="K50" s="244">
        <f t="shared" si="6"/>
        <v>0.87041973538984918</v>
      </c>
      <c r="L50" s="237">
        <v>777103.83</v>
      </c>
      <c r="M50" s="237">
        <v>-45599.040000000001</v>
      </c>
      <c r="N50" s="237">
        <v>50000</v>
      </c>
      <c r="O50" s="237">
        <v>781504.78999999992</v>
      </c>
    </row>
    <row r="51" spans="1:16" ht="13.95" customHeight="1" x14ac:dyDescent="0.3">
      <c r="A51" s="242" t="s">
        <v>1449</v>
      </c>
      <c r="B51" s="243">
        <v>1538</v>
      </c>
      <c r="C51" s="244">
        <f t="shared" si="2"/>
        <v>1.401120183743885E-3</v>
      </c>
      <c r="D51" s="243">
        <v>2117</v>
      </c>
      <c r="E51" s="244">
        <f t="shared" si="3"/>
        <v>1.9285900058425257E-3</v>
      </c>
      <c r="F51" s="243"/>
      <c r="G51" s="244">
        <f t="shared" si="4"/>
        <v>0</v>
      </c>
      <c r="H51" s="243">
        <v>0</v>
      </c>
      <c r="I51" s="244">
        <f t="shared" si="5"/>
        <v>0</v>
      </c>
      <c r="J51" s="243">
        <v>2696</v>
      </c>
      <c r="K51" s="244">
        <f t="shared" si="6"/>
        <v>2.8776034225719855E-3</v>
      </c>
    </row>
    <row r="52" spans="1:16" ht="13.95" customHeight="1" x14ac:dyDescent="0.3">
      <c r="A52" s="242" t="s">
        <v>652</v>
      </c>
      <c r="B52" s="243">
        <v>82235.320000000007</v>
      </c>
      <c r="C52" s="244">
        <f t="shared" si="2"/>
        <v>7.4916493282598945E-2</v>
      </c>
      <c r="D52" s="243">
        <v>124166.39</v>
      </c>
      <c r="E52" s="244">
        <f t="shared" si="3"/>
        <v>0.11311575758882632</v>
      </c>
      <c r="F52" s="243">
        <v>35919.19</v>
      </c>
      <c r="G52" s="244">
        <f t="shared" si="4"/>
        <v>3.2722433090202549E-2</v>
      </c>
      <c r="H52" s="243">
        <v>19002.900000000001</v>
      </c>
      <c r="I52" s="244">
        <f t="shared" si="5"/>
        <v>1.7311668881447771E-2</v>
      </c>
      <c r="J52" s="243">
        <v>8376.3700000000008</v>
      </c>
      <c r="K52" s="244">
        <f t="shared" si="6"/>
        <v>8.9406049631785244E-3</v>
      </c>
    </row>
    <row r="53" spans="1:16" ht="13.95" customHeight="1" x14ac:dyDescent="0.3">
      <c r="A53" s="242" t="s">
        <v>1450</v>
      </c>
      <c r="B53" s="243">
        <v>315559.53999999998</v>
      </c>
      <c r="C53" s="244">
        <f t="shared" si="2"/>
        <v>0.2874751889902053</v>
      </c>
      <c r="D53" s="243">
        <v>210466.92</v>
      </c>
      <c r="E53" s="244">
        <f t="shared" si="3"/>
        <v>0.19173566295345223</v>
      </c>
      <c r="F53" s="243">
        <v>44802.23</v>
      </c>
      <c r="G53" s="244">
        <f t="shared" si="4"/>
        <v>4.0814895142871128E-2</v>
      </c>
      <c r="H53" s="243">
        <v>46735.55</v>
      </c>
      <c r="I53" s="244">
        <f t="shared" si="5"/>
        <v>4.2576152407913868E-2</v>
      </c>
      <c r="J53" s="243">
        <v>11496.08</v>
      </c>
      <c r="K53" s="244">
        <f t="shared" si="6"/>
        <v>1.2270459626914447E-2</v>
      </c>
    </row>
    <row r="54" spans="1:16" ht="13.95" customHeight="1" x14ac:dyDescent="0.3">
      <c r="A54" s="242" t="s">
        <v>1451</v>
      </c>
      <c r="B54" s="243">
        <v>2493.1</v>
      </c>
      <c r="C54" s="244">
        <f t="shared" si="2"/>
        <v>2.2712176398516771E-3</v>
      </c>
      <c r="D54" s="243">
        <v>2050.0500000000002</v>
      </c>
      <c r="E54" s="244">
        <f t="shared" si="3"/>
        <v>1.8675984607829333E-3</v>
      </c>
      <c r="F54" s="243">
        <v>2024.1</v>
      </c>
      <c r="G54" s="244">
        <f t="shared" si="4"/>
        <v>1.8439579739375795E-3</v>
      </c>
      <c r="H54" s="243">
        <v>1532</v>
      </c>
      <c r="I54" s="244">
        <f t="shared" si="5"/>
        <v>1.395654175224728E-3</v>
      </c>
      <c r="J54" s="243">
        <v>2567</v>
      </c>
      <c r="K54" s="244">
        <f t="shared" si="6"/>
        <v>2.7399139412990674E-3</v>
      </c>
      <c r="L54" s="501" t="s">
        <v>1452</v>
      </c>
      <c r="M54" s="502"/>
      <c r="O54" s="99" t="s">
        <v>1452</v>
      </c>
      <c r="P54" s="99"/>
    </row>
    <row r="55" spans="1:16" ht="13.95" customHeight="1" x14ac:dyDescent="0.3">
      <c r="A55" s="242" t="s">
        <v>1453</v>
      </c>
      <c r="B55" s="243"/>
      <c r="C55" s="244">
        <f t="shared" si="2"/>
        <v>0</v>
      </c>
      <c r="D55" s="243"/>
      <c r="E55" s="244">
        <f t="shared" si="3"/>
        <v>0</v>
      </c>
      <c r="F55" s="243">
        <v>2626</v>
      </c>
      <c r="G55" s="244">
        <f t="shared" si="4"/>
        <v>2.3922897285510026E-3</v>
      </c>
      <c r="H55" s="243">
        <v>3270</v>
      </c>
      <c r="I55" s="244">
        <f t="shared" si="5"/>
        <v>2.9789746429405095E-3</v>
      </c>
      <c r="J55" s="243">
        <v>4619.3</v>
      </c>
      <c r="K55" s="244">
        <f t="shared" si="6"/>
        <v>4.9304575259223934E-3</v>
      </c>
      <c r="L55" s="501" t="s">
        <v>1454</v>
      </c>
      <c r="M55" s="502"/>
      <c r="O55" s="99" t="s">
        <v>1455</v>
      </c>
      <c r="P55" s="99"/>
    </row>
    <row r="56" spans="1:16" ht="13.95" customHeight="1" x14ac:dyDescent="0.3">
      <c r="A56" s="242" t="s">
        <v>1456</v>
      </c>
      <c r="B56" s="243">
        <v>17303.099999999999</v>
      </c>
      <c r="C56" s="244">
        <f t="shared" si="2"/>
        <v>1.5763148667970621E-2</v>
      </c>
      <c r="D56" s="243">
        <v>105336.25</v>
      </c>
      <c r="E56" s="244">
        <f t="shared" si="3"/>
        <v>9.5961473312673476E-2</v>
      </c>
      <c r="F56" s="243">
        <v>126380.2</v>
      </c>
      <c r="G56" s="244">
        <f t="shared" si="4"/>
        <v>0.11513254164212544</v>
      </c>
      <c r="H56" s="243">
        <v>143471.63</v>
      </c>
      <c r="I56" s="244">
        <f t="shared" si="5"/>
        <v>0.13070285863955441</v>
      </c>
      <c r="J56" s="243">
        <v>87751.8</v>
      </c>
      <c r="K56" s="244">
        <f t="shared" si="6"/>
        <v>9.3662789323758294E-2</v>
      </c>
      <c r="L56" s="256">
        <v>99100</v>
      </c>
      <c r="M56" s="256">
        <v>83200</v>
      </c>
      <c r="O56" s="256">
        <v>59321</v>
      </c>
      <c r="P56" s="256">
        <v>49830</v>
      </c>
    </row>
    <row r="57" spans="1:16" ht="13.95" customHeight="1" x14ac:dyDescent="0.3">
      <c r="A57" s="242" t="s">
        <v>1457</v>
      </c>
      <c r="B57" s="243"/>
      <c r="C57" s="244">
        <f t="shared" si="2"/>
        <v>0</v>
      </c>
      <c r="D57" s="243"/>
      <c r="E57" s="244">
        <f t="shared" si="3"/>
        <v>0</v>
      </c>
      <c r="F57" s="243"/>
      <c r="G57" s="244">
        <f t="shared" si="4"/>
        <v>0</v>
      </c>
      <c r="H57" s="243">
        <v>1399</v>
      </c>
      <c r="I57" s="244">
        <f t="shared" si="5"/>
        <v>1.2744909863834169E-3</v>
      </c>
      <c r="J57" s="243">
        <v>0</v>
      </c>
      <c r="K57" s="244">
        <f t="shared" si="6"/>
        <v>0</v>
      </c>
    </row>
    <row r="58" spans="1:16" ht="13.95" customHeight="1" x14ac:dyDescent="0.3">
      <c r="A58" s="242" t="s">
        <v>1458</v>
      </c>
      <c r="B58" s="243">
        <v>7807.88</v>
      </c>
      <c r="C58" s="244">
        <f t="shared" si="2"/>
        <v>7.1129897660924604E-3</v>
      </c>
      <c r="D58" s="243">
        <v>5571.35</v>
      </c>
      <c r="E58" s="244">
        <f t="shared" si="3"/>
        <v>5.0755077605341313E-3</v>
      </c>
      <c r="F58" s="243">
        <v>1672.08</v>
      </c>
      <c r="G58" s="244">
        <f t="shared" si="4"/>
        <v>1.5232672541186443E-3</v>
      </c>
      <c r="H58" s="243">
        <v>3946.9</v>
      </c>
      <c r="I58" s="244">
        <f t="shared" si="5"/>
        <v>3.5956315040433936E-3</v>
      </c>
      <c r="J58" s="243">
        <v>3896</v>
      </c>
      <c r="K58" s="244">
        <f t="shared" si="6"/>
        <v>4.1584358065061035E-3</v>
      </c>
    </row>
    <row r="59" spans="1:16" ht="13.95" customHeight="1" x14ac:dyDescent="0.3">
      <c r="A59" s="242" t="s">
        <v>1459</v>
      </c>
      <c r="B59" s="243"/>
      <c r="C59" s="244">
        <f>IFERROR(B59/$H$49,0)</f>
        <v>0</v>
      </c>
      <c r="D59" s="243"/>
      <c r="E59" s="244">
        <f>IFERROR(D59/$H$49,0)</f>
        <v>0</v>
      </c>
      <c r="F59" s="243">
        <v>1598</v>
      </c>
      <c r="G59" s="244">
        <f>IFERROR(F59/$H$49,0)</f>
        <v>1.4557802689354538E-3</v>
      </c>
      <c r="H59" s="243"/>
      <c r="I59" s="244">
        <f>IFERROR(H59/$H$49,0)</f>
        <v>0</v>
      </c>
      <c r="J59" s="243"/>
      <c r="K59" s="244">
        <f>IFERROR(J59/$J$49,0)</f>
        <v>0</v>
      </c>
    </row>
    <row r="60" spans="1:16" ht="13.95" customHeight="1" x14ac:dyDescent="0.3"/>
    <row r="61" spans="1:16" ht="13.95" customHeight="1" x14ac:dyDescent="0.3">
      <c r="A61" s="245"/>
      <c r="B61" s="499" t="s">
        <v>1441</v>
      </c>
      <c r="C61" s="500"/>
      <c r="D61" s="499" t="s">
        <v>1442</v>
      </c>
      <c r="E61" s="500"/>
      <c r="F61" s="499" t="s">
        <v>1443</v>
      </c>
      <c r="G61" s="500"/>
      <c r="H61" s="499" t="s">
        <v>1444</v>
      </c>
      <c r="I61" s="500"/>
      <c r="J61" s="497">
        <v>46054</v>
      </c>
      <c r="K61" s="498"/>
    </row>
    <row r="62" spans="1:16" x14ac:dyDescent="0.3">
      <c r="A62" s="245"/>
      <c r="B62" s="98" t="s">
        <v>1445</v>
      </c>
      <c r="C62" s="98" t="s">
        <v>1446</v>
      </c>
      <c r="D62" s="98" t="s">
        <v>1445</v>
      </c>
      <c r="E62" s="98" t="s">
        <v>1446</v>
      </c>
      <c r="F62" s="98" t="s">
        <v>1445</v>
      </c>
      <c r="G62" s="98" t="s">
        <v>1446</v>
      </c>
      <c r="H62" s="98" t="s">
        <v>1445</v>
      </c>
      <c r="I62" s="98" t="s">
        <v>1446</v>
      </c>
      <c r="J62" s="98" t="s">
        <v>1445</v>
      </c>
      <c r="K62" s="98" t="s">
        <v>1446</v>
      </c>
    </row>
    <row r="63" spans="1:16" x14ac:dyDescent="0.3">
      <c r="A63" s="246" t="s">
        <v>1460</v>
      </c>
      <c r="B63" s="247">
        <f>SUM(B64:B72)</f>
        <v>1051608.3799999999</v>
      </c>
      <c r="C63" s="248">
        <f t="shared" ref="C63" si="7">IFERROR(B63/$H$49,0)</f>
        <v>0.95801672731613063</v>
      </c>
      <c r="D63" s="247">
        <f>SUM(D64:D72)</f>
        <v>881367.09</v>
      </c>
      <c r="E63" s="248">
        <f t="shared" ref="E63" si="8">IFERROR(D63/$H$49,0)</f>
        <v>0.80292667040742072</v>
      </c>
      <c r="F63" s="247">
        <f>SUM(F64:F72)</f>
        <v>1057975.44</v>
      </c>
      <c r="G63" s="248">
        <f t="shared" ref="G63" si="9">IFERROR(F63/$H$49,0)</f>
        <v>0.96381712801646124</v>
      </c>
      <c r="H63" s="247">
        <f>SUM(H64:H72)</f>
        <v>872469.19</v>
      </c>
      <c r="I63" s="248">
        <f t="shared" ref="I63" si="10">IFERROR(H63/$H$63,0)</f>
        <v>1</v>
      </c>
      <c r="J63" s="247">
        <f>SUM(J64:J72)</f>
        <v>678773.05</v>
      </c>
      <c r="K63" s="248">
        <f t="shared" ref="K63:K72" si="11">IFERROR(J63/$J$63,0)</f>
        <v>1</v>
      </c>
      <c r="M63" s="279">
        <f>J49-J63</f>
        <v>258117.68999999994</v>
      </c>
    </row>
    <row r="64" spans="1:16" x14ac:dyDescent="0.3">
      <c r="A64" s="242" t="s">
        <v>1448</v>
      </c>
      <c r="B64" s="243">
        <v>573515.5</v>
      </c>
      <c r="C64" s="244">
        <f t="shared" ref="C64:C73" si="12">IFERROR(B64/$B$63,0)</f>
        <v>0.54536984575950231</v>
      </c>
      <c r="D64" s="243">
        <v>619369.09</v>
      </c>
      <c r="E64" s="244">
        <f t="shared" ref="E64:E73" si="13">IFERROR(D64/$D$63,0)</f>
        <v>0.70273680175646225</v>
      </c>
      <c r="F64" s="243">
        <v>977743.02</v>
      </c>
      <c r="G64" s="244">
        <f t="shared" ref="G64:G73" si="14">IFERROR(F64/$F$63,0)</f>
        <v>0.92416419420851592</v>
      </c>
      <c r="H64" s="249">
        <v>777103.83</v>
      </c>
      <c r="I64" s="244">
        <f t="shared" ref="I64:I73" si="15">IFERROR(H64/$H$63,0)</f>
        <v>0.89069486797579633</v>
      </c>
      <c r="J64" s="243">
        <v>597013</v>
      </c>
      <c r="K64" s="244">
        <f t="shared" si="11"/>
        <v>0.87954729493164163</v>
      </c>
    </row>
    <row r="65" spans="1:11" x14ac:dyDescent="0.3">
      <c r="A65" s="242" t="s">
        <v>1449</v>
      </c>
      <c r="B65" s="243"/>
      <c r="C65" s="244">
        <f t="shared" si="12"/>
        <v>0</v>
      </c>
      <c r="D65" s="243"/>
      <c r="E65" s="244">
        <f t="shared" si="13"/>
        <v>0</v>
      </c>
      <c r="F65" s="243"/>
      <c r="G65" s="244">
        <f t="shared" si="14"/>
        <v>0</v>
      </c>
      <c r="H65" s="249">
        <v>0</v>
      </c>
      <c r="I65" s="244">
        <f t="shared" si="15"/>
        <v>0</v>
      </c>
      <c r="J65" s="243">
        <v>0</v>
      </c>
      <c r="K65" s="244">
        <f t="shared" si="11"/>
        <v>0</v>
      </c>
    </row>
    <row r="66" spans="1:11" x14ac:dyDescent="0.3">
      <c r="A66" s="242" t="s">
        <v>652</v>
      </c>
      <c r="B66" s="243">
        <v>54734.07</v>
      </c>
      <c r="C66" s="244">
        <f t="shared" si="12"/>
        <v>5.2047959146160477E-2</v>
      </c>
      <c r="D66" s="243">
        <v>93530.54</v>
      </c>
      <c r="E66" s="244">
        <f t="shared" si="13"/>
        <v>0.10611984615853991</v>
      </c>
      <c r="F66" s="243">
        <v>25250.5</v>
      </c>
      <c r="G66" s="244">
        <f t="shared" si="14"/>
        <v>2.3866811123706238E-2</v>
      </c>
      <c r="H66" s="249">
        <v>22805.34</v>
      </c>
      <c r="I66" s="244">
        <f t="shared" si="15"/>
        <v>2.6138848524840174E-2</v>
      </c>
      <c r="J66" s="243">
        <v>26055.41</v>
      </c>
      <c r="K66" s="244">
        <f t="shared" si="11"/>
        <v>3.838604081290499E-2</v>
      </c>
    </row>
    <row r="67" spans="1:11" x14ac:dyDescent="0.3">
      <c r="A67" s="242" t="s">
        <v>1450</v>
      </c>
      <c r="B67" s="243">
        <v>397000</v>
      </c>
      <c r="C67" s="244">
        <f t="shared" si="12"/>
        <v>0.3775169612094571</v>
      </c>
      <c r="D67" s="243">
        <v>156210</v>
      </c>
      <c r="E67" s="244">
        <f t="shared" si="13"/>
        <v>0.17723602545677081</v>
      </c>
      <c r="F67" s="243">
        <v>49400</v>
      </c>
      <c r="G67" s="244">
        <f t="shared" si="14"/>
        <v>4.6692955367659578E-2</v>
      </c>
      <c r="H67" s="250">
        <v>33580.54</v>
      </c>
      <c r="I67" s="244">
        <f t="shared" si="15"/>
        <v>3.8489084067255146E-2</v>
      </c>
      <c r="J67" s="243">
        <v>0</v>
      </c>
      <c r="K67" s="244">
        <f t="shared" si="11"/>
        <v>0</v>
      </c>
    </row>
    <row r="68" spans="1:11" x14ac:dyDescent="0.3">
      <c r="A68" s="242" t="s">
        <v>1451</v>
      </c>
      <c r="B68" s="243">
        <v>620.59</v>
      </c>
      <c r="C68" s="244">
        <f t="shared" si="12"/>
        <v>5.9013413339288915E-4</v>
      </c>
      <c r="D68" s="243"/>
      <c r="E68" s="244">
        <f t="shared" si="13"/>
        <v>0</v>
      </c>
      <c r="F68" s="243">
        <v>4.46</v>
      </c>
      <c r="G68" s="244">
        <f t="shared" si="14"/>
        <v>4.2155988044486177E-6</v>
      </c>
      <c r="H68" s="249">
        <v>0</v>
      </c>
      <c r="I68" s="244">
        <f t="shared" si="15"/>
        <v>0</v>
      </c>
      <c r="J68" s="243">
        <v>0</v>
      </c>
      <c r="K68" s="244">
        <f t="shared" si="11"/>
        <v>0</v>
      </c>
    </row>
    <row r="69" spans="1:11" x14ac:dyDescent="0.3">
      <c r="A69" s="242" t="s">
        <v>1453</v>
      </c>
      <c r="B69" s="243"/>
      <c r="C69" s="244">
        <f t="shared" si="12"/>
        <v>0</v>
      </c>
      <c r="D69" s="243"/>
      <c r="E69" s="244">
        <f t="shared" si="13"/>
        <v>0</v>
      </c>
      <c r="F69" s="243"/>
      <c r="G69" s="244">
        <f t="shared" si="14"/>
        <v>0</v>
      </c>
      <c r="H69" s="249">
        <v>0</v>
      </c>
      <c r="I69" s="244">
        <f t="shared" si="15"/>
        <v>0</v>
      </c>
      <c r="J69" s="243">
        <v>5164.9400000000005</v>
      </c>
      <c r="K69" s="244">
        <f t="shared" si="11"/>
        <v>7.6092296239516286E-3</v>
      </c>
    </row>
    <row r="70" spans="1:11" x14ac:dyDescent="0.3">
      <c r="A70" s="242" t="s">
        <v>1456</v>
      </c>
      <c r="B70" s="243">
        <v>25738.22</v>
      </c>
      <c r="C70" s="244">
        <f t="shared" si="12"/>
        <v>2.4475099751487341E-2</v>
      </c>
      <c r="D70" s="243">
        <v>10160.24</v>
      </c>
      <c r="E70" s="244">
        <f t="shared" si="13"/>
        <v>1.1527818675417073E-2</v>
      </c>
      <c r="F70" s="243">
        <v>2877.48</v>
      </c>
      <c r="G70" s="244">
        <f t="shared" si="14"/>
        <v>2.719798486059374E-3</v>
      </c>
      <c r="H70" s="249">
        <v>37472.769999999997</v>
      </c>
      <c r="I70" s="244">
        <f t="shared" si="15"/>
        <v>4.2950250197373731E-2</v>
      </c>
      <c r="J70" s="243">
        <v>50103.94</v>
      </c>
      <c r="K70" s="244">
        <f t="shared" si="11"/>
        <v>7.3815452749634067E-2</v>
      </c>
    </row>
    <row r="71" spans="1:11" x14ac:dyDescent="0.3">
      <c r="A71" s="242" t="s">
        <v>1457</v>
      </c>
      <c r="B71" s="243"/>
      <c r="C71" s="244">
        <f t="shared" si="12"/>
        <v>0</v>
      </c>
      <c r="D71" s="243"/>
      <c r="E71" s="244">
        <f t="shared" si="13"/>
        <v>0</v>
      </c>
      <c r="F71" s="243"/>
      <c r="G71" s="244">
        <f t="shared" si="14"/>
        <v>0</v>
      </c>
      <c r="H71" s="249">
        <v>0</v>
      </c>
      <c r="I71" s="244">
        <f t="shared" si="15"/>
        <v>0</v>
      </c>
      <c r="J71" s="243">
        <v>0</v>
      </c>
      <c r="K71" s="244">
        <f t="shared" si="11"/>
        <v>0</v>
      </c>
    </row>
    <row r="72" spans="1:11" x14ac:dyDescent="0.3">
      <c r="A72" s="242" t="s">
        <v>1458</v>
      </c>
      <c r="B72" s="243"/>
      <c r="C72" s="244">
        <f t="shared" si="12"/>
        <v>0</v>
      </c>
      <c r="D72" s="243">
        <v>2097.2199999999998</v>
      </c>
      <c r="E72" s="244">
        <f t="shared" si="13"/>
        <v>2.3795079528099918E-3</v>
      </c>
      <c r="F72" s="243">
        <v>2699.98</v>
      </c>
      <c r="G72" s="244">
        <f t="shared" si="14"/>
        <v>2.5520252152545246E-3</v>
      </c>
      <c r="H72" s="249">
        <v>1506.71</v>
      </c>
      <c r="I72" s="244">
        <f t="shared" si="15"/>
        <v>1.7269492347345814E-3</v>
      </c>
      <c r="J72" s="243">
        <v>435.76</v>
      </c>
      <c r="K72" s="244">
        <f t="shared" si="11"/>
        <v>6.419818818675844E-4</v>
      </c>
    </row>
    <row r="73" spans="1:11" x14ac:dyDescent="0.3">
      <c r="A73" s="242" t="s">
        <v>1459</v>
      </c>
      <c r="B73" s="243"/>
      <c r="C73" s="244">
        <f t="shared" si="12"/>
        <v>0</v>
      </c>
      <c r="D73" s="243"/>
      <c r="E73" s="244">
        <f t="shared" si="13"/>
        <v>0</v>
      </c>
      <c r="F73" s="243"/>
      <c r="G73" s="244">
        <f t="shared" si="14"/>
        <v>0</v>
      </c>
      <c r="H73" s="243"/>
      <c r="I73" s="244">
        <f t="shared" si="15"/>
        <v>0</v>
      </c>
      <c r="J73" s="243"/>
      <c r="K73" s="244">
        <f>IFERROR(J73/$J$49,0)</f>
        <v>0</v>
      </c>
    </row>
    <row r="75" spans="1:11" x14ac:dyDescent="0.3">
      <c r="A75" s="245"/>
      <c r="B75" s="499" t="s">
        <v>1441</v>
      </c>
      <c r="C75" s="500"/>
      <c r="D75" s="499" t="s">
        <v>1442</v>
      </c>
      <c r="E75" s="500"/>
      <c r="F75" s="499" t="s">
        <v>1443</v>
      </c>
      <c r="G75" s="500"/>
      <c r="H75" s="499" t="s">
        <v>1444</v>
      </c>
      <c r="I75" s="500"/>
      <c r="J75" s="497">
        <v>46054</v>
      </c>
      <c r="K75" s="498"/>
    </row>
    <row r="76" spans="1:11" x14ac:dyDescent="0.3">
      <c r="A76" s="246" t="s">
        <v>1461</v>
      </c>
      <c r="B76" s="248">
        <f t="shared" ref="B76:B86" si="16">IFERROR(B63/B49,0)</f>
        <v>0.92444689203493091</v>
      </c>
      <c r="C76" s="246"/>
      <c r="D76" s="248">
        <f t="shared" ref="D76:D86" si="17">IFERROR(D63/D49,0)</f>
        <v>0.60634848693582899</v>
      </c>
      <c r="E76" s="246"/>
      <c r="F76" s="248">
        <f t="shared" ref="F76:F86" si="18">IFERROR(F63/F49,0)</f>
        <v>0.77892445366917884</v>
      </c>
      <c r="G76" s="246"/>
      <c r="H76" s="248">
        <f t="shared" ref="H76:H86" si="19">IFERROR(H63/H49,0)</f>
        <v>0.79482067087365305</v>
      </c>
      <c r="I76" s="246"/>
      <c r="J76" s="248">
        <f t="shared" ref="J76:J86" si="20">IFERROR(J63/J49,0)</f>
        <v>0.72449541981811028</v>
      </c>
      <c r="K76" s="246"/>
    </row>
    <row r="77" spans="1:11" x14ac:dyDescent="0.3">
      <c r="A77" s="242" t="s">
        <v>1448</v>
      </c>
      <c r="B77" s="244">
        <f t="shared" si="16"/>
        <v>0.80706674151803171</v>
      </c>
      <c r="C77" s="242"/>
      <c r="D77" s="244">
        <f t="shared" si="17"/>
        <v>0.61698918379125378</v>
      </c>
      <c r="E77" s="242"/>
      <c r="F77" s="244">
        <f t="shared" si="18"/>
        <v>0.85524621570638271</v>
      </c>
      <c r="G77" s="242"/>
      <c r="H77" s="244">
        <f t="shared" si="19"/>
        <v>0.88474636361757808</v>
      </c>
      <c r="I77" s="242"/>
      <c r="J77" s="244">
        <f t="shared" si="20"/>
        <v>0.73209276028877868</v>
      </c>
      <c r="K77" s="244"/>
    </row>
    <row r="78" spans="1:11" x14ac:dyDescent="0.3">
      <c r="A78" s="242" t="s">
        <v>1449</v>
      </c>
      <c r="B78" s="244">
        <f t="shared" si="16"/>
        <v>0</v>
      </c>
      <c r="C78" s="242"/>
      <c r="D78" s="244">
        <f t="shared" si="17"/>
        <v>0</v>
      </c>
      <c r="E78" s="242"/>
      <c r="F78" s="244">
        <f t="shared" si="18"/>
        <v>0</v>
      </c>
      <c r="G78" s="242"/>
      <c r="H78" s="244">
        <f t="shared" si="19"/>
        <v>0</v>
      </c>
      <c r="I78" s="242"/>
      <c r="J78" s="244">
        <f t="shared" si="20"/>
        <v>0</v>
      </c>
      <c r="K78" s="244"/>
    </row>
    <row r="79" spans="1:11" x14ac:dyDescent="0.3">
      <c r="A79" s="242" t="s">
        <v>652</v>
      </c>
      <c r="B79" s="244">
        <f t="shared" si="16"/>
        <v>0.66557861026138154</v>
      </c>
      <c r="C79" s="242"/>
      <c r="D79" s="244">
        <f t="shared" si="17"/>
        <v>0.75326777238188203</v>
      </c>
      <c r="E79" s="242"/>
      <c r="F79" s="244">
        <f t="shared" si="18"/>
        <v>0.70298077434374207</v>
      </c>
      <c r="G79" s="242"/>
      <c r="H79" s="244">
        <f t="shared" si="19"/>
        <v>1.2000978797972941</v>
      </c>
      <c r="I79" s="242"/>
      <c r="J79" s="244">
        <f t="shared" si="20"/>
        <v>3.1105848953663697</v>
      </c>
      <c r="K79" s="244"/>
    </row>
    <row r="80" spans="1:11" x14ac:dyDescent="0.3">
      <c r="A80" s="242" t="s">
        <v>1450</v>
      </c>
      <c r="B80" s="244">
        <f t="shared" si="16"/>
        <v>1.2580827060401978</v>
      </c>
      <c r="C80" s="242"/>
      <c r="D80" s="244">
        <f t="shared" si="17"/>
        <v>0.74220689883236757</v>
      </c>
      <c r="E80" s="242"/>
      <c r="F80" s="244">
        <f t="shared" si="18"/>
        <v>1.1026236863656116</v>
      </c>
      <c r="G80" s="242"/>
      <c r="H80" s="244">
        <f t="shared" si="19"/>
        <v>0.71852240960040048</v>
      </c>
      <c r="I80" s="242"/>
      <c r="J80" s="244">
        <f t="shared" si="20"/>
        <v>0</v>
      </c>
      <c r="K80" s="244"/>
    </row>
    <row r="81" spans="1:11" x14ac:dyDescent="0.3">
      <c r="A81" s="242" t="s">
        <v>1451</v>
      </c>
      <c r="B81" s="244">
        <f t="shared" si="16"/>
        <v>0.24892302755605472</v>
      </c>
      <c r="C81" s="242"/>
      <c r="D81" s="244">
        <f t="shared" si="17"/>
        <v>0</v>
      </c>
      <c r="E81" s="242"/>
      <c r="F81" s="244">
        <f t="shared" si="18"/>
        <v>2.2034484462230127E-3</v>
      </c>
      <c r="G81" s="242"/>
      <c r="H81" s="244">
        <f t="shared" si="19"/>
        <v>0</v>
      </c>
      <c r="I81" s="242"/>
      <c r="J81" s="244">
        <f t="shared" si="20"/>
        <v>0</v>
      </c>
      <c r="K81" s="244"/>
    </row>
    <row r="82" spans="1:11" x14ac:dyDescent="0.3">
      <c r="A82" s="242" t="s">
        <v>1453</v>
      </c>
      <c r="B82" s="244">
        <f t="shared" si="16"/>
        <v>0</v>
      </c>
      <c r="C82" s="242"/>
      <c r="D82" s="244">
        <f t="shared" si="17"/>
        <v>0</v>
      </c>
      <c r="E82" s="242"/>
      <c r="F82" s="244">
        <f t="shared" si="18"/>
        <v>0</v>
      </c>
      <c r="G82" s="242"/>
      <c r="H82" s="244">
        <f t="shared" si="19"/>
        <v>0</v>
      </c>
      <c r="I82" s="242"/>
      <c r="J82" s="244">
        <f t="shared" si="20"/>
        <v>1.118121793345312</v>
      </c>
      <c r="K82" s="244"/>
    </row>
    <row r="83" spans="1:11" x14ac:dyDescent="0.3">
      <c r="A83" s="242" t="s">
        <v>1456</v>
      </c>
      <c r="B83" s="244">
        <f t="shared" si="16"/>
        <v>1.4874918367228995</v>
      </c>
      <c r="C83" s="242"/>
      <c r="D83" s="244">
        <f t="shared" si="17"/>
        <v>9.6455303848390267E-2</v>
      </c>
      <c r="E83" s="242"/>
      <c r="F83" s="244">
        <f t="shared" si="18"/>
        <v>2.2768439992973583E-2</v>
      </c>
      <c r="G83" s="242"/>
      <c r="H83" s="244">
        <f t="shared" si="19"/>
        <v>0.26118592226212245</v>
      </c>
      <c r="I83" s="242"/>
      <c r="J83" s="244">
        <f t="shared" si="20"/>
        <v>0.57097335895104151</v>
      </c>
      <c r="K83" s="244"/>
    </row>
    <row r="84" spans="1:11" x14ac:dyDescent="0.3">
      <c r="A84" s="242" t="s">
        <v>1457</v>
      </c>
      <c r="B84" s="244">
        <f t="shared" si="16"/>
        <v>0</v>
      </c>
      <c r="C84" s="242"/>
      <c r="D84" s="244">
        <f t="shared" si="17"/>
        <v>0</v>
      </c>
      <c r="E84" s="242"/>
      <c r="F84" s="244">
        <f t="shared" si="18"/>
        <v>0</v>
      </c>
      <c r="G84" s="242"/>
      <c r="H84" s="244">
        <f t="shared" si="19"/>
        <v>0</v>
      </c>
      <c r="I84" s="242"/>
      <c r="J84" s="244">
        <f t="shared" si="20"/>
        <v>0</v>
      </c>
      <c r="K84" s="244"/>
    </row>
    <row r="85" spans="1:11" x14ac:dyDescent="0.3">
      <c r="A85" s="242" t="s">
        <v>1458</v>
      </c>
      <c r="B85" s="244">
        <f t="shared" si="16"/>
        <v>0</v>
      </c>
      <c r="C85" s="242"/>
      <c r="D85" s="244">
        <f t="shared" si="17"/>
        <v>0.3764294111840038</v>
      </c>
      <c r="E85" s="242"/>
      <c r="F85" s="244">
        <f t="shared" si="18"/>
        <v>1.614743313717047</v>
      </c>
      <c r="G85" s="242"/>
      <c r="H85" s="244">
        <f t="shared" si="19"/>
        <v>0.3817451670931617</v>
      </c>
      <c r="I85" s="242"/>
      <c r="J85" s="244">
        <f t="shared" si="20"/>
        <v>0.11184804928131417</v>
      </c>
      <c r="K85" s="244"/>
    </row>
    <row r="86" spans="1:11" x14ac:dyDescent="0.3">
      <c r="A86" s="242" t="s">
        <v>1459</v>
      </c>
      <c r="B86" s="244">
        <f t="shared" si="16"/>
        <v>0</v>
      </c>
      <c r="C86" s="244"/>
      <c r="D86" s="244">
        <f t="shared" si="17"/>
        <v>0</v>
      </c>
      <c r="E86" s="244"/>
      <c r="F86" s="244">
        <f t="shared" si="18"/>
        <v>0</v>
      </c>
      <c r="G86" s="244"/>
      <c r="H86" s="244">
        <f t="shared" si="19"/>
        <v>0</v>
      </c>
      <c r="I86" s="244"/>
      <c r="J86" s="244">
        <f t="shared" si="20"/>
        <v>0</v>
      </c>
      <c r="K86" s="244"/>
    </row>
    <row r="87" spans="1:11" x14ac:dyDescent="0.3">
      <c r="B87" s="251"/>
    </row>
    <row r="88" spans="1:11" x14ac:dyDescent="0.3">
      <c r="A88" s="245"/>
      <c r="B88" s="499" t="s">
        <v>1441</v>
      </c>
      <c r="C88" s="500"/>
      <c r="D88" s="499" t="s">
        <v>1442</v>
      </c>
      <c r="E88" s="500"/>
      <c r="F88" s="499" t="s">
        <v>1443</v>
      </c>
      <c r="G88" s="500"/>
      <c r="H88" s="499" t="s">
        <v>1444</v>
      </c>
      <c r="I88" s="500"/>
      <c r="J88" s="497">
        <v>46054</v>
      </c>
      <c r="K88" s="498"/>
    </row>
    <row r="89" spans="1:11" x14ac:dyDescent="0.3">
      <c r="A89" s="245"/>
      <c r="B89" s="98" t="s">
        <v>1445</v>
      </c>
      <c r="C89" s="98" t="s">
        <v>1446</v>
      </c>
      <c r="D89" s="98" t="s">
        <v>1445</v>
      </c>
      <c r="E89" s="98" t="s">
        <v>1446</v>
      </c>
      <c r="F89" s="98" t="s">
        <v>1445</v>
      </c>
      <c r="G89" s="98" t="s">
        <v>1446</v>
      </c>
      <c r="H89" s="98" t="s">
        <v>1445</v>
      </c>
      <c r="I89" s="98" t="s">
        <v>1446</v>
      </c>
      <c r="J89" s="98" t="s">
        <v>1445</v>
      </c>
      <c r="K89" s="98" t="s">
        <v>1446</v>
      </c>
    </row>
    <row r="90" spans="1:11" x14ac:dyDescent="0.3">
      <c r="A90" s="246" t="s">
        <v>1462</v>
      </c>
      <c r="B90" s="247">
        <f>SUM(B91:B99)</f>
        <v>0</v>
      </c>
      <c r="C90" s="248">
        <f t="shared" ref="C90:C99" si="21">IFERROR(B90/$H$63,0)</f>
        <v>0</v>
      </c>
      <c r="D90" s="247">
        <f>SUM(D91:D99)</f>
        <v>0</v>
      </c>
      <c r="E90" s="248">
        <f t="shared" ref="E90:E99" si="22">IFERROR(D90/$H$63,0)</f>
        <v>0</v>
      </c>
      <c r="F90" s="247">
        <f>SUM(F91:F99)</f>
        <v>0</v>
      </c>
      <c r="G90" s="248">
        <f t="shared" ref="G90:G99" si="23">IFERROR(F90/$H$63,0)</f>
        <v>0</v>
      </c>
      <c r="H90" s="247">
        <f>SUM(H91:H99)</f>
        <v>0</v>
      </c>
      <c r="I90" s="248">
        <f t="shared" ref="I90:I99" si="24">IFERROR(H90/$H$63,0)</f>
        <v>0</v>
      </c>
      <c r="J90" s="247">
        <f>SUM(J91:J99)</f>
        <v>162175.9</v>
      </c>
      <c r="K90" s="248">
        <f t="shared" ref="K90:K99" si="25">IFERROR(J90/$J$63,0)</f>
        <v>0.23892507223143286</v>
      </c>
    </row>
    <row r="91" spans="1:11" x14ac:dyDescent="0.3">
      <c r="A91" s="242" t="s">
        <v>1448</v>
      </c>
      <c r="B91" s="249"/>
      <c r="C91" s="244">
        <f t="shared" si="21"/>
        <v>0</v>
      </c>
      <c r="D91" s="249"/>
      <c r="E91" s="244">
        <f t="shared" si="22"/>
        <v>0</v>
      </c>
      <c r="F91" s="249"/>
      <c r="G91" s="244">
        <f t="shared" si="23"/>
        <v>0</v>
      </c>
      <c r="H91" s="249"/>
      <c r="I91" s="244">
        <f t="shared" si="24"/>
        <v>0</v>
      </c>
      <c r="J91" s="243">
        <v>19281</v>
      </c>
      <c r="K91" s="244">
        <f t="shared" si="25"/>
        <v>2.8405665192511694E-2</v>
      </c>
    </row>
    <row r="92" spans="1:11" x14ac:dyDescent="0.3">
      <c r="A92" s="242" t="s">
        <v>1449</v>
      </c>
      <c r="B92" s="249"/>
      <c r="C92" s="244">
        <f t="shared" si="21"/>
        <v>0</v>
      </c>
      <c r="D92" s="249"/>
      <c r="E92" s="244">
        <f t="shared" si="22"/>
        <v>0</v>
      </c>
      <c r="F92" s="249"/>
      <c r="G92" s="244">
        <f t="shared" si="23"/>
        <v>0</v>
      </c>
      <c r="H92" s="249"/>
      <c r="I92" s="244">
        <f t="shared" si="24"/>
        <v>0</v>
      </c>
      <c r="J92" s="243">
        <v>3800</v>
      </c>
      <c r="K92" s="244">
        <f t="shared" si="25"/>
        <v>5.5983365868753918E-3</v>
      </c>
    </row>
    <row r="93" spans="1:11" x14ac:dyDescent="0.3">
      <c r="A93" s="242" t="s">
        <v>652</v>
      </c>
      <c r="B93" s="249"/>
      <c r="C93" s="244">
        <f t="shared" si="21"/>
        <v>0</v>
      </c>
      <c r="D93" s="249"/>
      <c r="E93" s="244">
        <f t="shared" si="22"/>
        <v>0</v>
      </c>
      <c r="F93" s="249"/>
      <c r="G93" s="244">
        <f t="shared" si="23"/>
        <v>0</v>
      </c>
      <c r="H93" s="249"/>
      <c r="I93" s="244">
        <f t="shared" si="24"/>
        <v>0</v>
      </c>
      <c r="J93" s="243">
        <v>14839</v>
      </c>
      <c r="K93" s="244">
        <f t="shared" si="25"/>
        <v>2.1861504371748407E-2</v>
      </c>
    </row>
    <row r="94" spans="1:11" x14ac:dyDescent="0.3">
      <c r="A94" s="242" t="s">
        <v>1450</v>
      </c>
      <c r="B94" s="250"/>
      <c r="C94" s="244">
        <f t="shared" si="21"/>
        <v>0</v>
      </c>
      <c r="D94" s="250"/>
      <c r="E94" s="244">
        <f t="shared" si="22"/>
        <v>0</v>
      </c>
      <c r="F94" s="250"/>
      <c r="G94" s="244">
        <f t="shared" si="23"/>
        <v>0</v>
      </c>
      <c r="H94" s="250"/>
      <c r="I94" s="244">
        <f t="shared" si="24"/>
        <v>0</v>
      </c>
      <c r="J94" s="243">
        <v>20617</v>
      </c>
      <c r="K94" s="244">
        <f t="shared" si="25"/>
        <v>3.0373922476739462E-2</v>
      </c>
    </row>
    <row r="95" spans="1:11" x14ac:dyDescent="0.3">
      <c r="A95" s="242" t="s">
        <v>1451</v>
      </c>
      <c r="B95" s="249"/>
      <c r="C95" s="244">
        <f t="shared" si="21"/>
        <v>0</v>
      </c>
      <c r="D95" s="249"/>
      <c r="E95" s="244">
        <f t="shared" si="22"/>
        <v>0</v>
      </c>
      <c r="F95" s="249"/>
      <c r="G95" s="244">
        <f t="shared" si="23"/>
        <v>0</v>
      </c>
      <c r="H95" s="249"/>
      <c r="I95" s="244">
        <f t="shared" si="24"/>
        <v>0</v>
      </c>
      <c r="J95" s="243">
        <v>4408</v>
      </c>
      <c r="K95" s="244">
        <f t="shared" si="25"/>
        <v>6.4940704407754546E-3</v>
      </c>
    </row>
    <row r="96" spans="1:11" x14ac:dyDescent="0.3">
      <c r="A96" s="242" t="s">
        <v>1453</v>
      </c>
      <c r="B96" s="249"/>
      <c r="C96" s="244">
        <f t="shared" si="21"/>
        <v>0</v>
      </c>
      <c r="D96" s="249"/>
      <c r="E96" s="244">
        <f t="shared" si="22"/>
        <v>0</v>
      </c>
      <c r="F96" s="249"/>
      <c r="G96" s="244">
        <f t="shared" si="23"/>
        <v>0</v>
      </c>
      <c r="H96" s="249"/>
      <c r="I96" s="244">
        <f t="shared" si="24"/>
        <v>0</v>
      </c>
      <c r="J96" s="243">
        <v>3355</v>
      </c>
      <c r="K96" s="244">
        <f t="shared" si="25"/>
        <v>4.9427419076228793E-3</v>
      </c>
    </row>
    <row r="97" spans="1:12" x14ac:dyDescent="0.3">
      <c r="A97" s="242" t="s">
        <v>1456</v>
      </c>
      <c r="B97" s="249"/>
      <c r="C97" s="244">
        <f t="shared" si="21"/>
        <v>0</v>
      </c>
      <c r="D97" s="249"/>
      <c r="E97" s="244">
        <f t="shared" si="22"/>
        <v>0</v>
      </c>
      <c r="F97" s="249"/>
      <c r="G97" s="244">
        <f t="shared" si="23"/>
        <v>0</v>
      </c>
      <c r="H97" s="249"/>
      <c r="I97" s="244">
        <f t="shared" si="24"/>
        <v>0</v>
      </c>
      <c r="J97" s="243">
        <v>84775.9</v>
      </c>
      <c r="K97" s="244">
        <f t="shared" si="25"/>
        <v>0.1248957954356025</v>
      </c>
      <c r="L97" s="237" t="s">
        <v>1463</v>
      </c>
    </row>
    <row r="98" spans="1:12" x14ac:dyDescent="0.3">
      <c r="A98" s="242" t="s">
        <v>1457</v>
      </c>
      <c r="B98" s="249"/>
      <c r="C98" s="244">
        <f t="shared" si="21"/>
        <v>0</v>
      </c>
      <c r="D98" s="249"/>
      <c r="E98" s="244">
        <f t="shared" si="22"/>
        <v>0</v>
      </c>
      <c r="F98" s="249"/>
      <c r="G98" s="244">
        <f t="shared" si="23"/>
        <v>0</v>
      </c>
      <c r="H98" s="249"/>
      <c r="I98" s="244">
        <f t="shared" si="24"/>
        <v>0</v>
      </c>
      <c r="J98" s="243">
        <v>1100</v>
      </c>
      <c r="K98" s="244">
        <f t="shared" si="25"/>
        <v>1.6205711172534029E-3</v>
      </c>
    </row>
    <row r="99" spans="1:12" x14ac:dyDescent="0.3">
      <c r="A99" s="242" t="s">
        <v>1458</v>
      </c>
      <c r="B99" s="249"/>
      <c r="C99" s="244">
        <f t="shared" si="21"/>
        <v>0</v>
      </c>
      <c r="D99" s="249"/>
      <c r="E99" s="244">
        <f t="shared" si="22"/>
        <v>0</v>
      </c>
      <c r="F99" s="249"/>
      <c r="G99" s="244">
        <f t="shared" si="23"/>
        <v>0</v>
      </c>
      <c r="H99" s="249"/>
      <c r="I99" s="244">
        <f t="shared" si="24"/>
        <v>0</v>
      </c>
      <c r="J99" s="243">
        <v>10000</v>
      </c>
      <c r="K99" s="244">
        <f t="shared" si="25"/>
        <v>1.4732464702303662E-2</v>
      </c>
    </row>
    <row r="103" spans="1:12" x14ac:dyDescent="0.3">
      <c r="A103" s="237" t="s">
        <v>1464</v>
      </c>
    </row>
    <row r="104" spans="1:12" x14ac:dyDescent="0.3">
      <c r="A104" s="237" t="s">
        <v>1465</v>
      </c>
    </row>
    <row r="105" spans="1:12" x14ac:dyDescent="0.3">
      <c r="A105" s="141" t="s">
        <v>1466</v>
      </c>
    </row>
    <row r="106" spans="1:12" x14ac:dyDescent="0.3">
      <c r="A106" s="141" t="s">
        <v>1467</v>
      </c>
    </row>
    <row r="107" spans="1:12" x14ac:dyDescent="0.3">
      <c r="A107" s="141" t="s">
        <v>1468</v>
      </c>
    </row>
  </sheetData>
  <mergeCells count="22">
    <mergeCell ref="F88:G88"/>
    <mergeCell ref="D88:E88"/>
    <mergeCell ref="B88:C88"/>
    <mergeCell ref="L54:M54"/>
    <mergeCell ref="H47:I47"/>
    <mergeCell ref="J47:K47"/>
    <mergeCell ref="B47:C47"/>
    <mergeCell ref="D47:E47"/>
    <mergeCell ref="F47:G47"/>
    <mergeCell ref="B61:C61"/>
    <mergeCell ref="D61:E61"/>
    <mergeCell ref="F61:G61"/>
    <mergeCell ref="B75:C75"/>
    <mergeCell ref="D75:E75"/>
    <mergeCell ref="F75:G75"/>
    <mergeCell ref="H61:I61"/>
    <mergeCell ref="J61:K61"/>
    <mergeCell ref="H88:I88"/>
    <mergeCell ref="J88:K88"/>
    <mergeCell ref="L55:M55"/>
    <mergeCell ref="H75:I75"/>
    <mergeCell ref="J75:K75"/>
  </mergeCells>
  <phoneticPr fontId="6" type="noConversion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A8CE-2EBC-438B-B869-F2102E8222F2}">
  <dimension ref="B2:H282"/>
  <sheetViews>
    <sheetView showGridLines="0" topLeftCell="A166" workbookViewId="0">
      <selection activeCell="C286" sqref="C286"/>
    </sheetView>
  </sheetViews>
  <sheetFormatPr defaultRowHeight="14.4" x14ac:dyDescent="0.3"/>
  <cols>
    <col min="1" max="1" width="3.33203125" customWidth="1"/>
    <col min="2" max="2" width="11.109375" bestFit="1" customWidth="1"/>
    <col min="3" max="3" width="33.88671875" bestFit="1" customWidth="1"/>
    <col min="4" max="4" width="12.33203125" style="262" bestFit="1" customWidth="1"/>
    <col min="5" max="5" width="39.5546875" bestFit="1" customWidth="1"/>
    <col min="7" max="7" width="37.33203125" bestFit="1" customWidth="1"/>
    <col min="8" max="8" width="14.88671875" bestFit="1" customWidth="1"/>
    <col min="10" max="11" width="7.44140625" bestFit="1" customWidth="1"/>
    <col min="12" max="59" width="8.44140625" bestFit="1" customWidth="1"/>
    <col min="60" max="142" width="9.5546875" bestFit="1" customWidth="1"/>
    <col min="143" max="181" width="11.109375" bestFit="1" customWidth="1"/>
    <col min="182" max="182" width="12.33203125" bestFit="1" customWidth="1"/>
    <col min="183" max="183" width="10.44140625" bestFit="1" customWidth="1"/>
  </cols>
  <sheetData>
    <row r="2" spans="2:8" x14ac:dyDescent="0.3">
      <c r="B2" s="259" t="s">
        <v>1469</v>
      </c>
      <c r="C2" s="260" t="s">
        <v>5</v>
      </c>
      <c r="D2" s="270" t="s">
        <v>7</v>
      </c>
      <c r="E2" s="261" t="s">
        <v>4</v>
      </c>
      <c r="G2" s="274" t="s">
        <v>1469</v>
      </c>
      <c r="H2" t="s">
        <v>1470</v>
      </c>
    </row>
    <row r="3" spans="2:8" ht="15" thickTop="1" x14ac:dyDescent="0.3">
      <c r="B3" s="264">
        <v>46066</v>
      </c>
      <c r="C3" s="265" t="s">
        <v>657</v>
      </c>
      <c r="D3" s="271">
        <v>1500</v>
      </c>
      <c r="E3" s="266" t="s">
        <v>503</v>
      </c>
    </row>
    <row r="4" spans="2:8" x14ac:dyDescent="0.3">
      <c r="B4" s="264">
        <v>46066</v>
      </c>
      <c r="C4" s="265" t="s">
        <v>657</v>
      </c>
      <c r="D4" s="271">
        <v>1500</v>
      </c>
      <c r="E4" s="266" t="s">
        <v>503</v>
      </c>
      <c r="G4" s="274" t="s">
        <v>4</v>
      </c>
      <c r="H4" t="s">
        <v>1471</v>
      </c>
    </row>
    <row r="5" spans="2:8" x14ac:dyDescent="0.3">
      <c r="B5" s="264">
        <v>46066</v>
      </c>
      <c r="C5" s="265" t="s">
        <v>657</v>
      </c>
      <c r="D5" s="271">
        <v>1800</v>
      </c>
      <c r="E5" s="266" t="s">
        <v>503</v>
      </c>
      <c r="G5" t="s">
        <v>502</v>
      </c>
      <c r="H5" s="262">
        <v>5200</v>
      </c>
    </row>
    <row r="6" spans="2:8" x14ac:dyDescent="0.3">
      <c r="B6" s="264">
        <v>46066</v>
      </c>
      <c r="C6" s="265" t="s">
        <v>657</v>
      </c>
      <c r="D6" s="271">
        <v>1800</v>
      </c>
      <c r="E6" s="266" t="s">
        <v>503</v>
      </c>
      <c r="G6" t="s">
        <v>503</v>
      </c>
      <c r="H6" s="262">
        <v>39900</v>
      </c>
    </row>
    <row r="7" spans="2:8" x14ac:dyDescent="0.3">
      <c r="B7" s="264">
        <v>46066</v>
      </c>
      <c r="C7" s="265" t="s">
        <v>676</v>
      </c>
      <c r="D7" s="271">
        <v>641</v>
      </c>
      <c r="E7" s="266" t="s">
        <v>1472</v>
      </c>
      <c r="G7" t="s">
        <v>1472</v>
      </c>
      <c r="H7" s="262">
        <v>7604.2099999999991</v>
      </c>
    </row>
    <row r="8" spans="2:8" x14ac:dyDescent="0.3">
      <c r="B8" s="264">
        <v>46066</v>
      </c>
      <c r="C8" s="265" t="s">
        <v>679</v>
      </c>
      <c r="D8" s="271">
        <v>23</v>
      </c>
      <c r="E8" s="266" t="s">
        <v>1472</v>
      </c>
      <c r="G8" t="s">
        <v>203</v>
      </c>
      <c r="H8" s="262">
        <v>13165.599999999999</v>
      </c>
    </row>
    <row r="9" spans="2:8" x14ac:dyDescent="0.3">
      <c r="B9" s="264">
        <v>46066</v>
      </c>
      <c r="C9" s="265" t="s">
        <v>660</v>
      </c>
      <c r="D9" s="271">
        <v>69.27</v>
      </c>
      <c r="E9" s="266" t="s">
        <v>1472</v>
      </c>
      <c r="G9" t="s">
        <v>1473</v>
      </c>
      <c r="H9" s="262">
        <v>2929.7299999999996</v>
      </c>
    </row>
    <row r="10" spans="2:8" x14ac:dyDescent="0.3">
      <c r="B10" s="264">
        <v>46066</v>
      </c>
      <c r="C10" s="265" t="s">
        <v>672</v>
      </c>
      <c r="D10" s="271">
        <v>169</v>
      </c>
      <c r="E10" s="266" t="s">
        <v>203</v>
      </c>
      <c r="G10" t="s">
        <v>18</v>
      </c>
      <c r="H10" s="262">
        <v>5269.82</v>
      </c>
    </row>
    <row r="11" spans="2:8" x14ac:dyDescent="0.3">
      <c r="B11" s="264">
        <v>46066</v>
      </c>
      <c r="C11" s="265" t="s">
        <v>1474</v>
      </c>
      <c r="D11" s="271">
        <v>1600</v>
      </c>
      <c r="E11" s="266" t="s">
        <v>203</v>
      </c>
      <c r="G11" t="s">
        <v>1475</v>
      </c>
      <c r="H11" s="262">
        <v>552.41</v>
      </c>
    </row>
    <row r="12" spans="2:8" x14ac:dyDescent="0.3">
      <c r="B12" s="264">
        <v>46066</v>
      </c>
      <c r="C12" s="265" t="s">
        <v>687</v>
      </c>
      <c r="D12" s="271">
        <v>58.8</v>
      </c>
      <c r="E12" s="266" t="s">
        <v>203</v>
      </c>
      <c r="G12" t="s">
        <v>1476</v>
      </c>
      <c r="H12" s="262">
        <v>1305</v>
      </c>
    </row>
    <row r="13" spans="2:8" x14ac:dyDescent="0.3">
      <c r="B13" s="264">
        <v>46066</v>
      </c>
      <c r="C13" s="265" t="s">
        <v>677</v>
      </c>
      <c r="D13" s="271">
        <v>64.7</v>
      </c>
      <c r="E13" s="266" t="s">
        <v>203</v>
      </c>
      <c r="G13" t="s">
        <v>205</v>
      </c>
      <c r="H13" s="262">
        <v>16647.490000000005</v>
      </c>
    </row>
    <row r="14" spans="2:8" x14ac:dyDescent="0.3">
      <c r="B14" s="264">
        <v>46066</v>
      </c>
      <c r="C14" s="265" t="s">
        <v>688</v>
      </c>
      <c r="D14" s="271">
        <v>269.99</v>
      </c>
      <c r="E14" s="266" t="s">
        <v>203</v>
      </c>
      <c r="G14" t="s">
        <v>590</v>
      </c>
      <c r="H14" s="262">
        <v>3411.06</v>
      </c>
    </row>
    <row r="15" spans="2:8" x14ac:dyDescent="0.3">
      <c r="B15" s="264">
        <v>46066</v>
      </c>
      <c r="C15" s="265" t="s">
        <v>1477</v>
      </c>
      <c r="D15" s="271">
        <v>340.54</v>
      </c>
      <c r="E15" s="266" t="s">
        <v>1473</v>
      </c>
      <c r="G15" t="s">
        <v>206</v>
      </c>
      <c r="H15" s="262">
        <v>639</v>
      </c>
    </row>
    <row r="16" spans="2:8" x14ac:dyDescent="0.3">
      <c r="B16" s="264">
        <v>46066</v>
      </c>
      <c r="C16" s="265" t="s">
        <v>670</v>
      </c>
      <c r="D16" s="271">
        <v>187.98</v>
      </c>
      <c r="E16" s="266" t="s">
        <v>1473</v>
      </c>
      <c r="G16" t="s">
        <v>1478</v>
      </c>
      <c r="H16" s="262">
        <v>5109</v>
      </c>
    </row>
    <row r="17" spans="2:8" x14ac:dyDescent="0.3">
      <c r="B17" s="264">
        <v>46066</v>
      </c>
      <c r="C17" s="265" t="s">
        <v>670</v>
      </c>
      <c r="D17" s="271">
        <v>288.51</v>
      </c>
      <c r="E17" s="266" t="s">
        <v>1473</v>
      </c>
      <c r="G17" t="s">
        <v>1479</v>
      </c>
      <c r="H17" s="262">
        <v>11563.939999999997</v>
      </c>
    </row>
    <row r="18" spans="2:8" x14ac:dyDescent="0.3">
      <c r="B18" s="264">
        <v>46066</v>
      </c>
      <c r="C18" s="265" t="s">
        <v>659</v>
      </c>
      <c r="D18" s="271">
        <v>290.12</v>
      </c>
      <c r="E18" s="266" t="s">
        <v>1473</v>
      </c>
      <c r="G18" t="s">
        <v>1480</v>
      </c>
      <c r="H18" s="262">
        <v>80275.37</v>
      </c>
    </row>
    <row r="19" spans="2:8" x14ac:dyDescent="0.3">
      <c r="B19" s="264">
        <v>46066</v>
      </c>
      <c r="C19" s="265" t="s">
        <v>684</v>
      </c>
      <c r="D19" s="271">
        <v>184.12</v>
      </c>
      <c r="E19" s="266" t="s">
        <v>1475</v>
      </c>
      <c r="G19" t="s">
        <v>1481</v>
      </c>
      <c r="H19" s="262">
        <v>-22.99</v>
      </c>
    </row>
    <row r="20" spans="2:8" x14ac:dyDescent="0.3">
      <c r="B20" s="264">
        <v>46066</v>
      </c>
      <c r="C20" s="265" t="s">
        <v>681</v>
      </c>
      <c r="D20" s="271">
        <v>435</v>
      </c>
      <c r="E20" s="266" t="s">
        <v>1476</v>
      </c>
      <c r="G20" t="s">
        <v>475</v>
      </c>
      <c r="H20" s="262">
        <v>3891.6199999999994</v>
      </c>
    </row>
    <row r="21" spans="2:8" x14ac:dyDescent="0.3">
      <c r="B21" s="264">
        <v>46066</v>
      </c>
      <c r="C21" s="265" t="s">
        <v>665</v>
      </c>
      <c r="D21" s="271">
        <v>146.75</v>
      </c>
      <c r="E21" s="266" t="s">
        <v>205</v>
      </c>
      <c r="G21" t="s">
        <v>1482</v>
      </c>
      <c r="H21" s="262">
        <v>28.33</v>
      </c>
    </row>
    <row r="22" spans="2:8" x14ac:dyDescent="0.3">
      <c r="B22" s="264">
        <v>46066</v>
      </c>
      <c r="C22" s="265" t="s">
        <v>666</v>
      </c>
      <c r="D22" s="271">
        <v>437</v>
      </c>
      <c r="E22" s="266" t="s">
        <v>205</v>
      </c>
      <c r="G22" t="s">
        <v>885</v>
      </c>
      <c r="H22" s="262">
        <v>2000</v>
      </c>
    </row>
    <row r="23" spans="2:8" x14ac:dyDescent="0.3">
      <c r="B23" s="264">
        <v>46066</v>
      </c>
      <c r="C23" s="265" t="s">
        <v>669</v>
      </c>
      <c r="D23" s="271">
        <v>-45</v>
      </c>
      <c r="E23" s="266" t="s">
        <v>205</v>
      </c>
      <c r="G23" t="s">
        <v>1483</v>
      </c>
      <c r="H23" s="262">
        <v>759</v>
      </c>
    </row>
    <row r="24" spans="2:8" x14ac:dyDescent="0.3">
      <c r="B24" s="264">
        <v>46066</v>
      </c>
      <c r="C24" s="265" t="s">
        <v>667</v>
      </c>
      <c r="D24" s="271">
        <v>772</v>
      </c>
      <c r="E24" s="266" t="s">
        <v>205</v>
      </c>
      <c r="G24" t="s">
        <v>1484</v>
      </c>
      <c r="H24" s="262">
        <v>200228.59</v>
      </c>
    </row>
    <row r="25" spans="2:8" x14ac:dyDescent="0.3">
      <c r="B25" s="264">
        <v>46066</v>
      </c>
      <c r="C25" s="265" t="s">
        <v>671</v>
      </c>
      <c r="D25" s="271">
        <v>51.97</v>
      </c>
      <c r="E25" s="266" t="s">
        <v>205</v>
      </c>
    </row>
    <row r="26" spans="2:8" x14ac:dyDescent="0.3">
      <c r="B26" s="264">
        <v>46066</v>
      </c>
      <c r="C26" s="265" t="s">
        <v>662</v>
      </c>
      <c r="D26" s="271">
        <v>23.1</v>
      </c>
      <c r="E26" s="266" t="s">
        <v>205</v>
      </c>
    </row>
    <row r="27" spans="2:8" x14ac:dyDescent="0.3">
      <c r="B27" s="264">
        <v>46066</v>
      </c>
      <c r="C27" s="265" t="s">
        <v>661</v>
      </c>
      <c r="D27" s="271">
        <v>45.97</v>
      </c>
      <c r="E27" s="266" t="s">
        <v>205</v>
      </c>
    </row>
    <row r="28" spans="2:8" x14ac:dyDescent="0.3">
      <c r="B28" s="264">
        <v>46066</v>
      </c>
      <c r="C28" s="265" t="s">
        <v>661</v>
      </c>
      <c r="D28" s="271">
        <v>27.98</v>
      </c>
      <c r="E28" s="266" t="s">
        <v>205</v>
      </c>
    </row>
    <row r="29" spans="2:8" x14ac:dyDescent="0.3">
      <c r="B29" s="264">
        <v>46066</v>
      </c>
      <c r="C29" s="265" t="s">
        <v>661</v>
      </c>
      <c r="D29" s="271">
        <v>115</v>
      </c>
      <c r="E29" s="266" t="s">
        <v>205</v>
      </c>
    </row>
    <row r="30" spans="2:8" x14ac:dyDescent="0.3">
      <c r="B30" s="264">
        <v>46066</v>
      </c>
      <c r="C30" s="265" t="s">
        <v>668</v>
      </c>
      <c r="D30" s="271">
        <v>35.979999999999997</v>
      </c>
      <c r="E30" s="266" t="s">
        <v>205</v>
      </c>
    </row>
    <row r="31" spans="2:8" x14ac:dyDescent="0.3">
      <c r="B31" s="264">
        <v>46066</v>
      </c>
      <c r="C31" s="265" t="s">
        <v>663</v>
      </c>
      <c r="D31" s="271">
        <v>210</v>
      </c>
      <c r="E31" s="266" t="s">
        <v>205</v>
      </c>
    </row>
    <row r="32" spans="2:8" x14ac:dyDescent="0.3">
      <c r="B32" s="264">
        <v>46066</v>
      </c>
      <c r="C32" s="265" t="s">
        <v>682</v>
      </c>
      <c r="D32" s="271">
        <v>1705.52</v>
      </c>
      <c r="E32" s="266" t="s">
        <v>590</v>
      </c>
    </row>
    <row r="33" spans="2:5" x14ac:dyDescent="0.3">
      <c r="B33" s="264">
        <v>46066</v>
      </c>
      <c r="C33" s="265" t="s">
        <v>674</v>
      </c>
      <c r="D33" s="271">
        <v>759</v>
      </c>
      <c r="E33" s="266" t="s">
        <v>1478</v>
      </c>
    </row>
    <row r="34" spans="2:5" x14ac:dyDescent="0.3">
      <c r="B34" s="264">
        <v>46066</v>
      </c>
      <c r="C34" s="265" t="s">
        <v>673</v>
      </c>
      <c r="D34" s="271">
        <v>2175</v>
      </c>
      <c r="E34" s="266" t="s">
        <v>1478</v>
      </c>
    </row>
    <row r="35" spans="2:5" x14ac:dyDescent="0.3">
      <c r="B35" s="264">
        <v>46066</v>
      </c>
      <c r="C35" s="265" t="s">
        <v>686</v>
      </c>
      <c r="D35" s="271">
        <v>35</v>
      </c>
      <c r="E35" s="266" t="s">
        <v>1479</v>
      </c>
    </row>
    <row r="36" spans="2:5" x14ac:dyDescent="0.3">
      <c r="B36" s="264">
        <v>46066</v>
      </c>
      <c r="C36" s="265" t="s">
        <v>656</v>
      </c>
      <c r="D36" s="271">
        <v>54.55</v>
      </c>
      <c r="E36" s="266" t="s">
        <v>1479</v>
      </c>
    </row>
    <row r="37" spans="2:5" x14ac:dyDescent="0.3">
      <c r="B37" s="264">
        <v>46066</v>
      </c>
      <c r="C37" s="265" t="s">
        <v>656</v>
      </c>
      <c r="D37" s="271">
        <v>84.99</v>
      </c>
      <c r="E37" s="266" t="s">
        <v>1479</v>
      </c>
    </row>
    <row r="38" spans="2:5" x14ac:dyDescent="0.3">
      <c r="B38" s="264">
        <v>46066</v>
      </c>
      <c r="C38" s="265" t="s">
        <v>1485</v>
      </c>
      <c r="D38" s="271">
        <v>165.25</v>
      </c>
      <c r="E38" s="266" t="s">
        <v>1479</v>
      </c>
    </row>
    <row r="39" spans="2:5" x14ac:dyDescent="0.3">
      <c r="B39" s="264">
        <v>46066</v>
      </c>
      <c r="C39" s="265" t="s">
        <v>1486</v>
      </c>
      <c r="D39" s="271">
        <v>99.8</v>
      </c>
      <c r="E39" s="266" t="s">
        <v>1479</v>
      </c>
    </row>
    <row r="40" spans="2:5" x14ac:dyDescent="0.3">
      <c r="B40" s="264">
        <v>46066</v>
      </c>
      <c r="C40" s="265" t="s">
        <v>664</v>
      </c>
      <c r="D40" s="271">
        <v>2264.5100000000002</v>
      </c>
      <c r="E40" s="266" t="s">
        <v>1480</v>
      </c>
    </row>
    <row r="41" spans="2:5" x14ac:dyDescent="0.3">
      <c r="B41" s="264">
        <v>46066</v>
      </c>
      <c r="C41" s="265" t="s">
        <v>664</v>
      </c>
      <c r="D41" s="271">
        <v>2274.12</v>
      </c>
      <c r="E41" s="266" t="s">
        <v>1480</v>
      </c>
    </row>
    <row r="42" spans="2:5" x14ac:dyDescent="0.3">
      <c r="B42" s="264">
        <v>46066</v>
      </c>
      <c r="C42" s="265" t="s">
        <v>664</v>
      </c>
      <c r="D42" s="271">
        <v>10283.07</v>
      </c>
      <c r="E42" s="266" t="s">
        <v>1480</v>
      </c>
    </row>
    <row r="43" spans="2:5" x14ac:dyDescent="0.3">
      <c r="B43" s="264">
        <v>46066</v>
      </c>
      <c r="C43" s="265" t="s">
        <v>664</v>
      </c>
      <c r="D43" s="271">
        <v>2114.3000000000002</v>
      </c>
      <c r="E43" s="266" t="s">
        <v>1480</v>
      </c>
    </row>
    <row r="44" spans="2:5" x14ac:dyDescent="0.3">
      <c r="B44" s="264">
        <v>46066</v>
      </c>
      <c r="C44" s="265" t="s">
        <v>664</v>
      </c>
      <c r="D44" s="271">
        <v>6917</v>
      </c>
      <c r="E44" s="266" t="s">
        <v>1480</v>
      </c>
    </row>
    <row r="45" spans="2:5" x14ac:dyDescent="0.3">
      <c r="B45" s="264">
        <v>46066</v>
      </c>
      <c r="C45" s="265" t="s">
        <v>664</v>
      </c>
      <c r="D45" s="271">
        <v>482</v>
      </c>
      <c r="E45" s="266" t="s">
        <v>1480</v>
      </c>
    </row>
    <row r="46" spans="2:5" x14ac:dyDescent="0.3">
      <c r="B46" s="264">
        <v>46066</v>
      </c>
      <c r="C46" s="265" t="s">
        <v>664</v>
      </c>
      <c r="D46" s="271">
        <v>2127.9299999999998</v>
      </c>
      <c r="E46" s="266" t="s">
        <v>1480</v>
      </c>
    </row>
    <row r="47" spans="2:5" x14ac:dyDescent="0.3">
      <c r="B47" s="264">
        <v>46066</v>
      </c>
      <c r="C47" s="265" t="s">
        <v>664</v>
      </c>
      <c r="D47" s="271">
        <v>1070.69</v>
      </c>
      <c r="E47" s="266" t="s">
        <v>1480</v>
      </c>
    </row>
    <row r="48" spans="2:5" x14ac:dyDescent="0.3">
      <c r="B48" s="264">
        <v>46066</v>
      </c>
      <c r="C48" s="265" t="s">
        <v>664</v>
      </c>
      <c r="D48" s="271">
        <v>1618.03</v>
      </c>
      <c r="E48" s="266" t="s">
        <v>1480</v>
      </c>
    </row>
    <row r="49" spans="2:5" x14ac:dyDescent="0.3">
      <c r="B49" s="264">
        <v>46066</v>
      </c>
      <c r="C49" s="265" t="s">
        <v>664</v>
      </c>
      <c r="D49" s="271">
        <v>4199.0600000000004</v>
      </c>
      <c r="E49" s="266" t="s">
        <v>1480</v>
      </c>
    </row>
    <row r="50" spans="2:5" x14ac:dyDescent="0.3">
      <c r="B50" s="264">
        <v>46066</v>
      </c>
      <c r="C50" s="265" t="s">
        <v>678</v>
      </c>
      <c r="D50" s="271">
        <v>145.63999999999999</v>
      </c>
      <c r="E50" s="266" t="s">
        <v>475</v>
      </c>
    </row>
    <row r="51" spans="2:5" x14ac:dyDescent="0.3">
      <c r="B51" s="267">
        <v>46066</v>
      </c>
      <c r="C51" s="268" t="s">
        <v>658</v>
      </c>
      <c r="D51" s="272">
        <v>827.27</v>
      </c>
      <c r="E51" s="269" t="s">
        <v>475</v>
      </c>
    </row>
    <row r="52" spans="2:5" x14ac:dyDescent="0.3">
      <c r="B52" s="264">
        <v>46035</v>
      </c>
      <c r="C52" s="265" t="s">
        <v>1487</v>
      </c>
      <c r="D52" s="272">
        <v>827.27</v>
      </c>
      <c r="E52" s="269" t="s">
        <v>475</v>
      </c>
    </row>
    <row r="53" spans="2:5" x14ac:dyDescent="0.3">
      <c r="B53" s="264">
        <v>46035</v>
      </c>
      <c r="C53" s="265" t="s">
        <v>1488</v>
      </c>
      <c r="D53" s="272">
        <v>1500</v>
      </c>
      <c r="E53" s="266" t="s">
        <v>503</v>
      </c>
    </row>
    <row r="54" spans="2:5" x14ac:dyDescent="0.3">
      <c r="B54" s="264">
        <v>46035</v>
      </c>
      <c r="C54" s="265" t="s">
        <v>672</v>
      </c>
      <c r="D54" s="272">
        <v>169</v>
      </c>
      <c r="E54" s="266" t="s">
        <v>203</v>
      </c>
    </row>
    <row r="55" spans="2:5" x14ac:dyDescent="0.3">
      <c r="B55" s="264">
        <v>46035</v>
      </c>
      <c r="C55" s="265" t="s">
        <v>1489</v>
      </c>
      <c r="D55" s="272">
        <v>435</v>
      </c>
      <c r="E55" s="266" t="s">
        <v>1476</v>
      </c>
    </row>
    <row r="56" spans="2:5" x14ac:dyDescent="0.3">
      <c r="B56" s="264">
        <v>46035</v>
      </c>
      <c r="C56" s="265" t="s">
        <v>1490</v>
      </c>
      <c r="D56" s="272">
        <v>1705.54</v>
      </c>
      <c r="E56" s="266" t="s">
        <v>590</v>
      </c>
    </row>
    <row r="57" spans="2:5" x14ac:dyDescent="0.3">
      <c r="B57" s="264">
        <v>46035</v>
      </c>
      <c r="C57" s="265" t="s">
        <v>1491</v>
      </c>
      <c r="D57" s="272">
        <v>1600</v>
      </c>
      <c r="E57" s="266" t="s">
        <v>203</v>
      </c>
    </row>
    <row r="58" spans="2:5" x14ac:dyDescent="0.3">
      <c r="B58" s="264">
        <v>46035</v>
      </c>
      <c r="C58" s="265" t="s">
        <v>1492</v>
      </c>
      <c r="D58" s="272">
        <v>3686.95</v>
      </c>
      <c r="E58" s="266" t="s">
        <v>1480</v>
      </c>
    </row>
    <row r="59" spans="2:5" x14ac:dyDescent="0.3">
      <c r="B59" s="264">
        <v>46035</v>
      </c>
      <c r="C59" s="265" t="s">
        <v>1493</v>
      </c>
      <c r="D59" s="272">
        <v>342</v>
      </c>
      <c r="E59" s="266" t="s">
        <v>1480</v>
      </c>
    </row>
    <row r="60" spans="2:5" x14ac:dyDescent="0.3">
      <c r="B60" s="264">
        <v>46035</v>
      </c>
      <c r="C60" s="265" t="s">
        <v>866</v>
      </c>
      <c r="D60" s="272">
        <v>174</v>
      </c>
      <c r="E60" s="266" t="s">
        <v>1480</v>
      </c>
    </row>
    <row r="61" spans="2:5" x14ac:dyDescent="0.3">
      <c r="B61" s="264">
        <v>46035</v>
      </c>
      <c r="C61" s="265" t="s">
        <v>1494</v>
      </c>
      <c r="D61" s="272">
        <v>396</v>
      </c>
      <c r="E61" s="266" t="s">
        <v>1480</v>
      </c>
    </row>
    <row r="62" spans="2:5" x14ac:dyDescent="0.3">
      <c r="B62" s="264">
        <v>46035</v>
      </c>
      <c r="C62" s="265" t="s">
        <v>866</v>
      </c>
      <c r="D62" s="272">
        <v>348</v>
      </c>
      <c r="E62" s="266" t="s">
        <v>1480</v>
      </c>
    </row>
    <row r="63" spans="2:5" x14ac:dyDescent="0.3">
      <c r="B63" s="264">
        <v>46035</v>
      </c>
      <c r="C63" s="265" t="s">
        <v>1495</v>
      </c>
      <c r="D63" s="272">
        <v>500</v>
      </c>
      <c r="E63" s="266" t="s">
        <v>1480</v>
      </c>
    </row>
    <row r="64" spans="2:5" x14ac:dyDescent="0.3">
      <c r="B64" s="264">
        <v>46035</v>
      </c>
      <c r="C64" s="265" t="s">
        <v>1488</v>
      </c>
      <c r="D64" s="272">
        <v>2800</v>
      </c>
      <c r="E64" s="266" t="s">
        <v>503</v>
      </c>
    </row>
    <row r="65" spans="2:5" x14ac:dyDescent="0.3">
      <c r="B65" s="264">
        <v>46035</v>
      </c>
      <c r="C65" s="265" t="s">
        <v>1496</v>
      </c>
      <c r="D65" s="272">
        <v>84.1</v>
      </c>
      <c r="E65" s="266" t="s">
        <v>203</v>
      </c>
    </row>
    <row r="66" spans="2:5" x14ac:dyDescent="0.3">
      <c r="B66" s="264">
        <v>46035</v>
      </c>
      <c r="C66" s="265" t="s">
        <v>1497</v>
      </c>
      <c r="D66" s="272">
        <v>-22.99</v>
      </c>
      <c r="E66" s="266" t="s">
        <v>1481</v>
      </c>
    </row>
    <row r="67" spans="2:5" x14ac:dyDescent="0.3">
      <c r="B67" s="264">
        <v>46035</v>
      </c>
      <c r="C67" s="265" t="s">
        <v>1498</v>
      </c>
      <c r="D67" s="272">
        <v>165.26</v>
      </c>
      <c r="E67" s="266" t="s">
        <v>1479</v>
      </c>
    </row>
    <row r="68" spans="2:5" x14ac:dyDescent="0.3">
      <c r="B68" s="264">
        <v>46035</v>
      </c>
      <c r="C68" s="265" t="s">
        <v>1499</v>
      </c>
      <c r="D68" s="272">
        <v>142.4</v>
      </c>
      <c r="E68" s="266" t="s">
        <v>1479</v>
      </c>
    </row>
    <row r="69" spans="2:5" x14ac:dyDescent="0.3">
      <c r="B69" s="264">
        <v>46035</v>
      </c>
      <c r="C69" s="265" t="s">
        <v>1500</v>
      </c>
      <c r="D69" s="272">
        <v>22.99</v>
      </c>
      <c r="E69" s="266" t="s">
        <v>1479</v>
      </c>
    </row>
    <row r="70" spans="2:5" x14ac:dyDescent="0.3">
      <c r="B70" s="264">
        <v>46035</v>
      </c>
      <c r="C70" s="265" t="s">
        <v>1501</v>
      </c>
      <c r="D70" s="272">
        <v>1282</v>
      </c>
      <c r="E70" s="266" t="s">
        <v>1472</v>
      </c>
    </row>
    <row r="71" spans="2:5" x14ac:dyDescent="0.3">
      <c r="B71" s="264">
        <v>46035</v>
      </c>
      <c r="C71" s="265" t="s">
        <v>1502</v>
      </c>
      <c r="D71" s="272">
        <v>145.63999999999999</v>
      </c>
      <c r="E71" s="266" t="s">
        <v>475</v>
      </c>
    </row>
    <row r="72" spans="2:5" x14ac:dyDescent="0.3">
      <c r="B72" s="264">
        <v>46035</v>
      </c>
      <c r="C72" s="265" t="s">
        <v>1503</v>
      </c>
      <c r="D72" s="272">
        <v>1360.29</v>
      </c>
      <c r="E72" s="266" t="s">
        <v>1480</v>
      </c>
    </row>
    <row r="73" spans="2:5" x14ac:dyDescent="0.3">
      <c r="B73" s="264">
        <v>46035</v>
      </c>
      <c r="C73" s="265" t="s">
        <v>1504</v>
      </c>
      <c r="D73" s="272">
        <v>5262.85</v>
      </c>
      <c r="E73" s="266" t="s">
        <v>1480</v>
      </c>
    </row>
    <row r="74" spans="2:5" x14ac:dyDescent="0.3">
      <c r="B74" s="264">
        <v>46035</v>
      </c>
      <c r="C74" s="265" t="s">
        <v>1505</v>
      </c>
      <c r="D74" s="272">
        <v>2264.5100000000002</v>
      </c>
      <c r="E74" s="266" t="s">
        <v>1480</v>
      </c>
    </row>
    <row r="75" spans="2:5" x14ac:dyDescent="0.3">
      <c r="B75" s="264">
        <v>46035</v>
      </c>
      <c r="C75" s="265" t="s">
        <v>1506</v>
      </c>
      <c r="D75" s="272">
        <v>184.17</v>
      </c>
      <c r="E75" s="266" t="s">
        <v>1475</v>
      </c>
    </row>
    <row r="76" spans="2:5" x14ac:dyDescent="0.3">
      <c r="B76" s="264">
        <v>46035</v>
      </c>
      <c r="C76" s="265" t="s">
        <v>1507</v>
      </c>
      <c r="D76" s="272">
        <v>99.8</v>
      </c>
      <c r="E76" s="266" t="s">
        <v>1479</v>
      </c>
    </row>
    <row r="77" spans="2:5" x14ac:dyDescent="0.3">
      <c r="B77" s="264">
        <v>46035</v>
      </c>
      <c r="C77" s="265" t="s">
        <v>1508</v>
      </c>
      <c r="D77" s="272">
        <v>170</v>
      </c>
      <c r="E77" s="266" t="s">
        <v>203</v>
      </c>
    </row>
    <row r="78" spans="2:5" x14ac:dyDescent="0.3">
      <c r="B78" s="264">
        <v>46035</v>
      </c>
      <c r="C78" s="265" t="s">
        <v>1509</v>
      </c>
      <c r="D78" s="272">
        <v>253</v>
      </c>
      <c r="E78" s="266" t="s">
        <v>1480</v>
      </c>
    </row>
    <row r="79" spans="2:5" x14ac:dyDescent="0.3">
      <c r="B79" s="264">
        <v>46035</v>
      </c>
      <c r="C79" s="265" t="s">
        <v>1510</v>
      </c>
      <c r="D79" s="272">
        <v>43.94</v>
      </c>
      <c r="E79" s="266" t="s">
        <v>1479</v>
      </c>
    </row>
    <row r="80" spans="2:5" x14ac:dyDescent="0.3">
      <c r="B80" s="264">
        <v>46035</v>
      </c>
      <c r="C80" s="265" t="s">
        <v>1511</v>
      </c>
      <c r="D80" s="272">
        <v>33.29</v>
      </c>
      <c r="E80" s="266" t="s">
        <v>1479</v>
      </c>
    </row>
    <row r="81" spans="2:5" x14ac:dyDescent="0.3">
      <c r="B81" s="264">
        <v>46035</v>
      </c>
      <c r="C81" s="265" t="s">
        <v>1512</v>
      </c>
      <c r="D81" s="272">
        <v>35</v>
      </c>
      <c r="E81" s="266" t="s">
        <v>18</v>
      </c>
    </row>
    <row r="82" spans="2:5" x14ac:dyDescent="0.3">
      <c r="B82" s="264">
        <v>46035</v>
      </c>
      <c r="C82" s="265" t="s">
        <v>901</v>
      </c>
      <c r="D82" s="272">
        <v>58.8</v>
      </c>
      <c r="E82" s="266" t="s">
        <v>203</v>
      </c>
    </row>
    <row r="83" spans="2:5" x14ac:dyDescent="0.3">
      <c r="B83" s="264">
        <v>46035</v>
      </c>
      <c r="C83" s="265" t="s">
        <v>1513</v>
      </c>
      <c r="D83" s="272">
        <v>10</v>
      </c>
      <c r="E83" s="266" t="s">
        <v>18</v>
      </c>
    </row>
    <row r="84" spans="2:5" x14ac:dyDescent="0.3">
      <c r="B84" s="264">
        <v>46035</v>
      </c>
      <c r="C84" s="265" t="s">
        <v>1513</v>
      </c>
      <c r="D84" s="272">
        <v>10</v>
      </c>
      <c r="E84" s="266" t="s">
        <v>18</v>
      </c>
    </row>
    <row r="85" spans="2:5" x14ac:dyDescent="0.3">
      <c r="B85" s="267">
        <v>46035</v>
      </c>
      <c r="C85" s="268" t="s">
        <v>1514</v>
      </c>
      <c r="D85" s="272">
        <v>269.99</v>
      </c>
      <c r="E85" s="269" t="s">
        <v>203</v>
      </c>
    </row>
    <row r="86" spans="2:5" x14ac:dyDescent="0.3">
      <c r="B86" s="264">
        <v>46004</v>
      </c>
      <c r="C86" s="265" t="s">
        <v>1515</v>
      </c>
      <c r="D86" s="271">
        <v>749.85</v>
      </c>
      <c r="E86" s="266" t="s">
        <v>1472</v>
      </c>
    </row>
    <row r="87" spans="2:5" x14ac:dyDescent="0.3">
      <c r="B87" s="264">
        <v>46004</v>
      </c>
      <c r="C87" s="265" t="s">
        <v>1516</v>
      </c>
      <c r="D87" s="271">
        <v>827.27</v>
      </c>
      <c r="E87" s="266" t="s">
        <v>475</v>
      </c>
    </row>
    <row r="88" spans="2:5" x14ac:dyDescent="0.3">
      <c r="B88" s="264">
        <v>46004</v>
      </c>
      <c r="C88" s="265" t="s">
        <v>1517</v>
      </c>
      <c r="D88" s="271">
        <v>99.8</v>
      </c>
      <c r="E88" s="266" t="s">
        <v>1479</v>
      </c>
    </row>
    <row r="89" spans="2:5" x14ac:dyDescent="0.3">
      <c r="B89" s="264">
        <v>46004</v>
      </c>
      <c r="C89" s="265" t="s">
        <v>1518</v>
      </c>
      <c r="D89" s="271">
        <v>3500</v>
      </c>
      <c r="E89" s="266" t="s">
        <v>503</v>
      </c>
    </row>
    <row r="90" spans="2:5" x14ac:dyDescent="0.3">
      <c r="B90" s="264">
        <v>46004</v>
      </c>
      <c r="C90" s="265" t="s">
        <v>1519</v>
      </c>
      <c r="D90" s="271">
        <v>169</v>
      </c>
      <c r="E90" s="266" t="s">
        <v>203</v>
      </c>
    </row>
    <row r="91" spans="2:5" x14ac:dyDescent="0.3">
      <c r="B91" s="264">
        <v>46004</v>
      </c>
      <c r="C91" s="265" t="s">
        <v>1520</v>
      </c>
      <c r="D91" s="271">
        <v>2729.11</v>
      </c>
      <c r="E91" s="266" t="s">
        <v>1480</v>
      </c>
    </row>
    <row r="92" spans="2:5" x14ac:dyDescent="0.3">
      <c r="B92" s="264">
        <v>46004</v>
      </c>
      <c r="C92" s="265" t="s">
        <v>1521</v>
      </c>
      <c r="D92" s="271">
        <v>1600</v>
      </c>
      <c r="E92" s="266" t="s">
        <v>203</v>
      </c>
    </row>
    <row r="93" spans="2:5" x14ac:dyDescent="0.3">
      <c r="B93" s="264">
        <v>46004</v>
      </c>
      <c r="C93" s="265" t="s">
        <v>677</v>
      </c>
      <c r="D93" s="271">
        <v>270.12</v>
      </c>
      <c r="E93" s="266" t="s">
        <v>203</v>
      </c>
    </row>
    <row r="94" spans="2:5" x14ac:dyDescent="0.3">
      <c r="B94" s="264">
        <v>46004</v>
      </c>
      <c r="C94" s="265" t="s">
        <v>1518</v>
      </c>
      <c r="D94" s="271">
        <v>5000</v>
      </c>
      <c r="E94" s="266" t="s">
        <v>503</v>
      </c>
    </row>
    <row r="95" spans="2:5" x14ac:dyDescent="0.3">
      <c r="B95" s="264">
        <v>46004</v>
      </c>
      <c r="C95" s="265" t="s">
        <v>883</v>
      </c>
      <c r="D95" s="271">
        <v>4000</v>
      </c>
      <c r="E95" s="266" t="s">
        <v>502</v>
      </c>
    </row>
    <row r="96" spans="2:5" x14ac:dyDescent="0.3">
      <c r="B96" s="264">
        <v>46004</v>
      </c>
      <c r="C96" s="265" t="s">
        <v>1518</v>
      </c>
      <c r="D96" s="271">
        <v>5000</v>
      </c>
      <c r="E96" s="266" t="s">
        <v>503</v>
      </c>
    </row>
    <row r="97" spans="2:5" x14ac:dyDescent="0.3">
      <c r="B97" s="264">
        <v>46004</v>
      </c>
      <c r="C97" s="265" t="s">
        <v>1522</v>
      </c>
      <c r="D97" s="271">
        <v>164.6</v>
      </c>
      <c r="E97" s="266" t="s">
        <v>1472</v>
      </c>
    </row>
    <row r="98" spans="2:5" x14ac:dyDescent="0.3">
      <c r="B98" s="264">
        <v>46004</v>
      </c>
      <c r="C98" s="265" t="s">
        <v>1523</v>
      </c>
      <c r="D98" s="271">
        <v>120</v>
      </c>
      <c r="E98" s="266" t="s">
        <v>1472</v>
      </c>
    </row>
    <row r="99" spans="2:5" x14ac:dyDescent="0.3">
      <c r="B99" s="264">
        <v>46004</v>
      </c>
      <c r="C99" s="265" t="s">
        <v>1524</v>
      </c>
      <c r="D99" s="271">
        <v>35.75</v>
      </c>
      <c r="E99" s="266" t="s">
        <v>1472</v>
      </c>
    </row>
    <row r="100" spans="2:5" x14ac:dyDescent="0.3">
      <c r="B100" s="264">
        <v>46004</v>
      </c>
      <c r="C100" s="265" t="s">
        <v>1525</v>
      </c>
      <c r="D100" s="271">
        <v>286.08999999999997</v>
      </c>
      <c r="E100" s="266" t="s">
        <v>1473</v>
      </c>
    </row>
    <row r="101" spans="2:5" x14ac:dyDescent="0.3">
      <c r="B101" s="264">
        <v>46004</v>
      </c>
      <c r="C101" s="265" t="s">
        <v>1526</v>
      </c>
      <c r="D101" s="271">
        <v>7.5</v>
      </c>
      <c r="E101" s="266" t="s">
        <v>1472</v>
      </c>
    </row>
    <row r="102" spans="2:5" x14ac:dyDescent="0.3">
      <c r="B102" s="264">
        <v>46004</v>
      </c>
      <c r="C102" s="265" t="s">
        <v>1527</v>
      </c>
      <c r="D102" s="271">
        <v>67.040000000000006</v>
      </c>
      <c r="E102" s="266" t="s">
        <v>1472</v>
      </c>
    </row>
    <row r="103" spans="2:5" x14ac:dyDescent="0.3">
      <c r="B103" s="264">
        <v>46004</v>
      </c>
      <c r="C103" s="265" t="s">
        <v>1528</v>
      </c>
      <c r="D103" s="271">
        <v>50</v>
      </c>
      <c r="E103" s="266" t="s">
        <v>206</v>
      </c>
    </row>
    <row r="104" spans="2:5" x14ac:dyDescent="0.3">
      <c r="B104" s="264">
        <v>46004</v>
      </c>
      <c r="C104" s="265" t="s">
        <v>1527</v>
      </c>
      <c r="D104" s="271">
        <v>28</v>
      </c>
      <c r="E104" s="266" t="s">
        <v>1472</v>
      </c>
    </row>
    <row r="105" spans="2:5" x14ac:dyDescent="0.3">
      <c r="B105" s="264">
        <v>46004</v>
      </c>
      <c r="C105" s="265" t="s">
        <v>1510</v>
      </c>
      <c r="D105" s="271">
        <v>66.930000000000007</v>
      </c>
      <c r="E105" s="266" t="s">
        <v>1479</v>
      </c>
    </row>
    <row r="106" spans="2:5" x14ac:dyDescent="0.3">
      <c r="B106" s="264">
        <v>46004</v>
      </c>
      <c r="C106" s="265" t="s">
        <v>1528</v>
      </c>
      <c r="D106" s="271">
        <v>50</v>
      </c>
      <c r="E106" s="266" t="s">
        <v>206</v>
      </c>
    </row>
    <row r="107" spans="2:5" x14ac:dyDescent="0.3">
      <c r="B107" s="264">
        <v>46004</v>
      </c>
      <c r="C107" s="265" t="s">
        <v>1529</v>
      </c>
      <c r="D107" s="271">
        <v>226.68</v>
      </c>
      <c r="E107" s="266" t="s">
        <v>205</v>
      </c>
    </row>
    <row r="108" spans="2:5" x14ac:dyDescent="0.3">
      <c r="B108" s="264">
        <v>46004</v>
      </c>
      <c r="C108" s="265" t="s">
        <v>1530</v>
      </c>
      <c r="D108" s="271">
        <v>229.14</v>
      </c>
      <c r="E108" s="266" t="s">
        <v>205</v>
      </c>
    </row>
    <row r="109" spans="2:5" x14ac:dyDescent="0.3">
      <c r="B109" s="264">
        <v>46004</v>
      </c>
      <c r="C109" s="265" t="s">
        <v>1516</v>
      </c>
      <c r="D109" s="271">
        <v>145.63999999999999</v>
      </c>
      <c r="E109" s="266" t="s">
        <v>475</v>
      </c>
    </row>
    <row r="110" spans="2:5" x14ac:dyDescent="0.3">
      <c r="B110" s="264">
        <v>46004</v>
      </c>
      <c r="C110" s="265" t="s">
        <v>1520</v>
      </c>
      <c r="D110" s="271">
        <v>1408.55</v>
      </c>
      <c r="E110" s="266" t="s">
        <v>1480</v>
      </c>
    </row>
    <row r="111" spans="2:5" x14ac:dyDescent="0.3">
      <c r="B111" s="264">
        <v>46004</v>
      </c>
      <c r="C111" s="265" t="s">
        <v>1518</v>
      </c>
      <c r="D111" s="271">
        <v>5500</v>
      </c>
      <c r="E111" s="266" t="s">
        <v>503</v>
      </c>
    </row>
    <row r="112" spans="2:5" x14ac:dyDescent="0.3">
      <c r="B112" s="264">
        <v>46004</v>
      </c>
      <c r="C112" s="265" t="s">
        <v>664</v>
      </c>
      <c r="D112" s="271">
        <v>1883.32</v>
      </c>
      <c r="E112" s="266" t="s">
        <v>1480</v>
      </c>
    </row>
    <row r="113" spans="2:5" x14ac:dyDescent="0.3">
      <c r="B113" s="264">
        <v>46004</v>
      </c>
      <c r="C113" s="265" t="s">
        <v>1531</v>
      </c>
      <c r="D113" s="271">
        <v>227.6</v>
      </c>
      <c r="E113" s="266" t="s">
        <v>1472</v>
      </c>
    </row>
    <row r="114" spans="2:5" x14ac:dyDescent="0.3">
      <c r="B114" s="264">
        <v>46004</v>
      </c>
      <c r="C114" s="265" t="s">
        <v>1532</v>
      </c>
      <c r="D114" s="271">
        <v>160</v>
      </c>
      <c r="E114" s="266" t="s">
        <v>205</v>
      </c>
    </row>
    <row r="115" spans="2:5" x14ac:dyDescent="0.3">
      <c r="B115" s="264">
        <v>46004</v>
      </c>
      <c r="C115" s="265" t="s">
        <v>1532</v>
      </c>
      <c r="D115" s="271">
        <v>26</v>
      </c>
      <c r="E115" s="266" t="s">
        <v>205</v>
      </c>
    </row>
    <row r="116" spans="2:5" x14ac:dyDescent="0.3">
      <c r="B116" s="264">
        <v>46004</v>
      </c>
      <c r="C116" s="265" t="s">
        <v>1533</v>
      </c>
      <c r="D116" s="271">
        <v>121.8</v>
      </c>
      <c r="E116" s="266" t="s">
        <v>205</v>
      </c>
    </row>
    <row r="117" spans="2:5" x14ac:dyDescent="0.3">
      <c r="B117" s="264">
        <v>46004</v>
      </c>
      <c r="C117" s="265" t="s">
        <v>1528</v>
      </c>
      <c r="D117" s="271">
        <v>80</v>
      </c>
      <c r="E117" s="266" t="s">
        <v>206</v>
      </c>
    </row>
    <row r="118" spans="2:5" x14ac:dyDescent="0.3">
      <c r="B118" s="264">
        <v>46004</v>
      </c>
      <c r="C118" s="265" t="s">
        <v>1534</v>
      </c>
      <c r="D118" s="271">
        <v>288.79000000000002</v>
      </c>
      <c r="E118" s="266" t="s">
        <v>1473</v>
      </c>
    </row>
    <row r="119" spans="2:5" x14ac:dyDescent="0.3">
      <c r="B119" s="264">
        <v>46004</v>
      </c>
      <c r="C119" s="265" t="s">
        <v>1535</v>
      </c>
      <c r="D119" s="271">
        <v>57.1</v>
      </c>
      <c r="E119" s="266" t="s">
        <v>205</v>
      </c>
    </row>
    <row r="120" spans="2:5" x14ac:dyDescent="0.3">
      <c r="B120" s="264">
        <v>46004</v>
      </c>
      <c r="C120" s="265" t="s">
        <v>1536</v>
      </c>
      <c r="D120" s="271">
        <v>81.55</v>
      </c>
      <c r="E120" s="266" t="s">
        <v>205</v>
      </c>
    </row>
    <row r="121" spans="2:5" x14ac:dyDescent="0.3">
      <c r="B121" s="264">
        <v>46004</v>
      </c>
      <c r="C121" s="265" t="s">
        <v>1537</v>
      </c>
      <c r="D121" s="271">
        <v>28.2</v>
      </c>
      <c r="E121" s="266" t="s">
        <v>205</v>
      </c>
    </row>
    <row r="122" spans="2:5" x14ac:dyDescent="0.3">
      <c r="B122" s="264">
        <v>46004</v>
      </c>
      <c r="C122" s="265" t="s">
        <v>902</v>
      </c>
      <c r="D122" s="271">
        <v>170</v>
      </c>
      <c r="E122" s="266" t="s">
        <v>203</v>
      </c>
    </row>
    <row r="123" spans="2:5" x14ac:dyDescent="0.3">
      <c r="B123" s="264">
        <v>46004</v>
      </c>
      <c r="C123" s="265" t="s">
        <v>1538</v>
      </c>
      <c r="D123" s="271">
        <v>253</v>
      </c>
      <c r="E123" s="266" t="s">
        <v>1480</v>
      </c>
    </row>
    <row r="124" spans="2:5" x14ac:dyDescent="0.3">
      <c r="B124" s="264">
        <v>46004</v>
      </c>
      <c r="C124" s="265" t="s">
        <v>1539</v>
      </c>
      <c r="D124" s="271">
        <v>159.80000000000001</v>
      </c>
      <c r="E124" s="266" t="s">
        <v>1479</v>
      </c>
    </row>
    <row r="125" spans="2:5" x14ac:dyDescent="0.3">
      <c r="B125" s="267">
        <v>46004</v>
      </c>
      <c r="C125" s="265" t="s">
        <v>1540</v>
      </c>
      <c r="D125" s="271">
        <v>200</v>
      </c>
      <c r="E125" s="273" t="s">
        <v>1479</v>
      </c>
    </row>
    <row r="126" spans="2:5" x14ac:dyDescent="0.3">
      <c r="B126" s="267">
        <v>46004</v>
      </c>
      <c r="C126" s="268" t="s">
        <v>900</v>
      </c>
      <c r="D126" s="272">
        <v>35</v>
      </c>
      <c r="E126" s="269" t="s">
        <v>18</v>
      </c>
    </row>
    <row r="127" spans="2:5" x14ac:dyDescent="0.3">
      <c r="B127" s="267">
        <v>46004</v>
      </c>
      <c r="C127" s="268" t="s">
        <v>902</v>
      </c>
      <c r="D127" s="272">
        <v>269.99</v>
      </c>
      <c r="E127" s="269" t="s">
        <v>203</v>
      </c>
    </row>
    <row r="128" spans="2:5" x14ac:dyDescent="0.3">
      <c r="B128" s="264">
        <v>45974</v>
      </c>
      <c r="C128" s="265" t="s">
        <v>1541</v>
      </c>
      <c r="D128" s="271">
        <v>10</v>
      </c>
      <c r="E128" s="266" t="s">
        <v>205</v>
      </c>
    </row>
    <row r="129" spans="2:5" x14ac:dyDescent="0.3">
      <c r="B129" s="264">
        <v>45974</v>
      </c>
      <c r="C129" s="265" t="s">
        <v>1542</v>
      </c>
      <c r="D129" s="271">
        <v>59.8</v>
      </c>
      <c r="E129" s="266" t="s">
        <v>205</v>
      </c>
    </row>
    <row r="130" spans="2:5" x14ac:dyDescent="0.3">
      <c r="B130" s="264">
        <v>45974</v>
      </c>
      <c r="C130" s="265" t="s">
        <v>1543</v>
      </c>
      <c r="D130" s="271">
        <v>230.45</v>
      </c>
      <c r="E130" s="266" t="s">
        <v>205</v>
      </c>
    </row>
    <row r="131" spans="2:5" x14ac:dyDescent="0.3">
      <c r="B131" s="264">
        <v>45974</v>
      </c>
      <c r="C131" s="265" t="s">
        <v>1529</v>
      </c>
      <c r="D131" s="271">
        <v>193.32</v>
      </c>
      <c r="E131" s="266" t="s">
        <v>205</v>
      </c>
    </row>
    <row r="132" spans="2:5" x14ac:dyDescent="0.3">
      <c r="B132" s="264">
        <v>45974</v>
      </c>
      <c r="C132" s="265" t="s">
        <v>1544</v>
      </c>
      <c r="D132" s="271">
        <v>55.5</v>
      </c>
      <c r="E132" s="266" t="s">
        <v>205</v>
      </c>
    </row>
    <row r="133" spans="2:5" x14ac:dyDescent="0.3">
      <c r="B133" s="264">
        <v>45974</v>
      </c>
      <c r="C133" s="265" t="s">
        <v>1545</v>
      </c>
      <c r="D133" s="271">
        <v>170.72</v>
      </c>
      <c r="E133" s="266" t="s">
        <v>205</v>
      </c>
    </row>
    <row r="134" spans="2:5" x14ac:dyDescent="0.3">
      <c r="B134" s="264">
        <v>45974</v>
      </c>
      <c r="C134" s="265" t="s">
        <v>1546</v>
      </c>
      <c r="D134" s="271">
        <v>39.9</v>
      </c>
      <c r="E134" s="266" t="s">
        <v>205</v>
      </c>
    </row>
    <row r="135" spans="2:5" x14ac:dyDescent="0.3">
      <c r="B135" s="264">
        <v>45974</v>
      </c>
      <c r="C135" s="265" t="s">
        <v>1547</v>
      </c>
      <c r="D135" s="271">
        <v>21.14</v>
      </c>
      <c r="E135" s="266" t="s">
        <v>205</v>
      </c>
    </row>
    <row r="136" spans="2:5" x14ac:dyDescent="0.3">
      <c r="B136" s="264">
        <v>45974</v>
      </c>
      <c r="C136" s="265" t="s">
        <v>1546</v>
      </c>
      <c r="D136" s="271">
        <v>39.9</v>
      </c>
      <c r="E136" s="266" t="s">
        <v>205</v>
      </c>
    </row>
    <row r="137" spans="2:5" x14ac:dyDescent="0.3">
      <c r="B137" s="264">
        <v>45974</v>
      </c>
      <c r="C137" s="265" t="s">
        <v>1529</v>
      </c>
      <c r="D137" s="271">
        <v>193.32</v>
      </c>
      <c r="E137" s="266" t="s">
        <v>205</v>
      </c>
    </row>
    <row r="138" spans="2:5" x14ac:dyDescent="0.3">
      <c r="B138" s="264">
        <v>45974</v>
      </c>
      <c r="C138" s="265" t="s">
        <v>1541</v>
      </c>
      <c r="D138" s="271">
        <v>240.68</v>
      </c>
      <c r="E138" s="266" t="s">
        <v>205</v>
      </c>
    </row>
    <row r="139" spans="2:5" x14ac:dyDescent="0.3">
      <c r="B139" s="264">
        <v>45974</v>
      </c>
      <c r="C139" s="265" t="s">
        <v>1548</v>
      </c>
      <c r="D139" s="271">
        <v>166.19</v>
      </c>
      <c r="E139" s="266" t="s">
        <v>205</v>
      </c>
    </row>
    <row r="140" spans="2:5" x14ac:dyDescent="0.3">
      <c r="B140" s="264">
        <v>45974</v>
      </c>
      <c r="C140" s="265" t="s">
        <v>1549</v>
      </c>
      <c r="D140" s="271">
        <v>261.02</v>
      </c>
      <c r="E140" s="266" t="s">
        <v>1473</v>
      </c>
    </row>
    <row r="141" spans="2:5" x14ac:dyDescent="0.3">
      <c r="B141" s="264">
        <v>45974</v>
      </c>
      <c r="C141" s="265" t="s">
        <v>1550</v>
      </c>
      <c r="D141" s="271">
        <v>37</v>
      </c>
      <c r="E141" s="266" t="s">
        <v>205</v>
      </c>
    </row>
    <row r="142" spans="2:5" x14ac:dyDescent="0.3">
      <c r="B142" s="264">
        <v>45974</v>
      </c>
      <c r="C142" s="265" t="s">
        <v>1551</v>
      </c>
      <c r="D142" s="271">
        <v>827.27</v>
      </c>
      <c r="E142" s="266" t="s">
        <v>205</v>
      </c>
    </row>
    <row r="143" spans="2:5" x14ac:dyDescent="0.3">
      <c r="B143" s="264">
        <v>45974</v>
      </c>
      <c r="C143" s="265" t="s">
        <v>1515</v>
      </c>
      <c r="D143" s="271">
        <v>153.75</v>
      </c>
      <c r="E143" s="266" t="s">
        <v>1472</v>
      </c>
    </row>
    <row r="144" spans="2:5" x14ac:dyDescent="0.3">
      <c r="B144" s="264">
        <v>45974</v>
      </c>
      <c r="C144" s="265" t="s">
        <v>1520</v>
      </c>
      <c r="D144" s="271">
        <v>2254.66</v>
      </c>
      <c r="E144" s="266" t="s">
        <v>1480</v>
      </c>
    </row>
    <row r="145" spans="2:5" x14ac:dyDescent="0.3">
      <c r="B145" s="264">
        <v>45974</v>
      </c>
      <c r="C145" s="265" t="s">
        <v>1520</v>
      </c>
      <c r="D145" s="271">
        <v>187.33</v>
      </c>
      <c r="E145" s="266" t="s">
        <v>1480</v>
      </c>
    </row>
    <row r="146" spans="2:5" x14ac:dyDescent="0.3">
      <c r="B146" s="264">
        <v>45974</v>
      </c>
      <c r="C146" s="265" t="s">
        <v>1519</v>
      </c>
      <c r="D146" s="271">
        <v>169</v>
      </c>
      <c r="E146" s="266" t="s">
        <v>203</v>
      </c>
    </row>
    <row r="147" spans="2:5" x14ac:dyDescent="0.3">
      <c r="B147" s="264">
        <v>45974</v>
      </c>
      <c r="C147" s="265" t="s">
        <v>1552</v>
      </c>
      <c r="D147" s="271">
        <v>17.190000000000001</v>
      </c>
      <c r="E147" s="266" t="s">
        <v>205</v>
      </c>
    </row>
    <row r="148" spans="2:5" x14ac:dyDescent="0.3">
      <c r="B148" s="264">
        <v>45974</v>
      </c>
      <c r="C148" s="265" t="s">
        <v>1513</v>
      </c>
      <c r="D148" s="271">
        <v>573.11</v>
      </c>
      <c r="E148" s="266" t="s">
        <v>18</v>
      </c>
    </row>
    <row r="149" spans="2:5" x14ac:dyDescent="0.3">
      <c r="B149" s="264">
        <v>45974</v>
      </c>
      <c r="C149" s="265" t="s">
        <v>1513</v>
      </c>
      <c r="D149" s="271">
        <v>10</v>
      </c>
      <c r="E149" s="266" t="s">
        <v>18</v>
      </c>
    </row>
    <row r="150" spans="2:5" x14ac:dyDescent="0.3">
      <c r="B150" s="264">
        <v>45974</v>
      </c>
      <c r="C150" s="265" t="s">
        <v>1513</v>
      </c>
      <c r="D150" s="271">
        <v>20</v>
      </c>
      <c r="E150" s="266" t="s">
        <v>18</v>
      </c>
    </row>
    <row r="151" spans="2:5" x14ac:dyDescent="0.3">
      <c r="B151" s="264">
        <v>45974</v>
      </c>
      <c r="C151" s="265" t="s">
        <v>1553</v>
      </c>
      <c r="D151" s="271">
        <v>1600</v>
      </c>
      <c r="E151" s="266" t="s">
        <v>203</v>
      </c>
    </row>
    <row r="152" spans="2:5" x14ac:dyDescent="0.3">
      <c r="B152" s="264">
        <v>45974</v>
      </c>
      <c r="C152" s="265" t="s">
        <v>1554</v>
      </c>
      <c r="D152" s="271">
        <v>335.1</v>
      </c>
      <c r="E152" s="266" t="s">
        <v>1472</v>
      </c>
    </row>
    <row r="153" spans="2:5" x14ac:dyDescent="0.3">
      <c r="B153" s="264">
        <v>45974</v>
      </c>
      <c r="C153" s="265" t="s">
        <v>1555</v>
      </c>
      <c r="D153" s="271">
        <v>118.88</v>
      </c>
      <c r="E153" s="266" t="s">
        <v>1479</v>
      </c>
    </row>
    <row r="154" spans="2:5" x14ac:dyDescent="0.3">
      <c r="B154" s="264">
        <v>45974</v>
      </c>
      <c r="C154" s="265" t="s">
        <v>1556</v>
      </c>
      <c r="D154" s="271">
        <v>70.86</v>
      </c>
      <c r="E154" s="266" t="s">
        <v>1479</v>
      </c>
    </row>
    <row r="155" spans="2:5" x14ac:dyDescent="0.3">
      <c r="B155" s="264">
        <v>45974</v>
      </c>
      <c r="C155" s="265" t="s">
        <v>677</v>
      </c>
      <c r="D155" s="271">
        <v>657.39</v>
      </c>
      <c r="E155" s="266" t="s">
        <v>203</v>
      </c>
    </row>
    <row r="156" spans="2:5" x14ac:dyDescent="0.3">
      <c r="B156" s="264">
        <v>45974</v>
      </c>
      <c r="C156" s="265" t="s">
        <v>900</v>
      </c>
      <c r="D156" s="271">
        <v>35</v>
      </c>
      <c r="E156" s="266" t="s">
        <v>18</v>
      </c>
    </row>
    <row r="157" spans="2:5" x14ac:dyDescent="0.3">
      <c r="B157" s="264">
        <v>45974</v>
      </c>
      <c r="C157" s="265" t="s">
        <v>1520</v>
      </c>
      <c r="D157" s="271">
        <v>746.63</v>
      </c>
      <c r="E157" s="266" t="s">
        <v>1480</v>
      </c>
    </row>
    <row r="158" spans="2:5" x14ac:dyDescent="0.3">
      <c r="B158" s="264">
        <v>45974</v>
      </c>
      <c r="C158" s="265" t="s">
        <v>1557</v>
      </c>
      <c r="D158" s="271">
        <v>305</v>
      </c>
      <c r="E158" s="266" t="s">
        <v>1480</v>
      </c>
    </row>
    <row r="159" spans="2:5" x14ac:dyDescent="0.3">
      <c r="B159" s="264">
        <v>45974</v>
      </c>
      <c r="C159" s="265" t="s">
        <v>664</v>
      </c>
      <c r="D159" s="271">
        <v>399</v>
      </c>
      <c r="E159" s="266" t="s">
        <v>1480</v>
      </c>
    </row>
    <row r="160" spans="2:5" x14ac:dyDescent="0.3">
      <c r="B160" s="264">
        <v>45974</v>
      </c>
      <c r="C160" s="265" t="s">
        <v>1520</v>
      </c>
      <c r="D160" s="271">
        <v>3831.32</v>
      </c>
      <c r="E160" s="266" t="s">
        <v>1480</v>
      </c>
    </row>
    <row r="161" spans="2:5" x14ac:dyDescent="0.3">
      <c r="B161" s="264">
        <v>45974</v>
      </c>
      <c r="C161" s="265" t="s">
        <v>664</v>
      </c>
      <c r="D161" s="271">
        <v>1022.43</v>
      </c>
      <c r="E161" s="266" t="s">
        <v>1480</v>
      </c>
    </row>
    <row r="162" spans="2:5" x14ac:dyDescent="0.3">
      <c r="B162" s="264">
        <v>45974</v>
      </c>
      <c r="C162" s="265" t="s">
        <v>1551</v>
      </c>
      <c r="D162" s="271">
        <v>145.63999999999999</v>
      </c>
      <c r="E162" s="266" t="s">
        <v>205</v>
      </c>
    </row>
    <row r="163" spans="2:5" x14ac:dyDescent="0.3">
      <c r="B163" s="275">
        <v>45974</v>
      </c>
      <c r="C163" s="276" t="s">
        <v>1558</v>
      </c>
      <c r="D163" s="277">
        <v>4100</v>
      </c>
      <c r="E163" s="278" t="s">
        <v>1479</v>
      </c>
    </row>
    <row r="164" spans="2:5" x14ac:dyDescent="0.3">
      <c r="B164" s="264">
        <v>45974</v>
      </c>
      <c r="C164" s="265" t="s">
        <v>676</v>
      </c>
      <c r="D164" s="271">
        <v>1114.0999999999999</v>
      </c>
      <c r="E164" s="266" t="s">
        <v>1472</v>
      </c>
    </row>
    <row r="165" spans="2:5" x14ac:dyDescent="0.3">
      <c r="B165" s="264">
        <v>45974</v>
      </c>
      <c r="C165" s="265" t="s">
        <v>677</v>
      </c>
      <c r="D165" s="271">
        <v>923.39</v>
      </c>
      <c r="E165" s="266" t="s">
        <v>203</v>
      </c>
    </row>
    <row r="166" spans="2:5" x14ac:dyDescent="0.3">
      <c r="B166" s="264">
        <v>45974</v>
      </c>
      <c r="C166" s="265" t="s">
        <v>1513</v>
      </c>
      <c r="D166" s="271">
        <v>10</v>
      </c>
      <c r="E166" s="266" t="s">
        <v>18</v>
      </c>
    </row>
    <row r="167" spans="2:5" x14ac:dyDescent="0.3">
      <c r="B167" s="275">
        <v>45974</v>
      </c>
      <c r="C167" s="276" t="s">
        <v>1559</v>
      </c>
      <c r="D167" s="277">
        <v>41</v>
      </c>
      <c r="E167" s="278" t="s">
        <v>1479</v>
      </c>
    </row>
    <row r="168" spans="2:5" x14ac:dyDescent="0.3">
      <c r="B168" s="264">
        <v>45974</v>
      </c>
      <c r="C168" s="265" t="s">
        <v>1520</v>
      </c>
      <c r="D168" s="271">
        <v>3185.49</v>
      </c>
      <c r="E168" s="266" t="s">
        <v>1480</v>
      </c>
    </row>
    <row r="169" spans="2:5" x14ac:dyDescent="0.3">
      <c r="B169" s="264">
        <v>45974</v>
      </c>
      <c r="C169" s="265" t="s">
        <v>1520</v>
      </c>
      <c r="D169" s="271">
        <v>1783.18</v>
      </c>
      <c r="E169" s="266" t="s">
        <v>1480</v>
      </c>
    </row>
    <row r="170" spans="2:5" x14ac:dyDescent="0.3">
      <c r="B170" s="264">
        <v>45974</v>
      </c>
      <c r="C170" s="265" t="s">
        <v>902</v>
      </c>
      <c r="D170" s="271">
        <v>270.04000000000002</v>
      </c>
      <c r="E170" s="266" t="s">
        <v>203</v>
      </c>
    </row>
    <row r="171" spans="2:5" x14ac:dyDescent="0.3">
      <c r="B171" s="264">
        <v>45974</v>
      </c>
      <c r="C171" s="265" t="s">
        <v>1560</v>
      </c>
      <c r="D171" s="271">
        <v>865.24</v>
      </c>
      <c r="E171" s="266" t="s">
        <v>205</v>
      </c>
    </row>
    <row r="172" spans="2:5" x14ac:dyDescent="0.3">
      <c r="B172" s="264">
        <v>45974</v>
      </c>
      <c r="C172" s="265" t="s">
        <v>1561</v>
      </c>
      <c r="D172" s="271">
        <v>239.58</v>
      </c>
      <c r="E172" s="266" t="s">
        <v>205</v>
      </c>
    </row>
    <row r="173" spans="2:5" x14ac:dyDescent="0.3">
      <c r="B173" s="264">
        <v>45974</v>
      </c>
      <c r="C173" s="265" t="s">
        <v>1562</v>
      </c>
      <c r="D173" s="271">
        <v>35</v>
      </c>
      <c r="E173" s="266" t="s">
        <v>206</v>
      </c>
    </row>
    <row r="174" spans="2:5" x14ac:dyDescent="0.3">
      <c r="B174" s="264">
        <v>45974</v>
      </c>
      <c r="C174" s="265" t="s">
        <v>1528</v>
      </c>
      <c r="D174" s="271">
        <v>72</v>
      </c>
      <c r="E174" s="266" t="s">
        <v>206</v>
      </c>
    </row>
    <row r="175" spans="2:5" x14ac:dyDescent="0.3">
      <c r="B175" s="264">
        <v>45974</v>
      </c>
      <c r="C175" s="265" t="s">
        <v>1563</v>
      </c>
      <c r="D175" s="271">
        <v>264</v>
      </c>
      <c r="E175" s="266" t="s">
        <v>205</v>
      </c>
    </row>
    <row r="176" spans="2:5" x14ac:dyDescent="0.3">
      <c r="B176" s="264">
        <v>45974</v>
      </c>
      <c r="C176" s="265" t="s">
        <v>1564</v>
      </c>
      <c r="D176" s="271">
        <v>332.06</v>
      </c>
      <c r="E176" s="266" t="s">
        <v>205</v>
      </c>
    </row>
    <row r="177" spans="2:5" x14ac:dyDescent="0.3">
      <c r="B177" s="264">
        <v>45974</v>
      </c>
      <c r="C177" s="265" t="s">
        <v>902</v>
      </c>
      <c r="D177" s="271">
        <v>170</v>
      </c>
      <c r="E177" s="266" t="s">
        <v>203</v>
      </c>
    </row>
    <row r="178" spans="2:5" x14ac:dyDescent="0.3">
      <c r="B178" s="264">
        <v>45974</v>
      </c>
      <c r="C178" s="265" t="s">
        <v>1538</v>
      </c>
      <c r="D178" s="271">
        <v>253</v>
      </c>
      <c r="E178" s="266" t="s">
        <v>1480</v>
      </c>
    </row>
    <row r="179" spans="2:5" x14ac:dyDescent="0.3">
      <c r="B179" s="264">
        <v>45974</v>
      </c>
      <c r="C179" s="265" t="s">
        <v>1539</v>
      </c>
      <c r="D179" s="271">
        <v>159.80000000000001</v>
      </c>
      <c r="E179" s="266" t="s">
        <v>1479</v>
      </c>
    </row>
    <row r="180" spans="2:5" x14ac:dyDescent="0.3">
      <c r="B180" s="264">
        <v>45974</v>
      </c>
      <c r="C180" s="265" t="s">
        <v>1540</v>
      </c>
      <c r="D180" s="271">
        <v>200</v>
      </c>
      <c r="E180" s="273" t="s">
        <v>1479</v>
      </c>
    </row>
    <row r="181" spans="2:5" x14ac:dyDescent="0.3">
      <c r="B181" s="267">
        <v>45974</v>
      </c>
      <c r="C181" s="268" t="s">
        <v>1565</v>
      </c>
      <c r="D181" s="272">
        <v>528.33000000000004</v>
      </c>
      <c r="E181" s="273" t="s">
        <v>1479</v>
      </c>
    </row>
    <row r="182" spans="2:5" x14ac:dyDescent="0.3">
      <c r="B182" s="264">
        <v>45943</v>
      </c>
      <c r="C182" s="265" t="s">
        <v>1566</v>
      </c>
      <c r="D182" s="271">
        <v>28.33</v>
      </c>
      <c r="E182" s="266" t="s">
        <v>1482</v>
      </c>
    </row>
    <row r="183" spans="2:5" x14ac:dyDescent="0.3">
      <c r="B183" s="264">
        <v>45943</v>
      </c>
      <c r="C183" s="265" t="s">
        <v>1567</v>
      </c>
      <c r="D183" s="271">
        <v>92</v>
      </c>
      <c r="E183" s="266" t="s">
        <v>205</v>
      </c>
    </row>
    <row r="184" spans="2:5" x14ac:dyDescent="0.3">
      <c r="B184" s="264">
        <v>45943</v>
      </c>
      <c r="C184" s="265" t="s">
        <v>1551</v>
      </c>
      <c r="D184" s="271">
        <v>827.27</v>
      </c>
      <c r="E184" s="266" t="s">
        <v>205</v>
      </c>
    </row>
    <row r="185" spans="2:5" x14ac:dyDescent="0.3">
      <c r="B185" s="264">
        <v>45943</v>
      </c>
      <c r="C185" s="265" t="s">
        <v>664</v>
      </c>
      <c r="D185" s="271">
        <v>4718.8100000000004</v>
      </c>
      <c r="E185" s="266" t="s">
        <v>1480</v>
      </c>
    </row>
    <row r="186" spans="2:5" x14ac:dyDescent="0.3">
      <c r="B186" s="264">
        <v>45943</v>
      </c>
      <c r="C186" s="265" t="s">
        <v>1524</v>
      </c>
      <c r="D186" s="271">
        <v>372.63</v>
      </c>
      <c r="E186" s="266" t="s">
        <v>205</v>
      </c>
    </row>
    <row r="187" spans="2:5" x14ac:dyDescent="0.3">
      <c r="B187" s="264">
        <v>45943</v>
      </c>
      <c r="C187" s="265" t="s">
        <v>1568</v>
      </c>
      <c r="D187" s="271">
        <v>211</v>
      </c>
      <c r="E187" s="266" t="s">
        <v>205</v>
      </c>
    </row>
    <row r="188" spans="2:5" x14ac:dyDescent="0.3">
      <c r="B188" s="264">
        <v>45943</v>
      </c>
      <c r="C188" s="265" t="s">
        <v>1569</v>
      </c>
      <c r="D188" s="271">
        <v>70</v>
      </c>
      <c r="E188" s="266" t="s">
        <v>205</v>
      </c>
    </row>
    <row r="189" spans="2:5" x14ac:dyDescent="0.3">
      <c r="B189" s="264">
        <v>45943</v>
      </c>
      <c r="C189" s="265" t="s">
        <v>1528</v>
      </c>
      <c r="D189" s="271">
        <v>50</v>
      </c>
      <c r="E189" s="266" t="s">
        <v>206</v>
      </c>
    </row>
    <row r="190" spans="2:5" x14ac:dyDescent="0.3">
      <c r="B190" s="264">
        <v>45943</v>
      </c>
      <c r="C190" s="265" t="s">
        <v>1570</v>
      </c>
      <c r="D190" s="271">
        <v>92</v>
      </c>
      <c r="E190" s="266" t="s">
        <v>205</v>
      </c>
    </row>
    <row r="191" spans="2:5" x14ac:dyDescent="0.3">
      <c r="B191" s="264">
        <v>45943</v>
      </c>
      <c r="C191" s="265" t="s">
        <v>1571</v>
      </c>
      <c r="D191" s="271">
        <v>40</v>
      </c>
      <c r="E191" s="266" t="s">
        <v>205</v>
      </c>
    </row>
    <row r="192" spans="2:5" x14ac:dyDescent="0.3">
      <c r="B192" s="264">
        <v>45943</v>
      </c>
      <c r="C192" s="265" t="s">
        <v>1571</v>
      </c>
      <c r="D192" s="271">
        <v>50</v>
      </c>
      <c r="E192" s="266" t="s">
        <v>205</v>
      </c>
    </row>
    <row r="193" spans="2:5" x14ac:dyDescent="0.3">
      <c r="B193" s="264">
        <v>45943</v>
      </c>
      <c r="C193" s="265" t="s">
        <v>1572</v>
      </c>
      <c r="D193" s="271">
        <v>29.92</v>
      </c>
      <c r="E193" s="266" t="s">
        <v>205</v>
      </c>
    </row>
    <row r="194" spans="2:5" x14ac:dyDescent="0.3">
      <c r="B194" s="264">
        <v>45943</v>
      </c>
      <c r="C194" s="265" t="s">
        <v>1524</v>
      </c>
      <c r="D194" s="271">
        <v>111.6</v>
      </c>
      <c r="E194" s="266" t="s">
        <v>205</v>
      </c>
    </row>
    <row r="195" spans="2:5" x14ac:dyDescent="0.3">
      <c r="B195" s="264">
        <v>45943</v>
      </c>
      <c r="C195" s="265" t="s">
        <v>664</v>
      </c>
      <c r="D195" s="271">
        <v>3673.77</v>
      </c>
      <c r="E195" s="266" t="s">
        <v>1480</v>
      </c>
    </row>
    <row r="196" spans="2:5" x14ac:dyDescent="0.3">
      <c r="B196" s="264">
        <v>45943</v>
      </c>
      <c r="C196" s="265" t="s">
        <v>664</v>
      </c>
      <c r="D196" s="271">
        <v>1299.71</v>
      </c>
      <c r="E196" s="266" t="s">
        <v>1480</v>
      </c>
    </row>
    <row r="197" spans="2:5" x14ac:dyDescent="0.3">
      <c r="B197" s="264">
        <v>45943</v>
      </c>
      <c r="C197" s="265" t="s">
        <v>1570</v>
      </c>
      <c r="D197" s="271">
        <v>92</v>
      </c>
      <c r="E197" s="266" t="s">
        <v>205</v>
      </c>
    </row>
    <row r="198" spans="2:5" x14ac:dyDescent="0.3">
      <c r="B198" s="264">
        <v>45943</v>
      </c>
      <c r="C198" s="265" t="s">
        <v>1570</v>
      </c>
      <c r="D198" s="271">
        <v>92</v>
      </c>
      <c r="E198" s="266" t="s">
        <v>205</v>
      </c>
    </row>
    <row r="199" spans="2:5" x14ac:dyDescent="0.3">
      <c r="B199" s="264">
        <v>45943</v>
      </c>
      <c r="C199" s="265" t="s">
        <v>1528</v>
      </c>
      <c r="D199" s="271">
        <v>80</v>
      </c>
      <c r="E199" s="266" t="s">
        <v>206</v>
      </c>
    </row>
    <row r="200" spans="2:5" x14ac:dyDescent="0.3">
      <c r="B200" s="264">
        <v>45943</v>
      </c>
      <c r="C200" s="265" t="s">
        <v>1528</v>
      </c>
      <c r="D200" s="271">
        <v>80</v>
      </c>
      <c r="E200" s="266" t="s">
        <v>206</v>
      </c>
    </row>
    <row r="201" spans="2:5" x14ac:dyDescent="0.3">
      <c r="B201" s="264">
        <v>45943</v>
      </c>
      <c r="C201" s="265" t="s">
        <v>1573</v>
      </c>
      <c r="D201" s="271">
        <v>525.28</v>
      </c>
      <c r="E201" s="266" t="s">
        <v>205</v>
      </c>
    </row>
    <row r="202" spans="2:5" x14ac:dyDescent="0.3">
      <c r="B202" s="264">
        <v>45943</v>
      </c>
      <c r="C202" s="265" t="s">
        <v>1561</v>
      </c>
      <c r="D202" s="271">
        <v>147.1</v>
      </c>
      <c r="E202" s="266" t="s">
        <v>205</v>
      </c>
    </row>
    <row r="203" spans="2:5" x14ac:dyDescent="0.3">
      <c r="B203" s="264">
        <v>45943</v>
      </c>
      <c r="C203" s="265" t="s">
        <v>1574</v>
      </c>
      <c r="D203" s="271">
        <v>19.399999999999999</v>
      </c>
      <c r="E203" s="266" t="s">
        <v>205</v>
      </c>
    </row>
    <row r="204" spans="2:5" x14ac:dyDescent="0.3">
      <c r="B204" s="264">
        <v>45943</v>
      </c>
      <c r="C204" s="265" t="s">
        <v>1575</v>
      </c>
      <c r="D204" s="271">
        <v>6.45</v>
      </c>
      <c r="E204" s="266" t="s">
        <v>205</v>
      </c>
    </row>
    <row r="205" spans="2:5" x14ac:dyDescent="0.3">
      <c r="B205" s="264">
        <v>45943</v>
      </c>
      <c r="C205" s="265" t="s">
        <v>1572</v>
      </c>
      <c r="D205" s="271">
        <v>33.31</v>
      </c>
      <c r="E205" s="266" t="s">
        <v>205</v>
      </c>
    </row>
    <row r="206" spans="2:5" x14ac:dyDescent="0.3">
      <c r="B206" s="264">
        <v>45943</v>
      </c>
      <c r="C206" s="265" t="s">
        <v>1576</v>
      </c>
      <c r="D206" s="271">
        <v>99.8</v>
      </c>
      <c r="E206" s="266" t="s">
        <v>205</v>
      </c>
    </row>
    <row r="207" spans="2:5" x14ac:dyDescent="0.3">
      <c r="B207" s="264">
        <v>45943</v>
      </c>
      <c r="C207" s="265" t="s">
        <v>1577</v>
      </c>
      <c r="D207" s="271">
        <v>19</v>
      </c>
      <c r="E207" s="266" t="s">
        <v>205</v>
      </c>
    </row>
    <row r="208" spans="2:5" x14ac:dyDescent="0.3">
      <c r="B208" s="264">
        <v>45943</v>
      </c>
      <c r="C208" s="265" t="s">
        <v>1577</v>
      </c>
      <c r="D208" s="271">
        <v>245.07</v>
      </c>
      <c r="E208" s="266" t="s">
        <v>1473</v>
      </c>
    </row>
    <row r="209" spans="2:5" x14ac:dyDescent="0.3">
      <c r="B209" s="264">
        <v>45943</v>
      </c>
      <c r="C209" s="265" t="s">
        <v>1547</v>
      </c>
      <c r="D209" s="271">
        <v>34.1</v>
      </c>
      <c r="E209" s="266" t="s">
        <v>205</v>
      </c>
    </row>
    <row r="210" spans="2:5" x14ac:dyDescent="0.3">
      <c r="B210" s="264">
        <v>45943</v>
      </c>
      <c r="C210" s="265" t="s">
        <v>1578</v>
      </c>
      <c r="D210" s="271">
        <v>137.16999999999999</v>
      </c>
      <c r="E210" s="266" t="s">
        <v>205</v>
      </c>
    </row>
    <row r="211" spans="2:5" x14ac:dyDescent="0.3">
      <c r="B211" s="264">
        <v>45943</v>
      </c>
      <c r="C211" s="265" t="s">
        <v>1579</v>
      </c>
      <c r="D211" s="271">
        <v>275.19</v>
      </c>
      <c r="E211" s="266" t="s">
        <v>205</v>
      </c>
    </row>
    <row r="212" spans="2:5" x14ac:dyDescent="0.3">
      <c r="B212" s="264">
        <v>45943</v>
      </c>
      <c r="C212" s="265" t="s">
        <v>1580</v>
      </c>
      <c r="D212" s="271">
        <v>20</v>
      </c>
      <c r="E212" s="266" t="s">
        <v>205</v>
      </c>
    </row>
    <row r="213" spans="2:5" x14ac:dyDescent="0.3">
      <c r="B213" s="264">
        <v>45943</v>
      </c>
      <c r="C213" s="265" t="s">
        <v>1581</v>
      </c>
      <c r="D213" s="271">
        <v>176.6</v>
      </c>
      <c r="E213" s="266" t="s">
        <v>205</v>
      </c>
    </row>
    <row r="214" spans="2:5" x14ac:dyDescent="0.3">
      <c r="B214" s="264">
        <v>45943</v>
      </c>
      <c r="C214" s="265" t="s">
        <v>1582</v>
      </c>
      <c r="D214" s="271">
        <v>121.6</v>
      </c>
      <c r="E214" s="266" t="s">
        <v>205</v>
      </c>
    </row>
    <row r="215" spans="2:5" x14ac:dyDescent="0.3">
      <c r="B215" s="264">
        <v>45943</v>
      </c>
      <c r="C215" s="265" t="s">
        <v>1583</v>
      </c>
      <c r="D215" s="271">
        <v>273.93</v>
      </c>
      <c r="E215" s="266" t="s">
        <v>205</v>
      </c>
    </row>
    <row r="216" spans="2:5" x14ac:dyDescent="0.3">
      <c r="B216" s="264">
        <v>45943</v>
      </c>
      <c r="C216" s="265" t="s">
        <v>1584</v>
      </c>
      <c r="D216" s="271">
        <v>541.24</v>
      </c>
      <c r="E216" s="266" t="s">
        <v>205</v>
      </c>
    </row>
    <row r="217" spans="2:5" x14ac:dyDescent="0.3">
      <c r="B217" s="264">
        <v>45943</v>
      </c>
      <c r="C217" s="265" t="s">
        <v>1513</v>
      </c>
      <c r="D217" s="271">
        <v>2842.31</v>
      </c>
      <c r="E217" s="266" t="s">
        <v>18</v>
      </c>
    </row>
    <row r="218" spans="2:5" x14ac:dyDescent="0.3">
      <c r="B218" s="264">
        <v>45943</v>
      </c>
      <c r="C218" s="265" t="s">
        <v>1524</v>
      </c>
      <c r="D218" s="271">
        <v>96.04</v>
      </c>
      <c r="E218" s="266" t="s">
        <v>205</v>
      </c>
    </row>
    <row r="219" spans="2:5" x14ac:dyDescent="0.3">
      <c r="B219" s="264">
        <v>45943</v>
      </c>
      <c r="C219" s="265" t="s">
        <v>1528</v>
      </c>
      <c r="D219" s="271">
        <v>80</v>
      </c>
      <c r="E219" s="266" t="s">
        <v>206</v>
      </c>
    </row>
    <row r="220" spans="2:5" x14ac:dyDescent="0.3">
      <c r="B220" s="264">
        <v>45943</v>
      </c>
      <c r="C220" s="265" t="s">
        <v>1585</v>
      </c>
      <c r="D220" s="271">
        <v>281.79000000000002</v>
      </c>
      <c r="E220" s="266" t="s">
        <v>1473</v>
      </c>
    </row>
    <row r="221" spans="2:5" x14ac:dyDescent="0.3">
      <c r="B221" s="264">
        <v>45943</v>
      </c>
      <c r="C221" s="265" t="s">
        <v>1586</v>
      </c>
      <c r="D221" s="271">
        <v>379.03</v>
      </c>
      <c r="E221" s="266" t="s">
        <v>205</v>
      </c>
    </row>
    <row r="222" spans="2:5" x14ac:dyDescent="0.3">
      <c r="B222" s="264">
        <v>45943</v>
      </c>
      <c r="C222" s="265" t="s">
        <v>900</v>
      </c>
      <c r="D222" s="271">
        <v>35</v>
      </c>
      <c r="E222" s="266" t="s">
        <v>18</v>
      </c>
    </row>
    <row r="223" spans="2:5" x14ac:dyDescent="0.3">
      <c r="B223" s="264">
        <v>45943</v>
      </c>
      <c r="C223" s="265" t="s">
        <v>664</v>
      </c>
      <c r="D223" s="271">
        <v>1001.75</v>
      </c>
      <c r="E223" s="266" t="s">
        <v>1480</v>
      </c>
    </row>
    <row r="224" spans="2:5" x14ac:dyDescent="0.3">
      <c r="B224" s="264">
        <v>45943</v>
      </c>
      <c r="C224" s="265" t="s">
        <v>1564</v>
      </c>
      <c r="D224" s="271">
        <v>580.59</v>
      </c>
      <c r="E224" s="266" t="s">
        <v>205</v>
      </c>
    </row>
    <row r="225" spans="2:5" x14ac:dyDescent="0.3">
      <c r="B225" s="264">
        <v>45943</v>
      </c>
      <c r="C225" s="265" t="s">
        <v>1564</v>
      </c>
      <c r="D225" s="271">
        <v>580.6</v>
      </c>
      <c r="E225" s="266" t="s">
        <v>205</v>
      </c>
    </row>
    <row r="226" spans="2:5" x14ac:dyDescent="0.3">
      <c r="B226" s="264">
        <v>45943</v>
      </c>
      <c r="C226" s="265" t="s">
        <v>1564</v>
      </c>
      <c r="D226" s="271">
        <v>498.09</v>
      </c>
      <c r="E226" s="266" t="s">
        <v>205</v>
      </c>
    </row>
    <row r="227" spans="2:5" x14ac:dyDescent="0.3">
      <c r="B227" s="264">
        <v>45943</v>
      </c>
      <c r="C227" s="265" t="s">
        <v>1564</v>
      </c>
      <c r="D227" s="271">
        <v>332.06</v>
      </c>
      <c r="E227" s="266" t="s">
        <v>205</v>
      </c>
    </row>
    <row r="228" spans="2:5" x14ac:dyDescent="0.3">
      <c r="B228" s="264">
        <v>45943</v>
      </c>
      <c r="C228" s="265" t="s">
        <v>1587</v>
      </c>
      <c r="D228" s="271">
        <v>203.24</v>
      </c>
      <c r="E228" s="266" t="s">
        <v>205</v>
      </c>
    </row>
    <row r="229" spans="2:5" x14ac:dyDescent="0.3">
      <c r="B229" s="264">
        <v>45943</v>
      </c>
      <c r="C229" s="265" t="s">
        <v>902</v>
      </c>
      <c r="D229" s="271">
        <v>170</v>
      </c>
      <c r="E229" s="266" t="s">
        <v>203</v>
      </c>
    </row>
    <row r="230" spans="2:5" x14ac:dyDescent="0.3">
      <c r="B230" s="264">
        <v>45943</v>
      </c>
      <c r="C230" s="265" t="s">
        <v>1538</v>
      </c>
      <c r="D230" s="271">
        <v>253</v>
      </c>
      <c r="E230" s="266" t="s">
        <v>1480</v>
      </c>
    </row>
    <row r="231" spans="2:5" x14ac:dyDescent="0.3">
      <c r="B231" s="264">
        <v>45943</v>
      </c>
      <c r="C231" s="265" t="s">
        <v>1539</v>
      </c>
      <c r="D231" s="271">
        <v>159.80000000000001</v>
      </c>
      <c r="E231" s="266" t="s">
        <v>1479</v>
      </c>
    </row>
    <row r="232" spans="2:5" x14ac:dyDescent="0.3">
      <c r="B232" s="264">
        <v>45943</v>
      </c>
      <c r="C232" s="265" t="s">
        <v>1588</v>
      </c>
      <c r="D232" s="271">
        <v>221</v>
      </c>
      <c r="E232" s="266" t="s">
        <v>1479</v>
      </c>
    </row>
    <row r="233" spans="2:5" x14ac:dyDescent="0.3">
      <c r="B233" s="264">
        <v>45943</v>
      </c>
      <c r="C233" s="265" t="s">
        <v>1540</v>
      </c>
      <c r="D233" s="271">
        <v>200</v>
      </c>
      <c r="E233" s="273" t="s">
        <v>1479</v>
      </c>
    </row>
    <row r="234" spans="2:5" x14ac:dyDescent="0.3">
      <c r="B234" s="264">
        <v>45943</v>
      </c>
      <c r="C234" s="265" t="s">
        <v>1565</v>
      </c>
      <c r="D234" s="271">
        <v>528.33000000000004</v>
      </c>
      <c r="E234" s="273" t="s">
        <v>1479</v>
      </c>
    </row>
    <row r="235" spans="2:5" x14ac:dyDescent="0.3">
      <c r="B235" s="264">
        <v>45943</v>
      </c>
      <c r="C235" s="265" t="s">
        <v>1589</v>
      </c>
      <c r="D235" s="271">
        <v>1619.4</v>
      </c>
      <c r="E235" s="266" t="s">
        <v>18</v>
      </c>
    </row>
    <row r="236" spans="2:5" x14ac:dyDescent="0.3">
      <c r="B236" s="267">
        <v>45943</v>
      </c>
      <c r="C236" s="268" t="s">
        <v>1590</v>
      </c>
      <c r="D236" s="272">
        <v>58.8</v>
      </c>
      <c r="E236" s="269" t="s">
        <v>203</v>
      </c>
    </row>
    <row r="237" spans="2:5" x14ac:dyDescent="0.3">
      <c r="B237" s="264">
        <v>46094</v>
      </c>
      <c r="C237" s="265" t="s">
        <v>865</v>
      </c>
      <c r="D237" s="271">
        <v>968</v>
      </c>
      <c r="E237" s="266" t="s">
        <v>1480</v>
      </c>
    </row>
    <row r="238" spans="2:5" x14ac:dyDescent="0.3">
      <c r="B238" s="264">
        <v>46094</v>
      </c>
      <c r="C238" s="265" t="s">
        <v>866</v>
      </c>
      <c r="D238" s="271">
        <v>140</v>
      </c>
      <c r="E238" s="266" t="s">
        <v>1480</v>
      </c>
    </row>
    <row r="239" spans="2:5" x14ac:dyDescent="0.3">
      <c r="B239" s="264">
        <v>46094</v>
      </c>
      <c r="C239" s="265" t="s">
        <v>867</v>
      </c>
      <c r="D239" s="271">
        <v>40</v>
      </c>
      <c r="E239" s="266" t="s">
        <v>1480</v>
      </c>
    </row>
    <row r="240" spans="2:5" x14ac:dyDescent="0.3">
      <c r="B240" s="264">
        <v>46094</v>
      </c>
      <c r="C240" s="265" t="s">
        <v>868</v>
      </c>
      <c r="D240" s="271">
        <v>827.27</v>
      </c>
      <c r="E240" s="266" t="s">
        <v>475</v>
      </c>
    </row>
    <row r="241" spans="2:5" x14ac:dyDescent="0.3">
      <c r="B241" s="264">
        <v>46094</v>
      </c>
      <c r="C241" s="265" t="s">
        <v>869</v>
      </c>
      <c r="D241" s="271">
        <v>18</v>
      </c>
      <c r="E241" s="266" t="s">
        <v>205</v>
      </c>
    </row>
    <row r="242" spans="2:5" x14ac:dyDescent="0.3">
      <c r="B242" s="264">
        <v>46094</v>
      </c>
      <c r="C242" s="265" t="s">
        <v>870</v>
      </c>
      <c r="D242" s="271">
        <v>179.6</v>
      </c>
      <c r="E242" s="266" t="s">
        <v>205</v>
      </c>
    </row>
    <row r="243" spans="2:5" x14ac:dyDescent="0.3">
      <c r="B243" s="264">
        <v>46094</v>
      </c>
      <c r="C243" s="265" t="s">
        <v>871</v>
      </c>
      <c r="D243" s="271">
        <v>219.81</v>
      </c>
      <c r="E243" s="266" t="s">
        <v>1473</v>
      </c>
    </row>
    <row r="244" spans="2:5" x14ac:dyDescent="0.3">
      <c r="B244" s="264">
        <v>46094</v>
      </c>
      <c r="C244" s="265" t="s">
        <v>872</v>
      </c>
      <c r="D244" s="271">
        <v>40</v>
      </c>
      <c r="E244" s="266" t="s">
        <v>206</v>
      </c>
    </row>
    <row r="245" spans="2:5" x14ac:dyDescent="0.3">
      <c r="B245" s="264">
        <v>46094</v>
      </c>
      <c r="C245" s="265" t="s">
        <v>873</v>
      </c>
      <c r="D245" s="271">
        <v>2000</v>
      </c>
      <c r="E245" s="266" t="s">
        <v>503</v>
      </c>
    </row>
    <row r="246" spans="2:5" x14ac:dyDescent="0.3">
      <c r="B246" s="264">
        <v>46094</v>
      </c>
      <c r="C246" s="265" t="s">
        <v>874</v>
      </c>
      <c r="D246" s="271">
        <v>1068.33</v>
      </c>
      <c r="E246" s="266" t="s">
        <v>205</v>
      </c>
    </row>
    <row r="247" spans="2:5" x14ac:dyDescent="0.3">
      <c r="B247" s="264">
        <v>46094</v>
      </c>
      <c r="C247" s="265" t="s">
        <v>874</v>
      </c>
      <c r="D247" s="271">
        <v>8</v>
      </c>
      <c r="E247" s="266" t="s">
        <v>205</v>
      </c>
    </row>
    <row r="248" spans="2:5" x14ac:dyDescent="0.3">
      <c r="B248" s="264">
        <v>46094</v>
      </c>
      <c r="C248" s="265" t="s">
        <v>875</v>
      </c>
      <c r="D248" s="271">
        <v>23.6</v>
      </c>
      <c r="E248" s="266" t="s">
        <v>205</v>
      </c>
    </row>
    <row r="249" spans="2:5" x14ac:dyDescent="0.3">
      <c r="B249" s="264">
        <v>46094</v>
      </c>
      <c r="C249" s="265" t="s">
        <v>876</v>
      </c>
      <c r="D249" s="271">
        <v>287.61</v>
      </c>
      <c r="E249" s="266" t="s">
        <v>205</v>
      </c>
    </row>
    <row r="250" spans="2:5" x14ac:dyDescent="0.3">
      <c r="B250" s="264">
        <v>46094</v>
      </c>
      <c r="C250" s="265" t="s">
        <v>877</v>
      </c>
      <c r="D250" s="271">
        <v>240.01</v>
      </c>
      <c r="E250" s="266" t="s">
        <v>1473</v>
      </c>
    </row>
    <row r="251" spans="2:5" x14ac:dyDescent="0.3">
      <c r="B251" s="264">
        <v>46094</v>
      </c>
      <c r="C251" s="265" t="s">
        <v>672</v>
      </c>
      <c r="D251" s="271">
        <v>169</v>
      </c>
      <c r="E251" s="266" t="s">
        <v>203</v>
      </c>
    </row>
    <row r="252" spans="2:5" x14ac:dyDescent="0.3">
      <c r="B252" s="264">
        <v>46094</v>
      </c>
      <c r="C252" s="265" t="s">
        <v>878</v>
      </c>
      <c r="D252" s="271">
        <v>261.5</v>
      </c>
      <c r="E252" s="266" t="s">
        <v>205</v>
      </c>
    </row>
    <row r="253" spans="2:5" x14ac:dyDescent="0.3">
      <c r="B253" s="264">
        <v>46094</v>
      </c>
      <c r="C253" s="265" t="s">
        <v>879</v>
      </c>
      <c r="D253" s="271">
        <v>468.95</v>
      </c>
      <c r="E253" s="266" t="s">
        <v>205</v>
      </c>
    </row>
    <row r="254" spans="2:5" x14ac:dyDescent="0.3">
      <c r="B254" s="264">
        <v>46094</v>
      </c>
      <c r="C254" s="265" t="s">
        <v>870</v>
      </c>
      <c r="D254" s="271">
        <v>251.54</v>
      </c>
      <c r="E254" s="266" t="s">
        <v>205</v>
      </c>
    </row>
    <row r="255" spans="2:5" x14ac:dyDescent="0.3">
      <c r="B255" s="264">
        <v>46094</v>
      </c>
      <c r="C255" s="265" t="s">
        <v>872</v>
      </c>
      <c r="D255" s="271">
        <v>22</v>
      </c>
      <c r="E255" s="266" t="s">
        <v>206</v>
      </c>
    </row>
    <row r="256" spans="2:5" x14ac:dyDescent="0.3">
      <c r="B256" s="264">
        <v>46094</v>
      </c>
      <c r="C256" s="265" t="s">
        <v>873</v>
      </c>
      <c r="D256" s="271">
        <v>2000</v>
      </c>
      <c r="E256" s="266" t="s">
        <v>503</v>
      </c>
    </row>
    <row r="257" spans="2:5" x14ac:dyDescent="0.3">
      <c r="B257" s="264">
        <v>46094</v>
      </c>
      <c r="C257" s="265" t="s">
        <v>880</v>
      </c>
      <c r="D257" s="271">
        <v>1600</v>
      </c>
      <c r="E257" s="266" t="s">
        <v>203</v>
      </c>
    </row>
    <row r="258" spans="2:5" x14ac:dyDescent="0.3">
      <c r="B258" s="264">
        <v>46094</v>
      </c>
      <c r="C258" s="265" t="s">
        <v>677</v>
      </c>
      <c r="D258" s="271">
        <v>55.7</v>
      </c>
      <c r="E258" s="266" t="s">
        <v>203</v>
      </c>
    </row>
    <row r="259" spans="2:5" x14ac:dyDescent="0.3">
      <c r="B259" s="264">
        <v>46094</v>
      </c>
      <c r="C259" s="265" t="s">
        <v>873</v>
      </c>
      <c r="D259" s="271">
        <v>2000</v>
      </c>
      <c r="E259" s="266" t="s">
        <v>503</v>
      </c>
    </row>
    <row r="260" spans="2:5" x14ac:dyDescent="0.3">
      <c r="B260" s="264">
        <v>46094</v>
      </c>
      <c r="C260" s="265" t="s">
        <v>881</v>
      </c>
      <c r="D260" s="271">
        <v>699</v>
      </c>
      <c r="E260" s="266" t="s">
        <v>1479</v>
      </c>
    </row>
    <row r="261" spans="2:5" x14ac:dyDescent="0.3">
      <c r="B261" s="264">
        <v>46094</v>
      </c>
      <c r="C261" s="265" t="s">
        <v>882</v>
      </c>
      <c r="D261" s="271">
        <v>69.97</v>
      </c>
      <c r="E261" s="266" t="s">
        <v>1479</v>
      </c>
    </row>
    <row r="262" spans="2:5" x14ac:dyDescent="0.3">
      <c r="B262" s="264">
        <v>46094</v>
      </c>
      <c r="C262" s="265" t="s">
        <v>883</v>
      </c>
      <c r="D262" s="271">
        <v>1200</v>
      </c>
      <c r="E262" s="266" t="s">
        <v>502</v>
      </c>
    </row>
    <row r="263" spans="2:5" x14ac:dyDescent="0.3">
      <c r="B263" s="264">
        <v>46094</v>
      </c>
      <c r="C263" s="265" t="s">
        <v>884</v>
      </c>
      <c r="D263" s="271">
        <v>1335.4</v>
      </c>
      <c r="E263" s="266" t="s">
        <v>1472</v>
      </c>
    </row>
    <row r="264" spans="2:5" x14ac:dyDescent="0.3">
      <c r="B264" s="264">
        <v>46094</v>
      </c>
      <c r="C264" s="265" t="s">
        <v>886</v>
      </c>
      <c r="D264" s="271">
        <v>2000</v>
      </c>
      <c r="E264" s="266" t="s">
        <v>885</v>
      </c>
    </row>
    <row r="265" spans="2:5" x14ac:dyDescent="0.3">
      <c r="B265" s="264">
        <v>46094</v>
      </c>
      <c r="C265" s="265" t="s">
        <v>873</v>
      </c>
      <c r="D265" s="271">
        <v>2000</v>
      </c>
      <c r="E265" s="266" t="s">
        <v>503</v>
      </c>
    </row>
    <row r="266" spans="2:5" x14ac:dyDescent="0.3">
      <c r="B266" s="264">
        <v>46094</v>
      </c>
      <c r="C266" s="265" t="s">
        <v>887</v>
      </c>
      <c r="D266" s="271">
        <v>756.8</v>
      </c>
      <c r="E266" s="266" t="s">
        <v>1479</v>
      </c>
    </row>
    <row r="267" spans="2:5" x14ac:dyDescent="0.3">
      <c r="B267" s="264">
        <v>46094</v>
      </c>
      <c r="C267" s="265" t="s">
        <v>888</v>
      </c>
      <c r="D267" s="271">
        <v>340</v>
      </c>
      <c r="E267" s="266" t="s">
        <v>1472</v>
      </c>
    </row>
    <row r="268" spans="2:5" x14ac:dyDescent="0.3">
      <c r="B268" s="264">
        <v>46094</v>
      </c>
      <c r="C268" s="265" t="s">
        <v>889</v>
      </c>
      <c r="D268" s="271">
        <v>309.17</v>
      </c>
      <c r="E268" s="266" t="s">
        <v>1479</v>
      </c>
    </row>
    <row r="269" spans="2:5" x14ac:dyDescent="0.3">
      <c r="B269" s="264">
        <v>46094</v>
      </c>
      <c r="C269" s="265" t="s">
        <v>890</v>
      </c>
      <c r="D269" s="271">
        <v>910.25</v>
      </c>
      <c r="E269" s="266" t="s">
        <v>1472</v>
      </c>
    </row>
    <row r="270" spans="2:5" x14ac:dyDescent="0.3">
      <c r="B270" s="264">
        <v>46094</v>
      </c>
      <c r="C270" s="265" t="s">
        <v>891</v>
      </c>
      <c r="D270" s="271">
        <v>145.62</v>
      </c>
      <c r="E270" s="266" t="s">
        <v>475</v>
      </c>
    </row>
    <row r="271" spans="2:5" x14ac:dyDescent="0.3">
      <c r="B271" s="264">
        <v>46094</v>
      </c>
      <c r="C271" s="265" t="s">
        <v>873</v>
      </c>
      <c r="D271" s="271">
        <v>2000</v>
      </c>
      <c r="E271" s="266" t="s">
        <v>503</v>
      </c>
    </row>
    <row r="272" spans="2:5" x14ac:dyDescent="0.3">
      <c r="B272" s="264">
        <v>46094</v>
      </c>
      <c r="C272" s="265" t="s">
        <v>892</v>
      </c>
      <c r="D272" s="271">
        <v>25.9</v>
      </c>
      <c r="E272" s="266" t="s">
        <v>1479</v>
      </c>
    </row>
    <row r="273" spans="2:5" x14ac:dyDescent="0.3">
      <c r="B273" s="264">
        <v>46094</v>
      </c>
      <c r="C273" s="265" t="s">
        <v>893</v>
      </c>
      <c r="D273" s="271">
        <v>95.98</v>
      </c>
      <c r="E273" s="266" t="s">
        <v>1479</v>
      </c>
    </row>
    <row r="274" spans="2:5" x14ac:dyDescent="0.3">
      <c r="B274" s="264">
        <v>46094</v>
      </c>
      <c r="C274" s="265" t="s">
        <v>894</v>
      </c>
      <c r="D274" s="271">
        <v>2175</v>
      </c>
      <c r="E274" s="266" t="s">
        <v>1478</v>
      </c>
    </row>
    <row r="275" spans="2:5" x14ac:dyDescent="0.3">
      <c r="B275" s="264">
        <v>46094</v>
      </c>
      <c r="C275" s="265" t="s">
        <v>895</v>
      </c>
      <c r="D275" s="271">
        <v>759</v>
      </c>
      <c r="E275" s="266" t="s">
        <v>1483</v>
      </c>
    </row>
    <row r="276" spans="2:5" x14ac:dyDescent="0.3">
      <c r="B276" s="264">
        <v>46094</v>
      </c>
      <c r="C276" s="265" t="s">
        <v>896</v>
      </c>
      <c r="D276" s="271">
        <v>435</v>
      </c>
      <c r="E276" s="266" t="s">
        <v>1476</v>
      </c>
    </row>
    <row r="277" spans="2:5" x14ac:dyDescent="0.3">
      <c r="B277" s="264">
        <v>46094</v>
      </c>
      <c r="C277" s="265" t="s">
        <v>897</v>
      </c>
      <c r="D277" s="271">
        <v>1705.52</v>
      </c>
      <c r="E277" s="266" t="s">
        <v>1479</v>
      </c>
    </row>
    <row r="278" spans="2:5" x14ac:dyDescent="0.3">
      <c r="B278" s="264">
        <v>46094</v>
      </c>
      <c r="C278" s="265" t="s">
        <v>898</v>
      </c>
      <c r="D278" s="271">
        <v>184.12</v>
      </c>
      <c r="E278" s="266" t="s">
        <v>1475</v>
      </c>
    </row>
    <row r="279" spans="2:5" x14ac:dyDescent="0.3">
      <c r="B279" s="267">
        <v>46094</v>
      </c>
      <c r="C279" s="268" t="s">
        <v>899</v>
      </c>
      <c r="D279" s="272">
        <v>99.8</v>
      </c>
      <c r="E279" s="269" t="s">
        <v>1479</v>
      </c>
    </row>
    <row r="280" spans="2:5" x14ac:dyDescent="0.3">
      <c r="B280" s="267">
        <v>46094</v>
      </c>
      <c r="C280" s="268" t="s">
        <v>900</v>
      </c>
      <c r="D280" s="272">
        <v>35</v>
      </c>
      <c r="E280" s="403" t="s">
        <v>18</v>
      </c>
    </row>
    <row r="281" spans="2:5" x14ac:dyDescent="0.3">
      <c r="B281" s="267">
        <v>46094</v>
      </c>
      <c r="C281" s="268" t="s">
        <v>901</v>
      </c>
      <c r="D281" s="272">
        <v>58.8</v>
      </c>
      <c r="E281" s="269" t="s">
        <v>203</v>
      </c>
    </row>
    <row r="282" spans="2:5" x14ac:dyDescent="0.3">
      <c r="B282" s="402">
        <v>46094</v>
      </c>
      <c r="C282" s="268" t="s">
        <v>902</v>
      </c>
      <c r="D282" s="272">
        <v>269.99</v>
      </c>
      <c r="E282" s="269" t="s">
        <v>203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75E2A-0BF1-4F93-9DAC-9AAAC1792116}">
  <sheetPr>
    <pageSetUpPr fitToPage="1"/>
  </sheetPr>
  <dimension ref="A1:I133"/>
  <sheetViews>
    <sheetView showGridLines="0" workbookViewId="0">
      <selection activeCell="L123" sqref="L123"/>
    </sheetView>
  </sheetViews>
  <sheetFormatPr defaultColWidth="8.88671875" defaultRowHeight="14.4" x14ac:dyDescent="0.3"/>
  <cols>
    <col min="1" max="1" width="12.109375" style="50" bestFit="1" customWidth="1"/>
    <col min="2" max="2" width="61.33203125" style="50" bestFit="1" customWidth="1"/>
    <col min="3" max="8" width="15.33203125" style="50" bestFit="1" customWidth="1"/>
    <col min="9" max="16384" width="8.88671875" style="50"/>
  </cols>
  <sheetData>
    <row r="1" spans="1:8" ht="30" customHeight="1" x14ac:dyDescent="0.3">
      <c r="B1" s="460" t="s">
        <v>1591</v>
      </c>
      <c r="C1" s="461">
        <v>45931</v>
      </c>
      <c r="D1" s="461">
        <v>45962</v>
      </c>
      <c r="E1" s="461">
        <v>45992</v>
      </c>
      <c r="F1" s="461">
        <v>46023</v>
      </c>
      <c r="G1" s="461">
        <v>46054</v>
      </c>
      <c r="H1" s="461">
        <v>46082</v>
      </c>
    </row>
    <row r="2" spans="1:8" x14ac:dyDescent="0.3">
      <c r="A2" s="6" t="s">
        <v>1592</v>
      </c>
      <c r="B2" s="462" t="str">
        <f>DRE!B3</f>
        <v>(+) FATURAMENTO BRUTO</v>
      </c>
      <c r="C2" s="463">
        <f>DRE!C3</f>
        <v>1207206.99</v>
      </c>
      <c r="D2" s="463">
        <f>DRE!E3</f>
        <v>1594226.24</v>
      </c>
      <c r="E2" s="463">
        <f>DRE!H3</f>
        <v>1443037.2</v>
      </c>
      <c r="F2" s="463">
        <f>DRE!K3</f>
        <v>1101552.02</v>
      </c>
      <c r="G2" s="463">
        <f>DRE!N3</f>
        <v>936890.74</v>
      </c>
      <c r="H2" s="463">
        <f>DRE!Q3</f>
        <v>1373580.81</v>
      </c>
    </row>
    <row r="3" spans="1:8" x14ac:dyDescent="0.3">
      <c r="A3" s="6" t="s">
        <v>1593</v>
      </c>
      <c r="B3" s="462" t="str">
        <f>DRE!B3</f>
        <v>(+) FATURAMENTO BRUTO</v>
      </c>
      <c r="C3" s="464">
        <f>IFERROR(C2/C2,0)</f>
        <v>1</v>
      </c>
      <c r="D3" s="464">
        <f t="shared" ref="D3:H3" si="0">IFERROR(D2/D2,0)</f>
        <v>1</v>
      </c>
      <c r="E3" s="464">
        <f t="shared" si="0"/>
        <v>1</v>
      </c>
      <c r="F3" s="464">
        <f t="shared" si="0"/>
        <v>1</v>
      </c>
      <c r="G3" s="464">
        <f t="shared" si="0"/>
        <v>1</v>
      </c>
      <c r="H3" s="464">
        <f t="shared" si="0"/>
        <v>1</v>
      </c>
    </row>
    <row r="5" spans="1:8" x14ac:dyDescent="0.3">
      <c r="A5" s="454" t="s">
        <v>1592</v>
      </c>
      <c r="B5" s="462" t="str">
        <f>DRE!B4</f>
        <v>(-) IMPOSTOS S/ VENDAS</v>
      </c>
      <c r="C5" s="463">
        <f>DRE!C4</f>
        <v>35650.83</v>
      </c>
      <c r="D5" s="463">
        <f>DRE!E4</f>
        <v>21104.11</v>
      </c>
      <c r="E5" s="463">
        <f>DRE!H4</f>
        <v>19335</v>
      </c>
      <c r="F5" s="463">
        <f>DRE!K4</f>
        <v>15811.61</v>
      </c>
      <c r="G5" s="463">
        <f>DRE!N4</f>
        <v>14053.3611</v>
      </c>
      <c r="H5" s="463">
        <f>DRE!Q4</f>
        <v>29702.17</v>
      </c>
    </row>
    <row r="6" spans="1:8" x14ac:dyDescent="0.3">
      <c r="A6" s="6" t="s">
        <v>1593</v>
      </c>
      <c r="B6" s="462" t="str">
        <f>DRE!B4</f>
        <v>(-) IMPOSTOS S/ VENDAS</v>
      </c>
      <c r="C6" s="464">
        <f>IFERROR(C5/C2,0)</f>
        <v>2.9531663000062651E-2</v>
      </c>
      <c r="D6" s="464">
        <f t="shared" ref="D6:H6" si="1">IFERROR(D5/D2,0)</f>
        <v>1.3237838815148345E-2</v>
      </c>
      <c r="E6" s="464">
        <f t="shared" si="1"/>
        <v>1.3398822982526022E-2</v>
      </c>
      <c r="F6" s="464">
        <f t="shared" si="1"/>
        <v>1.4353938545725694E-2</v>
      </c>
      <c r="G6" s="464">
        <f t="shared" si="1"/>
        <v>1.4999999999999999E-2</v>
      </c>
      <c r="H6" s="464">
        <f t="shared" si="1"/>
        <v>2.1623897031584183E-2</v>
      </c>
    </row>
    <row r="8" spans="1:8" x14ac:dyDescent="0.3">
      <c r="A8" s="454" t="s">
        <v>1592</v>
      </c>
      <c r="B8" s="462" t="str">
        <f>DRE!B5</f>
        <v>(-) DEVOLUÇÕES</v>
      </c>
      <c r="C8" s="463">
        <f>DRE!C5</f>
        <v>0</v>
      </c>
      <c r="D8" s="463">
        <f>DRE!E5</f>
        <v>0</v>
      </c>
      <c r="E8" s="463">
        <f>DRE!H5</f>
        <v>0</v>
      </c>
      <c r="F8" s="463">
        <f>DRE!K5</f>
        <v>0</v>
      </c>
      <c r="G8" s="463">
        <f>DRE!N5</f>
        <v>0</v>
      </c>
      <c r="H8" s="463">
        <f>DRE!Q5</f>
        <v>0</v>
      </c>
    </row>
    <row r="9" spans="1:8" x14ac:dyDescent="0.3">
      <c r="A9" s="6" t="s">
        <v>1593</v>
      </c>
      <c r="B9" s="462" t="str">
        <f>DRE!B5</f>
        <v>(-) DEVOLUÇÕES</v>
      </c>
      <c r="C9" s="464">
        <f>IFERROR(C8/C2,0)</f>
        <v>0</v>
      </c>
      <c r="D9" s="464">
        <f t="shared" ref="D9:H9" si="2">IFERROR(D8/D2,0)</f>
        <v>0</v>
      </c>
      <c r="E9" s="464">
        <f t="shared" si="2"/>
        <v>0</v>
      </c>
      <c r="F9" s="464">
        <f t="shared" si="2"/>
        <v>0</v>
      </c>
      <c r="G9" s="464">
        <f t="shared" si="2"/>
        <v>0</v>
      </c>
      <c r="H9" s="464">
        <f t="shared" si="2"/>
        <v>0</v>
      </c>
    </row>
    <row r="11" spans="1:8" x14ac:dyDescent="0.3">
      <c r="A11" s="454" t="s">
        <v>1592</v>
      </c>
      <c r="B11" s="462" t="str">
        <f>DRE!B6</f>
        <v>(-) DESPESAS COM TRANSPORTE</v>
      </c>
      <c r="C11" s="463">
        <f>DRE!C6</f>
        <v>9199.86</v>
      </c>
      <c r="D11" s="463">
        <f>DRE!E6</f>
        <v>1174.8800000000001</v>
      </c>
      <c r="E11" s="463">
        <f>DRE!H6</f>
        <v>6687.27</v>
      </c>
      <c r="F11" s="463">
        <f>DRE!K6</f>
        <v>20376.209999999995</v>
      </c>
      <c r="G11" s="463">
        <f>DRE!N6</f>
        <v>31195.069999999996</v>
      </c>
      <c r="H11" s="463">
        <f>DRE!Q6</f>
        <v>23710.909999999993</v>
      </c>
    </row>
    <row r="12" spans="1:8" x14ac:dyDescent="0.3">
      <c r="A12" s="6" t="s">
        <v>1593</v>
      </c>
      <c r="B12" s="462" t="str">
        <f>DRE!B6</f>
        <v>(-) DESPESAS COM TRANSPORTE</v>
      </c>
      <c r="C12" s="464">
        <f>IFERROR(C11/C2,0)</f>
        <v>7.6207809234106576E-3</v>
      </c>
      <c r="D12" s="464">
        <f t="shared" ref="D12:H12" si="3">IFERROR(D11/D2,0)</f>
        <v>7.3695939166074705E-4</v>
      </c>
      <c r="E12" s="464">
        <f t="shared" si="3"/>
        <v>4.6341632772876548E-3</v>
      </c>
      <c r="F12" s="464">
        <f t="shared" si="3"/>
        <v>1.849772832335235E-2</v>
      </c>
      <c r="G12" s="464">
        <f t="shared" si="3"/>
        <v>3.3296379895909736E-2</v>
      </c>
      <c r="H12" s="464">
        <f t="shared" si="3"/>
        <v>1.7262115069880738E-2</v>
      </c>
    </row>
    <row r="14" spans="1:8" x14ac:dyDescent="0.3">
      <c r="A14" s="454" t="s">
        <v>1592</v>
      </c>
      <c r="B14" s="462" t="str">
        <f>DRE!B10</f>
        <v>(-) RECEITA OPERACIONAL LÍQUIDA</v>
      </c>
      <c r="C14" s="463">
        <f>DRE!C10</f>
        <v>1162356.2999999998</v>
      </c>
      <c r="D14" s="463">
        <f>DRE!E10</f>
        <v>1571947.25</v>
      </c>
      <c r="E14" s="463">
        <f>DRE!H10</f>
        <v>1417014.93</v>
      </c>
      <c r="F14" s="463">
        <f>DRE!K10</f>
        <v>1065364.2</v>
      </c>
      <c r="G14" s="463">
        <f>DRE!N10</f>
        <v>891642.30890000006</v>
      </c>
      <c r="H14" s="463">
        <f>DRE!Q10</f>
        <v>1320167.7300000002</v>
      </c>
    </row>
    <row r="15" spans="1:8" x14ac:dyDescent="0.3">
      <c r="A15" s="6" t="s">
        <v>1593</v>
      </c>
      <c r="B15" s="462" t="str">
        <f>DRE!B10</f>
        <v>(-) RECEITA OPERACIONAL LÍQUIDA</v>
      </c>
      <c r="C15" s="464">
        <f>IFERROR(C14/C2,0)</f>
        <v>0.9628475560765265</v>
      </c>
      <c r="D15" s="464">
        <f t="shared" ref="D15:H15" si="4">IFERROR(D14/D2,0)</f>
        <v>0.98602520179319086</v>
      </c>
      <c r="E15" s="464">
        <f t="shared" si="4"/>
        <v>0.98196701374018636</v>
      </c>
      <c r="F15" s="464">
        <f t="shared" si="4"/>
        <v>0.96714833313092186</v>
      </c>
      <c r="G15" s="464">
        <f t="shared" si="4"/>
        <v>0.95170362010409038</v>
      </c>
      <c r="H15" s="464">
        <f t="shared" si="4"/>
        <v>0.96111398789853519</v>
      </c>
    </row>
    <row r="17" spans="1:8" x14ac:dyDescent="0.3">
      <c r="A17" s="6" t="s">
        <v>1592</v>
      </c>
      <c r="B17" s="462" t="str">
        <f>DRE!B11</f>
        <v>(-) CUSTOS VARIÁVEIS OPERACIONAIS</v>
      </c>
      <c r="C17" s="463">
        <f>DRE!C11</f>
        <v>923317.34324999992</v>
      </c>
      <c r="D17" s="463">
        <f>DRE!E11</f>
        <v>1282104.0919999999</v>
      </c>
      <c r="E17" s="463">
        <f>DRE!H11</f>
        <v>1119132.4299999997</v>
      </c>
      <c r="F17" s="463">
        <f>DRE!K11</f>
        <v>865095.17350000003</v>
      </c>
      <c r="G17" s="463">
        <f>DRE!N11</f>
        <v>755745.50950000004</v>
      </c>
      <c r="H17" s="463">
        <f>DRE!Q11</f>
        <v>1074369.7217500003</v>
      </c>
    </row>
    <row r="18" spans="1:8" x14ac:dyDescent="0.3">
      <c r="A18" s="6" t="s">
        <v>1593</v>
      </c>
      <c r="B18" s="462" t="str">
        <f>DRE!B11</f>
        <v>(-) CUSTOS VARIÁVEIS OPERACIONAIS</v>
      </c>
      <c r="C18" s="464">
        <f>IFERROR(C17/C2,0)</f>
        <v>0.76483763836556307</v>
      </c>
      <c r="D18" s="464">
        <f t="shared" ref="D18:H18" si="5">IFERROR(D17/D2,0)</f>
        <v>0.80421715552743622</v>
      </c>
      <c r="E18" s="464">
        <f t="shared" si="5"/>
        <v>0.77553955643000727</v>
      </c>
      <c r="F18" s="464">
        <f t="shared" si="5"/>
        <v>0.7853420971439915</v>
      </c>
      <c r="G18" s="464">
        <f t="shared" si="5"/>
        <v>0.80665276881699144</v>
      </c>
      <c r="H18" s="464">
        <f t="shared" si="5"/>
        <v>0.78216710216707253</v>
      </c>
    </row>
    <row r="20" spans="1:8" x14ac:dyDescent="0.3">
      <c r="A20" s="6" t="s">
        <v>1592</v>
      </c>
      <c r="B20" s="462" t="str">
        <f>DRE!B12</f>
        <v>(-) CUSTO DOS PRODUTOS VENDIDOS</v>
      </c>
      <c r="C20" s="463">
        <f>DRE!C12</f>
        <v>707593.72</v>
      </c>
      <c r="D20" s="463">
        <f>DRE!E12</f>
        <v>998625.2</v>
      </c>
      <c r="E20" s="463">
        <f>DRE!H12</f>
        <v>857572.80999999982</v>
      </c>
      <c r="F20" s="463">
        <f>DRE!K12</f>
        <v>667576.62</v>
      </c>
      <c r="G20" s="463">
        <f>DRE!N12</f>
        <v>577935.69000000006</v>
      </c>
      <c r="H20" s="463">
        <f>DRE!Q12</f>
        <v>817037.4600000002</v>
      </c>
    </row>
    <row r="21" spans="1:8" x14ac:dyDescent="0.3">
      <c r="A21" s="6" t="s">
        <v>1593</v>
      </c>
      <c r="B21" s="462" t="str">
        <f>DRE!B12</f>
        <v>(-) CUSTO DOS PRODUTOS VENDIDOS</v>
      </c>
      <c r="C21" s="464">
        <f>IFERROR(C20/C2,0)</f>
        <v>0.5861411720288332</v>
      </c>
      <c r="D21" s="464">
        <f t="shared" ref="D21:H21" si="6">IFERROR(D20/D2,0)</f>
        <v>0.62640118130284939</v>
      </c>
      <c r="E21" s="464">
        <f t="shared" si="6"/>
        <v>0.59428323122924331</v>
      </c>
      <c r="F21" s="464">
        <f t="shared" si="6"/>
        <v>0.6060327682028126</v>
      </c>
      <c r="G21" s="464">
        <f t="shared" si="6"/>
        <v>0.61686562298609127</v>
      </c>
      <c r="H21" s="464">
        <f t="shared" si="6"/>
        <v>0.59482300134929822</v>
      </c>
    </row>
    <row r="23" spans="1:8" x14ac:dyDescent="0.3">
      <c r="A23" s="6" t="s">
        <v>1592</v>
      </c>
      <c r="B23" s="462" t="str">
        <f>DRE!B13</f>
        <v>(-) DESPESAS DE VENDA</v>
      </c>
      <c r="C23" s="463">
        <f>DRE!C13</f>
        <v>215723.62325</v>
      </c>
      <c r="D23" s="463">
        <f>DRE!E13</f>
        <v>283478.89199999999</v>
      </c>
      <c r="E23" s="463">
        <f>DRE!H13</f>
        <v>261559.61999999997</v>
      </c>
      <c r="F23" s="463">
        <f>DRE!K13</f>
        <v>197518.55350000001</v>
      </c>
      <c r="G23" s="463">
        <f>DRE!N13</f>
        <v>177809.81950000001</v>
      </c>
      <c r="H23" s="463">
        <f>DRE!Q13</f>
        <v>257332.26175000001</v>
      </c>
    </row>
    <row r="24" spans="1:8" x14ac:dyDescent="0.3">
      <c r="A24" s="6" t="s">
        <v>1593</v>
      </c>
      <c r="B24" s="462" t="str">
        <f>DRE!B13</f>
        <v>(-) DESPESAS DE VENDA</v>
      </c>
      <c r="C24" s="464">
        <f>IFERROR(C23/C2,0)</f>
        <v>0.17869646633672989</v>
      </c>
      <c r="D24" s="464">
        <f t="shared" ref="D24:H24" si="7">IFERROR(D23/D2,0)</f>
        <v>0.17781597422458684</v>
      </c>
      <c r="E24" s="464">
        <f t="shared" si="7"/>
        <v>0.18125632520076404</v>
      </c>
      <c r="F24" s="464">
        <f t="shared" si="7"/>
        <v>0.17930932894117885</v>
      </c>
      <c r="G24" s="464">
        <f t="shared" si="7"/>
        <v>0.1897871458309002</v>
      </c>
      <c r="H24" s="464">
        <f t="shared" si="7"/>
        <v>0.18734410081777422</v>
      </c>
    </row>
    <row r="26" spans="1:8" x14ac:dyDescent="0.3">
      <c r="A26" s="6" t="s">
        <v>1592</v>
      </c>
      <c r="B26" s="462" t="str">
        <f>DRE!B21</f>
        <v>(=) MARGEM DE CONTRIBUIÇÃO</v>
      </c>
      <c r="C26" s="463">
        <f>DRE!C21</f>
        <v>239038.9567499999</v>
      </c>
      <c r="D26" s="463">
        <f>DRE!E21</f>
        <v>289843.15800000005</v>
      </c>
      <c r="E26" s="463">
        <f>DRE!H21</f>
        <v>297882.50000000023</v>
      </c>
      <c r="F26" s="463">
        <f>DRE!K21</f>
        <v>200269.02649999992</v>
      </c>
      <c r="G26" s="463">
        <f>DRE!N21</f>
        <v>135896.79940000002</v>
      </c>
      <c r="H26" s="463">
        <f>DRE!Q21</f>
        <v>245798.00824999996</v>
      </c>
    </row>
    <row r="27" spans="1:8" x14ac:dyDescent="0.3">
      <c r="A27" s="6" t="s">
        <v>1593</v>
      </c>
      <c r="B27" s="462" t="str">
        <f>DRE!B21</f>
        <v>(=) MARGEM DE CONTRIBUIÇÃO</v>
      </c>
      <c r="C27" s="464">
        <f>IFERROR(C26/C2,0)</f>
        <v>0.19800991771096346</v>
      </c>
      <c r="D27" s="464">
        <f t="shared" ref="D27:H27" si="8">IFERROR(D26/D2,0)</f>
        <v>0.18180804626575464</v>
      </c>
      <c r="E27" s="464">
        <f t="shared" si="8"/>
        <v>0.206427457310179</v>
      </c>
      <c r="F27" s="464">
        <f t="shared" si="8"/>
        <v>0.18180623598693044</v>
      </c>
      <c r="G27" s="464">
        <f t="shared" si="8"/>
        <v>0.14505085128709888</v>
      </c>
      <c r="H27" s="464">
        <f t="shared" si="8"/>
        <v>0.17894688573146267</v>
      </c>
    </row>
    <row r="29" spans="1:8" x14ac:dyDescent="0.3">
      <c r="A29" s="6" t="s">
        <v>1592</v>
      </c>
      <c r="B29" s="462" t="str">
        <f>DRE!B22</f>
        <v>(-) CUSTOS FIXOS OPERACIONAIS</v>
      </c>
      <c r="C29" s="463">
        <f>DRE!C22</f>
        <v>93406.07</v>
      </c>
      <c r="D29" s="463">
        <f>DRE!E22</f>
        <v>104939.41</v>
      </c>
      <c r="E29" s="463">
        <f>DRE!H22</f>
        <v>108655.94</v>
      </c>
      <c r="F29" s="463">
        <f>DRE!K22</f>
        <v>119972.84</v>
      </c>
      <c r="G29" s="463">
        <f>DRE!N22</f>
        <v>119526.37</v>
      </c>
      <c r="H29" s="463">
        <f>DRE!Q22</f>
        <v>138043.59</v>
      </c>
    </row>
    <row r="30" spans="1:8" x14ac:dyDescent="0.3">
      <c r="A30" s="6" t="s">
        <v>1593</v>
      </c>
      <c r="B30" s="462" t="str">
        <f>DRE!B22</f>
        <v>(-) CUSTOS FIXOS OPERACIONAIS</v>
      </c>
      <c r="C30" s="464">
        <f>IFERROR(C29/C2,0)</f>
        <v>7.7373698772237903E-2</v>
      </c>
      <c r="D30" s="464">
        <f t="shared" ref="D30:H30" si="9">IFERROR(D29/D2,0)</f>
        <v>6.5824666140233648E-2</v>
      </c>
      <c r="E30" s="464">
        <f t="shared" si="9"/>
        <v>7.5296700597877866E-2</v>
      </c>
      <c r="F30" s="464">
        <f t="shared" si="9"/>
        <v>0.10891255049398393</v>
      </c>
      <c r="G30" s="464">
        <f t="shared" si="9"/>
        <v>0.12757770452507622</v>
      </c>
      <c r="H30" s="464">
        <f t="shared" si="9"/>
        <v>0.1004990671062156</v>
      </c>
    </row>
    <row r="32" spans="1:8" x14ac:dyDescent="0.3">
      <c r="A32" s="6" t="s">
        <v>1592</v>
      </c>
      <c r="B32" s="462" t="str">
        <f>DRE!B23</f>
        <v>(=) RESULTADO OPERACIONAL</v>
      </c>
      <c r="C32" s="463">
        <f>DRE!C23</f>
        <v>145632.88674999989</v>
      </c>
      <c r="D32" s="463">
        <f>DRE!E23</f>
        <v>184903.74800000005</v>
      </c>
      <c r="E32" s="463">
        <f>DRE!H23</f>
        <v>189226.56000000023</v>
      </c>
      <c r="F32" s="463">
        <f>DRE!K23</f>
        <v>80296.186499999923</v>
      </c>
      <c r="G32" s="463">
        <f>DRE!N23</f>
        <v>16370.429400000023</v>
      </c>
      <c r="H32" s="463">
        <f>DRE!Q23</f>
        <v>107754.41824999996</v>
      </c>
    </row>
    <row r="33" spans="1:8" x14ac:dyDescent="0.3">
      <c r="A33" s="6" t="s">
        <v>1593</v>
      </c>
      <c r="B33" s="462" t="str">
        <f>DRE!B23</f>
        <v>(=) RESULTADO OPERACIONAL</v>
      </c>
      <c r="C33" s="464">
        <f>IFERROR(C32/C2,0)</f>
        <v>0.12063621893872557</v>
      </c>
      <c r="D33" s="464">
        <f t="shared" ref="D33:H33" si="10">IFERROR(D32/D2,0)</f>
        <v>0.11598338012552099</v>
      </c>
      <c r="E33" s="464">
        <f t="shared" si="10"/>
        <v>0.13113075671230112</v>
      </c>
      <c r="F33" s="464">
        <f t="shared" si="10"/>
        <v>7.2893685492946503E-2</v>
      </c>
      <c r="G33" s="464">
        <f t="shared" si="10"/>
        <v>1.7473146762022669E-2</v>
      </c>
      <c r="H33" s="464">
        <f t="shared" si="10"/>
        <v>7.8447818625247065E-2</v>
      </c>
    </row>
    <row r="35" spans="1:8" x14ac:dyDescent="0.3">
      <c r="A35" s="454" t="s">
        <v>1592</v>
      </c>
      <c r="B35" s="462" t="str">
        <f>DRE!B24</f>
        <v>(-) IMPOSTO SOBRE O LUCRO</v>
      </c>
      <c r="C35" s="463">
        <f>DRE!C24</f>
        <v>0</v>
      </c>
      <c r="D35" s="463">
        <f>DRE!E24</f>
        <v>0</v>
      </c>
      <c r="E35" s="463">
        <f>DRE!H24</f>
        <v>0</v>
      </c>
      <c r="F35" s="463">
        <f>DRE!K24</f>
        <v>0</v>
      </c>
      <c r="G35" s="463">
        <f>DRE!N24</f>
        <v>0</v>
      </c>
      <c r="H35" s="463">
        <f>DRE!Q24</f>
        <v>0</v>
      </c>
    </row>
    <row r="36" spans="1:8" x14ac:dyDescent="0.3">
      <c r="A36" s="6" t="s">
        <v>1593</v>
      </c>
      <c r="B36" s="462" t="str">
        <f>DRE!B24</f>
        <v>(-) IMPOSTO SOBRE O LUCRO</v>
      </c>
      <c r="C36" s="464">
        <f>IFERROR(C35/C2,0)</f>
        <v>0</v>
      </c>
      <c r="D36" s="464">
        <f t="shared" ref="D36:H36" si="11">IFERROR(D35/D2,0)</f>
        <v>0</v>
      </c>
      <c r="E36" s="464">
        <f t="shared" si="11"/>
        <v>0</v>
      </c>
      <c r="F36" s="464">
        <f t="shared" si="11"/>
        <v>0</v>
      </c>
      <c r="G36" s="464">
        <f t="shared" si="11"/>
        <v>0</v>
      </c>
      <c r="H36" s="464">
        <f t="shared" si="11"/>
        <v>0</v>
      </c>
    </row>
    <row r="38" spans="1:8" x14ac:dyDescent="0.3">
      <c r="A38" s="454" t="s">
        <v>1592</v>
      </c>
      <c r="B38" s="462" t="str">
        <f>DRE!B25</f>
        <v>(=) RESULTADO APÓS IMPOSTO SOBRE O LUCRO</v>
      </c>
      <c r="C38" s="463">
        <f>DRE!C25</f>
        <v>145632.88674999989</v>
      </c>
      <c r="D38" s="463">
        <f>DRE!E25</f>
        <v>184903.74800000005</v>
      </c>
      <c r="E38" s="463">
        <f>DRE!H25</f>
        <v>189226.56000000023</v>
      </c>
      <c r="F38" s="463">
        <f>DRE!K25</f>
        <v>80296.186499999923</v>
      </c>
      <c r="G38" s="463">
        <f>DRE!N25</f>
        <v>16370.429400000023</v>
      </c>
      <c r="H38" s="463">
        <f>DRE!Q25</f>
        <v>107754.41824999996</v>
      </c>
    </row>
    <row r="39" spans="1:8" x14ac:dyDescent="0.3">
      <c r="A39" s="6" t="s">
        <v>1593</v>
      </c>
      <c r="B39" s="462" t="str">
        <f>DRE!B25</f>
        <v>(=) RESULTADO APÓS IMPOSTO SOBRE O LUCRO</v>
      </c>
      <c r="C39" s="464">
        <f>IFERROR(C38/C2,0)</f>
        <v>0.12063621893872557</v>
      </c>
      <c r="D39" s="464">
        <f t="shared" ref="D39:H39" si="12">IFERROR(D38/D2,0)</f>
        <v>0.11598338012552099</v>
      </c>
      <c r="E39" s="464">
        <f t="shared" si="12"/>
        <v>0.13113075671230112</v>
      </c>
      <c r="F39" s="464">
        <f t="shared" si="12"/>
        <v>7.2893685492946503E-2</v>
      </c>
      <c r="G39" s="464">
        <f t="shared" si="12"/>
        <v>1.7473146762022669E-2</v>
      </c>
      <c r="H39" s="464">
        <f t="shared" si="12"/>
        <v>7.8447818625247065E-2</v>
      </c>
    </row>
    <row r="41" spans="1:8" x14ac:dyDescent="0.3">
      <c r="A41" s="454" t="s">
        <v>1592</v>
      </c>
      <c r="B41" s="462" t="str">
        <f>DRE!B26</f>
        <v>(-) DESPESAS NÃO OPERACIONAIS</v>
      </c>
      <c r="C41" s="463">
        <f>DRE!C26</f>
        <v>0</v>
      </c>
      <c r="D41" s="463">
        <f>DRE!E26</f>
        <v>0</v>
      </c>
      <c r="E41" s="463">
        <f>DRE!H26</f>
        <v>0</v>
      </c>
      <c r="F41" s="463">
        <f>DRE!K26</f>
        <v>0</v>
      </c>
      <c r="G41" s="463">
        <f>DRE!N26</f>
        <v>0</v>
      </c>
      <c r="H41" s="463">
        <f>DRE!Q26</f>
        <v>0</v>
      </c>
    </row>
    <row r="42" spans="1:8" x14ac:dyDescent="0.3">
      <c r="A42" s="6" t="s">
        <v>1593</v>
      </c>
      <c r="B42" s="462" t="str">
        <f>DRE!B26</f>
        <v>(-) DESPESAS NÃO OPERACIONAIS</v>
      </c>
      <c r="C42" s="464">
        <f>IFERROR(C41/C2,0)</f>
        <v>0</v>
      </c>
      <c r="D42" s="464">
        <f t="shared" ref="D42:H42" si="13">IFERROR(D41/D2,0)</f>
        <v>0</v>
      </c>
      <c r="E42" s="464">
        <f t="shared" si="13"/>
        <v>0</v>
      </c>
      <c r="F42" s="464">
        <f t="shared" si="13"/>
        <v>0</v>
      </c>
      <c r="G42" s="464">
        <f t="shared" si="13"/>
        <v>0</v>
      </c>
      <c r="H42" s="464">
        <f t="shared" si="13"/>
        <v>0</v>
      </c>
    </row>
    <row r="44" spans="1:8" x14ac:dyDescent="0.3">
      <c r="A44" s="454" t="s">
        <v>1592</v>
      </c>
      <c r="B44" s="462" t="str">
        <f>DRE!B27</f>
        <v>(+) RECEITAS NÃO OPERACIONAIS</v>
      </c>
      <c r="C44" s="463">
        <f>DRE!C27</f>
        <v>0</v>
      </c>
      <c r="D44" s="463">
        <f>DRE!E27</f>
        <v>0</v>
      </c>
      <c r="E44" s="463">
        <f>DRE!H27</f>
        <v>0</v>
      </c>
      <c r="F44" s="463">
        <f>DRE!K27</f>
        <v>0</v>
      </c>
      <c r="G44" s="463">
        <f>DRE!N27</f>
        <v>0</v>
      </c>
      <c r="H44" s="463">
        <f>DRE!Q27</f>
        <v>0</v>
      </c>
    </row>
    <row r="45" spans="1:8" x14ac:dyDescent="0.3">
      <c r="A45" s="6" t="s">
        <v>1593</v>
      </c>
      <c r="B45" s="462" t="str">
        <f>DRE!B27</f>
        <v>(+) RECEITAS NÃO OPERACIONAIS</v>
      </c>
      <c r="C45" s="464">
        <f>IFERROR(C44/C2,0)</f>
        <v>0</v>
      </c>
      <c r="D45" s="464">
        <f t="shared" ref="D45:H45" si="14">IFERROR(D44/D2,0)</f>
        <v>0</v>
      </c>
      <c r="E45" s="464">
        <f t="shared" si="14"/>
        <v>0</v>
      </c>
      <c r="F45" s="464">
        <f t="shared" si="14"/>
        <v>0</v>
      </c>
      <c r="G45" s="464">
        <f t="shared" si="14"/>
        <v>0</v>
      </c>
      <c r="H45" s="464">
        <f t="shared" si="14"/>
        <v>0</v>
      </c>
    </row>
    <row r="47" spans="1:8" x14ac:dyDescent="0.3">
      <c r="A47" s="454" t="s">
        <v>1592</v>
      </c>
      <c r="B47" s="462" t="str">
        <f>DRE!B28</f>
        <v>(=) RESULTADO APÓS DESPESAS E RECEITAS NÃO OPERACIONAIS</v>
      </c>
      <c r="C47" s="463">
        <f>DRE!C28</f>
        <v>145632.88674999989</v>
      </c>
      <c r="D47" s="463">
        <f>DRE!E28</f>
        <v>184903.74800000005</v>
      </c>
      <c r="E47" s="463">
        <f>DRE!H28</f>
        <v>189226.56000000023</v>
      </c>
      <c r="F47" s="463">
        <f>DRE!K28</f>
        <v>80296.186499999923</v>
      </c>
      <c r="G47" s="463">
        <f>DRE!N28</f>
        <v>16370.429400000023</v>
      </c>
      <c r="H47" s="463">
        <f>DRE!Q28</f>
        <v>107754.41824999996</v>
      </c>
    </row>
    <row r="48" spans="1:8" x14ac:dyDescent="0.3">
      <c r="A48" s="6" t="s">
        <v>1593</v>
      </c>
      <c r="B48" s="462" t="str">
        <f>DRE!B28</f>
        <v>(=) RESULTADO APÓS DESPESAS E RECEITAS NÃO OPERACIONAIS</v>
      </c>
      <c r="C48" s="464">
        <f>IFERROR(C47/C2,0)</f>
        <v>0.12063621893872557</v>
      </c>
      <c r="D48" s="464">
        <f t="shared" ref="D48:H48" si="15">IFERROR(D47/D2,0)</f>
        <v>0.11598338012552099</v>
      </c>
      <c r="E48" s="464">
        <f t="shared" si="15"/>
        <v>0.13113075671230112</v>
      </c>
      <c r="F48" s="464">
        <f t="shared" si="15"/>
        <v>7.2893685492946503E-2</v>
      </c>
      <c r="G48" s="464">
        <f t="shared" si="15"/>
        <v>1.7473146762022669E-2</v>
      </c>
      <c r="H48" s="464">
        <f t="shared" si="15"/>
        <v>7.8447818625247065E-2</v>
      </c>
    </row>
    <row r="50" spans="1:8" x14ac:dyDescent="0.3">
      <c r="A50" s="454" t="s">
        <v>1592</v>
      </c>
      <c r="B50" s="462" t="str">
        <f>DRE!B29</f>
        <v>(-) INVESTIMENTOS</v>
      </c>
      <c r="C50" s="463">
        <f>DRE!C29</f>
        <v>21070.83</v>
      </c>
      <c r="D50" s="463">
        <f>DRE!E29</f>
        <v>15970.83</v>
      </c>
      <c r="E50" s="463">
        <f>DRE!H29</f>
        <v>16822.599999999999</v>
      </c>
      <c r="F50" s="463">
        <f>DRE!K29</f>
        <v>0</v>
      </c>
      <c r="G50" s="463">
        <f>DRE!N29</f>
        <v>16154.960000000001</v>
      </c>
      <c r="H50" s="463">
        <f>DRE!Q29</f>
        <v>32125.8</v>
      </c>
    </row>
    <row r="51" spans="1:8" x14ac:dyDescent="0.3">
      <c r="A51" s="6" t="s">
        <v>1593</v>
      </c>
      <c r="B51" s="462" t="str">
        <f>DRE!B29</f>
        <v>(-) INVESTIMENTOS</v>
      </c>
      <c r="C51" s="464">
        <f>IFERROR(C50/C2,0)</f>
        <v>1.7454198140453115E-2</v>
      </c>
      <c r="D51" s="464">
        <f t="shared" ref="D51:H51" si="16">IFERROR(D50/D2,0)</f>
        <v>1.001791941399735E-2</v>
      </c>
      <c r="E51" s="464">
        <f t="shared" si="16"/>
        <v>1.1657772925050026E-2</v>
      </c>
      <c r="F51" s="464">
        <f t="shared" si="16"/>
        <v>0</v>
      </c>
      <c r="G51" s="464">
        <f t="shared" si="16"/>
        <v>1.7243163274300269E-2</v>
      </c>
      <c r="H51" s="464">
        <f t="shared" si="16"/>
        <v>2.3388358199325745E-2</v>
      </c>
    </row>
    <row r="53" spans="1:8" x14ac:dyDescent="0.3">
      <c r="A53" s="454" t="s">
        <v>1592</v>
      </c>
      <c r="B53" s="462" t="str">
        <f>DRE!B30</f>
        <v>(-) AMORTIZAÇÕES</v>
      </c>
      <c r="C53" s="463">
        <f>DRE!C30</f>
        <v>11652.6</v>
      </c>
      <c r="D53" s="463">
        <f>DRE!E30</f>
        <v>0</v>
      </c>
      <c r="E53" s="463">
        <f>DRE!H30</f>
        <v>18274</v>
      </c>
      <c r="F53" s="463">
        <f>DRE!K30</f>
        <v>32000</v>
      </c>
      <c r="G53" s="463">
        <f>DRE!N30</f>
        <v>13000</v>
      </c>
      <c r="H53" s="463">
        <f>DRE!Q30</f>
        <v>17747.62</v>
      </c>
    </row>
    <row r="54" spans="1:8" x14ac:dyDescent="0.3">
      <c r="A54" s="6" t="s">
        <v>1593</v>
      </c>
      <c r="B54" s="462" t="str">
        <f>DRE!B30</f>
        <v>(-) AMORTIZAÇÕES</v>
      </c>
      <c r="C54" s="464">
        <f>IFERROR(C53/C2,0)</f>
        <v>9.6525286024064533E-3</v>
      </c>
      <c r="D54" s="464">
        <f t="shared" ref="D54:H54" si="17">IFERROR(D53/D2,0)</f>
        <v>0</v>
      </c>
      <c r="E54" s="464">
        <f t="shared" si="17"/>
        <v>1.2663568201845386E-2</v>
      </c>
      <c r="F54" s="464">
        <f t="shared" si="17"/>
        <v>2.9049921764021637E-2</v>
      </c>
      <c r="G54" s="464">
        <f t="shared" si="17"/>
        <v>1.387568415928628E-2</v>
      </c>
      <c r="H54" s="464">
        <f t="shared" si="17"/>
        <v>1.2920695943619071E-2</v>
      </c>
    </row>
    <row r="56" spans="1:8" x14ac:dyDescent="0.3">
      <c r="A56" s="6" t="s">
        <v>1592</v>
      </c>
      <c r="B56" s="462" t="str">
        <f>DRE!B31</f>
        <v>(=) RESULTADO ANTES DAS DISTRIBUIÇÕES</v>
      </c>
      <c r="C56" s="463">
        <f>DRE!C31</f>
        <v>112909.45674999988</v>
      </c>
      <c r="D56" s="463">
        <f>DRE!E31</f>
        <v>168932.91800000006</v>
      </c>
      <c r="E56" s="463">
        <f>DRE!H31</f>
        <v>154129.96000000022</v>
      </c>
      <c r="F56" s="463">
        <f>DRE!K31</f>
        <v>48296.186499999923</v>
      </c>
      <c r="G56" s="463">
        <f>DRE!N31</f>
        <v>-12784.530599999978</v>
      </c>
      <c r="H56" s="463">
        <f>DRE!Q31</f>
        <v>57880.998249999961</v>
      </c>
    </row>
    <row r="57" spans="1:8" x14ac:dyDescent="0.3">
      <c r="A57" s="6" t="s">
        <v>1593</v>
      </c>
      <c r="B57" s="462" t="str">
        <f>DRE!B31</f>
        <v>(=) RESULTADO ANTES DAS DISTRIBUIÇÕES</v>
      </c>
      <c r="C57" s="464">
        <f>IFERROR(C56/C2,0)</f>
        <v>9.3529492195865996E-2</v>
      </c>
      <c r="D57" s="464">
        <f t="shared" ref="D57:H57" si="18">IFERROR(D56/D2,0)</f>
        <v>0.10596546071152364</v>
      </c>
      <c r="E57" s="464">
        <f t="shared" si="18"/>
        <v>0.10680941558540571</v>
      </c>
      <c r="F57" s="464">
        <f t="shared" si="18"/>
        <v>4.3843763728924873E-2</v>
      </c>
      <c r="G57" s="464">
        <f t="shared" si="18"/>
        <v>-1.3645700671563878E-2</v>
      </c>
      <c r="H57" s="464">
        <f t="shared" si="18"/>
        <v>4.2138764482302249E-2</v>
      </c>
    </row>
    <row r="59" spans="1:8" x14ac:dyDescent="0.3">
      <c r="A59" s="6" t="s">
        <v>1592</v>
      </c>
      <c r="B59" s="462" t="str">
        <f>DRE!B32</f>
        <v>(-) DISTRIBUIÇÃO DE LUCROS &amp; OUTROS</v>
      </c>
      <c r="C59" s="463">
        <f>DRE!C32</f>
        <v>21445.72</v>
      </c>
      <c r="D59" s="463">
        <f>DRE!E32</f>
        <v>2067.41</v>
      </c>
      <c r="E59" s="463">
        <f>DRE!H32</f>
        <v>4407.37</v>
      </c>
      <c r="F59" s="463">
        <f>DRE!K32</f>
        <v>2067.37</v>
      </c>
      <c r="G59" s="463">
        <f>DRE!N32</f>
        <v>2110.7800000000002</v>
      </c>
      <c r="H59" s="463">
        <f>DRE!Q32</f>
        <v>5577.37</v>
      </c>
    </row>
    <row r="60" spans="1:8" x14ac:dyDescent="0.3">
      <c r="A60" s="6" t="s">
        <v>1593</v>
      </c>
      <c r="B60" s="462" t="str">
        <f>DRE!B32</f>
        <v>(-) DISTRIBUIÇÃO DE LUCROS &amp; OUTROS</v>
      </c>
      <c r="C60" s="464">
        <f>IFERROR(C59/C2,0)</f>
        <v>1.776474140528295E-2</v>
      </c>
      <c r="D60" s="464">
        <f t="shared" ref="D60:H60" si="19">IFERROR(D59/D2,0)</f>
        <v>1.2968109218927421E-3</v>
      </c>
      <c r="E60" s="464">
        <f t="shared" si="19"/>
        <v>3.0542317273594887E-3</v>
      </c>
      <c r="F60" s="464">
        <f t="shared" si="19"/>
        <v>1.8767792736651692E-3</v>
      </c>
      <c r="G60" s="464">
        <f t="shared" si="19"/>
        <v>2.2529628161337151E-3</v>
      </c>
      <c r="H60" s="464">
        <f t="shared" si="19"/>
        <v>4.0604600467590976E-3</v>
      </c>
    </row>
    <row r="62" spans="1:8" x14ac:dyDescent="0.3">
      <c r="A62" s="6" t="s">
        <v>1592</v>
      </c>
      <c r="B62" s="462" t="str">
        <f>DRE!B37</f>
        <v>(=) RESULTADO APÓS DISTRIBUIÇÕES</v>
      </c>
      <c r="C62" s="463">
        <f>DRE!C37</f>
        <v>91463.73674999988</v>
      </c>
      <c r="D62" s="463">
        <f>DRE!E37</f>
        <v>166865.50800000006</v>
      </c>
      <c r="E62" s="463">
        <f>DRE!H37</f>
        <v>149722.59000000023</v>
      </c>
      <c r="F62" s="465">
        <f>DRE!K37</f>
        <v>46228.816499999921</v>
      </c>
      <c r="G62" s="465">
        <f>DRE!N37</f>
        <v>-14895.310599999979</v>
      </c>
      <c r="H62" s="465">
        <f>DRE!Q37</f>
        <v>52303.628249999958</v>
      </c>
    </row>
    <row r="63" spans="1:8" x14ac:dyDescent="0.3">
      <c r="A63" s="6" t="s">
        <v>1593</v>
      </c>
      <c r="B63" s="462" t="str">
        <f>DRE!B37</f>
        <v>(=) RESULTADO APÓS DISTRIBUIÇÕES</v>
      </c>
      <c r="C63" s="464">
        <f>IFERROR(C62/C2,0)</f>
        <v>7.5764750790583049E-2</v>
      </c>
      <c r="D63" s="464">
        <f t="shared" ref="D63:H63" si="20">IFERROR(D62/D2,0)</f>
        <v>0.1046686497896309</v>
      </c>
      <c r="E63" s="464">
        <f t="shared" si="20"/>
        <v>0.10375518385804623</v>
      </c>
      <c r="F63" s="464">
        <f t="shared" si="20"/>
        <v>4.1966984455259697E-2</v>
      </c>
      <c r="G63" s="464">
        <f t="shared" si="20"/>
        <v>-1.5898663487697594E-2</v>
      </c>
      <c r="H63" s="464">
        <f t="shared" si="20"/>
        <v>3.807830443554315E-2</v>
      </c>
    </row>
    <row r="65" spans="1:8" x14ac:dyDescent="0.3">
      <c r="A65" s="454" t="s">
        <v>1592</v>
      </c>
      <c r="B65" s="462" t="str">
        <f t="shared" ref="B65:H65" si="21">B117</f>
        <v>Ticket Médio de Venda</v>
      </c>
      <c r="C65" s="463">
        <f t="shared" si="21"/>
        <v>608.7781089258699</v>
      </c>
      <c r="D65" s="463">
        <f t="shared" si="21"/>
        <v>657.14189612530913</v>
      </c>
      <c r="E65" s="463">
        <f t="shared" si="21"/>
        <v>615.89295774647883</v>
      </c>
      <c r="F65" s="463">
        <f t="shared" si="21"/>
        <v>634.90029971181559</v>
      </c>
      <c r="G65" s="463">
        <f t="shared" si="21"/>
        <v>676.94417630057808</v>
      </c>
      <c r="H65" s="463">
        <f t="shared" si="21"/>
        <v>731.79584976025581</v>
      </c>
    </row>
    <row r="67" spans="1:8" x14ac:dyDescent="0.3">
      <c r="A67" s="454" t="s">
        <v>1592</v>
      </c>
      <c r="B67" s="462" t="str">
        <f>DRE!B39</f>
        <v>(=) PONTO DE EQUILÍBRIO GERENCIAL</v>
      </c>
      <c r="C67" s="463">
        <f>DRE!C39</f>
        <v>745292.06267039955</v>
      </c>
      <c r="D67" s="463">
        <f>DRE!E39</f>
        <v>676414.78210617614</v>
      </c>
      <c r="E67" s="463">
        <f>DRE!H39</f>
        <v>717733.54150932608</v>
      </c>
      <c r="F67" s="463">
        <f>DRE!K39</f>
        <v>847276.8228427188</v>
      </c>
      <c r="G67" s="463">
        <f>DRE!N39</f>
        <v>1039581.0066742555</v>
      </c>
      <c r="H67" s="463">
        <f>DRE!Q39</f>
        <v>1081295.0401962739</v>
      </c>
    </row>
    <row r="68" spans="1:8" ht="13.95" customHeight="1" x14ac:dyDescent="0.3">
      <c r="A68" s="6" t="s">
        <v>1593</v>
      </c>
      <c r="B68" s="462" t="s">
        <v>1594</v>
      </c>
      <c r="C68" s="466">
        <f t="shared" ref="C68:H68" si="22">C67/C65</f>
        <v>1224.242547067593</v>
      </c>
      <c r="D68" s="466">
        <f t="shared" si="22"/>
        <v>1029.3283476437971</v>
      </c>
      <c r="E68" s="466">
        <f t="shared" si="22"/>
        <v>1165.3543566003366</v>
      </c>
      <c r="F68" s="466">
        <f t="shared" si="22"/>
        <v>1334.5037374014503</v>
      </c>
      <c r="G68" s="466">
        <f t="shared" si="22"/>
        <v>1535.6968019954702</v>
      </c>
      <c r="H68" s="466">
        <f t="shared" si="22"/>
        <v>1477.5911076163084</v>
      </c>
    </row>
    <row r="70" spans="1:8" x14ac:dyDescent="0.3">
      <c r="A70" s="454" t="s">
        <v>1592</v>
      </c>
      <c r="B70" s="462" t="str">
        <f>DRE!B40</f>
        <v>(=) PONTO DE EQUILÍBRIO OPERACIONAL</v>
      </c>
      <c r="C70" s="463">
        <f>DRE!C40</f>
        <v>471724.19987743004</v>
      </c>
      <c r="D70" s="463">
        <f>DRE!E40</f>
        <v>577198.93126515811</v>
      </c>
      <c r="E70" s="463">
        <f>DRE!H40</f>
        <v>526363.79586235469</v>
      </c>
      <c r="F70" s="463">
        <f>DRE!K40</f>
        <v>659893.97640147235</v>
      </c>
      <c r="G70" s="463">
        <f>DRE!N40</f>
        <v>824030.80670944613</v>
      </c>
      <c r="H70" s="463">
        <f>DRE!Q40</f>
        <v>771422.14258568117</v>
      </c>
    </row>
    <row r="71" spans="1:8" x14ac:dyDescent="0.3">
      <c r="A71" s="6" t="s">
        <v>1593</v>
      </c>
      <c r="B71" s="462" t="s">
        <v>1595</v>
      </c>
      <c r="C71" s="466">
        <f>C70/C65</f>
        <v>774.87050365484026</v>
      </c>
      <c r="D71" s="466">
        <f t="shared" ref="D71:H71" si="23">D70/D65</f>
        <v>878.34748426250565</v>
      </c>
      <c r="E71" s="466">
        <f t="shared" si="23"/>
        <v>854.63519145971918</v>
      </c>
      <c r="F71" s="466">
        <f t="shared" si="23"/>
        <v>1039.3663016083021</v>
      </c>
      <c r="G71" s="466">
        <f t="shared" si="23"/>
        <v>1217.2802951237124</v>
      </c>
      <c r="H71" s="466">
        <f t="shared" si="23"/>
        <v>1054.1493817413796</v>
      </c>
    </row>
    <row r="73" spans="1:8" ht="30" customHeight="1" x14ac:dyDescent="0.3">
      <c r="B73" s="460" t="s">
        <v>1596</v>
      </c>
      <c r="C73" s="461">
        <f t="shared" ref="C73:H73" si="24">C1</f>
        <v>45931</v>
      </c>
      <c r="D73" s="461">
        <f t="shared" si="24"/>
        <v>45962</v>
      </c>
      <c r="E73" s="461">
        <f t="shared" si="24"/>
        <v>45992</v>
      </c>
      <c r="F73" s="461">
        <f t="shared" si="24"/>
        <v>46023</v>
      </c>
      <c r="G73" s="461">
        <f t="shared" si="24"/>
        <v>46054</v>
      </c>
      <c r="H73" s="461">
        <f t="shared" si="24"/>
        <v>46082</v>
      </c>
    </row>
    <row r="74" spans="1:8" x14ac:dyDescent="0.3">
      <c r="A74" s="6" t="s">
        <v>1592</v>
      </c>
      <c r="B74" s="462" t="str">
        <f>DFC!A170</f>
        <v>FLUXO DE CAIXA (ENTRADAS - SAÍDAS)</v>
      </c>
      <c r="C74" s="465">
        <f>DFC!B170</f>
        <v>-22623.920000000158</v>
      </c>
      <c r="D74" s="465">
        <f>DFC!D170</f>
        <v>-52069.949999999721</v>
      </c>
      <c r="E74" s="465">
        <f>DFC!G170</f>
        <v>65393.600000000326</v>
      </c>
      <c r="F74" s="465">
        <f>DFC!J170</f>
        <v>-75586.459999999963</v>
      </c>
      <c r="G74" s="465">
        <f>DFC!M170</f>
        <v>-202048.75999999989</v>
      </c>
      <c r="H74" s="465">
        <f>DFC!P170</f>
        <v>44402.940000000293</v>
      </c>
    </row>
    <row r="76" spans="1:8" x14ac:dyDescent="0.3">
      <c r="A76" s="6" t="s">
        <v>1593</v>
      </c>
      <c r="B76" s="462" t="str">
        <f>DFC!A171</f>
        <v>ENTRADAS NO MÊS</v>
      </c>
      <c r="C76" s="463">
        <f>DFC!B171</f>
        <v>1123115.1399999999</v>
      </c>
      <c r="D76" s="463">
        <f>DFC!D171</f>
        <v>1133990.43</v>
      </c>
      <c r="E76" s="463">
        <f>DFC!G171</f>
        <v>1298393.21</v>
      </c>
      <c r="F76" s="463">
        <f>DFC!J171</f>
        <v>1068022.31</v>
      </c>
      <c r="G76" s="463">
        <f>DFC!M171</f>
        <v>691744.49</v>
      </c>
      <c r="H76" s="463">
        <f>DFC!P171</f>
        <v>1036116.52</v>
      </c>
    </row>
    <row r="77" spans="1:8" x14ac:dyDescent="0.3">
      <c r="A77" s="6" t="s">
        <v>1593</v>
      </c>
      <c r="B77" s="462" t="str">
        <f>DFC!A172</f>
        <v>SAÍDAS NO MÊS</v>
      </c>
      <c r="C77" s="463">
        <f>-DFC!B172</f>
        <v>-1145739.06</v>
      </c>
      <c r="D77" s="463">
        <f>-DFC!D172</f>
        <v>-1186060.3799999997</v>
      </c>
      <c r="E77" s="463">
        <f>-DFC!G172</f>
        <v>-1232999.6099999996</v>
      </c>
      <c r="F77" s="463">
        <f>-DFC!J172</f>
        <v>-1143608.77</v>
      </c>
      <c r="G77" s="463">
        <f>-DFC!M172</f>
        <v>-893793.24999999988</v>
      </c>
      <c r="H77" s="463">
        <f>-DFC!P172</f>
        <v>-991713.57999999973</v>
      </c>
    </row>
    <row r="79" spans="1:8" ht="30" customHeight="1" x14ac:dyDescent="0.3">
      <c r="B79" s="460" t="s">
        <v>1597</v>
      </c>
      <c r="C79" s="461">
        <f t="shared" ref="C79:H79" si="25">C1</f>
        <v>45931</v>
      </c>
      <c r="D79" s="461">
        <f t="shared" si="25"/>
        <v>45962</v>
      </c>
      <c r="E79" s="461">
        <f t="shared" si="25"/>
        <v>45992</v>
      </c>
      <c r="F79" s="461">
        <f t="shared" si="25"/>
        <v>46023</v>
      </c>
      <c r="G79" s="461">
        <f t="shared" si="25"/>
        <v>46054</v>
      </c>
      <c r="H79" s="461">
        <f t="shared" si="25"/>
        <v>46082</v>
      </c>
    </row>
    <row r="80" spans="1:8" x14ac:dyDescent="0.3">
      <c r="A80" s="454" t="s">
        <v>1592</v>
      </c>
      <c r="B80" s="462" t="str">
        <f>B2</f>
        <v>(+) FATURAMENTO BRUTO</v>
      </c>
      <c r="C80" s="465">
        <f t="shared" ref="C80:H80" si="26">C2</f>
        <v>1207206.99</v>
      </c>
      <c r="D80" s="465">
        <f t="shared" si="26"/>
        <v>1594226.24</v>
      </c>
      <c r="E80" s="465">
        <f t="shared" si="26"/>
        <v>1443037.2</v>
      </c>
      <c r="F80" s="465">
        <f t="shared" si="26"/>
        <v>1101552.02</v>
      </c>
      <c r="G80" s="465">
        <f t="shared" si="26"/>
        <v>936890.74</v>
      </c>
      <c r="H80" s="465">
        <f t="shared" si="26"/>
        <v>1373580.81</v>
      </c>
    </row>
    <row r="81" spans="1:8" x14ac:dyDescent="0.3">
      <c r="A81" s="454" t="s">
        <v>1592</v>
      </c>
      <c r="B81" s="462" t="str">
        <f t="shared" ref="B81:H81" si="27">B76</f>
        <v>ENTRADAS NO MÊS</v>
      </c>
      <c r="C81" s="465">
        <f t="shared" si="27"/>
        <v>1123115.1399999999</v>
      </c>
      <c r="D81" s="465">
        <f t="shared" si="27"/>
        <v>1133990.43</v>
      </c>
      <c r="E81" s="465">
        <f t="shared" si="27"/>
        <v>1298393.21</v>
      </c>
      <c r="F81" s="465">
        <f t="shared" si="27"/>
        <v>1068022.31</v>
      </c>
      <c r="G81" s="465">
        <f t="shared" si="27"/>
        <v>691744.49</v>
      </c>
      <c r="H81" s="465">
        <f t="shared" si="27"/>
        <v>1036116.52</v>
      </c>
    </row>
    <row r="82" spans="1:8" x14ac:dyDescent="0.3">
      <c r="A82" s="6" t="s">
        <v>1593</v>
      </c>
      <c r="B82" s="462" t="s">
        <v>1598</v>
      </c>
      <c r="C82" s="467">
        <f>C81/C80</f>
        <v>0.93034181321299336</v>
      </c>
      <c r="D82" s="467">
        <f t="shared" ref="D82:H82" si="28">D81/D80</f>
        <v>0.71131085510171999</v>
      </c>
      <c r="E82" s="467">
        <f t="shared" si="28"/>
        <v>0.89976419873306113</v>
      </c>
      <c r="F82" s="467">
        <f t="shared" si="28"/>
        <v>0.96956139211655212</v>
      </c>
      <c r="G82" s="467">
        <f t="shared" si="28"/>
        <v>0.73834062016665891</v>
      </c>
      <c r="H82" s="467">
        <f t="shared" si="28"/>
        <v>0.75431784752438413</v>
      </c>
    </row>
    <row r="84" spans="1:8" ht="30" customHeight="1" x14ac:dyDescent="0.3">
      <c r="B84" s="460" t="s">
        <v>1599</v>
      </c>
      <c r="C84" s="461">
        <f>C1</f>
        <v>45931</v>
      </c>
      <c r="D84" s="461">
        <f t="shared" ref="D84:H84" si="29">D1</f>
        <v>45962</v>
      </c>
      <c r="E84" s="461">
        <f t="shared" si="29"/>
        <v>45992</v>
      </c>
      <c r="F84" s="461">
        <f t="shared" si="29"/>
        <v>46023</v>
      </c>
      <c r="G84" s="461">
        <f t="shared" si="29"/>
        <v>46054</v>
      </c>
      <c r="H84" s="461">
        <f t="shared" si="29"/>
        <v>46082</v>
      </c>
    </row>
    <row r="85" spans="1:8" x14ac:dyDescent="0.3">
      <c r="A85" s="454" t="s">
        <v>1592</v>
      </c>
      <c r="B85" s="462" t="s">
        <v>1600</v>
      </c>
      <c r="C85" s="468">
        <f>CPV!B12</f>
        <v>1983</v>
      </c>
      <c r="D85" s="468">
        <f>CPV!E12</f>
        <v>2426</v>
      </c>
      <c r="E85" s="468">
        <f>CPV!H12</f>
        <v>2343</v>
      </c>
      <c r="F85" s="468">
        <f>CPV!K12</f>
        <v>1735</v>
      </c>
      <c r="G85" s="468">
        <f>CPV!N12</f>
        <v>1384</v>
      </c>
      <c r="H85" s="468">
        <f>CPV!Q12</f>
        <v>1877</v>
      </c>
    </row>
    <row r="87" spans="1:8" x14ac:dyDescent="0.3">
      <c r="A87" s="454" t="s">
        <v>1592</v>
      </c>
      <c r="B87" s="462" t="s">
        <v>1601</v>
      </c>
      <c r="C87" s="473">
        <f>CPV!C12</f>
        <v>356.82991427130605</v>
      </c>
      <c r="D87" s="473">
        <f>CPV!F12</f>
        <v>411.63446001648805</v>
      </c>
      <c r="E87" s="473">
        <f>CPV!I12</f>
        <v>366.01485702091327</v>
      </c>
      <c r="F87" s="473">
        <f>CPV!L12</f>
        <v>384.77038616714697</v>
      </c>
      <c r="G87" s="473">
        <f>CPV!O12</f>
        <v>417.58359104046247</v>
      </c>
      <c r="H87" s="473">
        <f>CPV!P12</f>
        <v>577935.69000000006</v>
      </c>
    </row>
    <row r="89" spans="1:8" x14ac:dyDescent="0.3">
      <c r="A89" s="454" t="s">
        <v>1592</v>
      </c>
      <c r="B89" s="462" t="s">
        <v>1602</v>
      </c>
      <c r="C89" s="473">
        <f>CPV!D12</f>
        <v>707593.71999999986</v>
      </c>
      <c r="D89" s="473">
        <f>CPV!G12</f>
        <v>998625.2</v>
      </c>
      <c r="E89" s="473">
        <f>CPV!J12</f>
        <v>857572.80999999982</v>
      </c>
      <c r="F89" s="473">
        <f>CPV!M12</f>
        <v>667576.62</v>
      </c>
      <c r="G89" s="473">
        <f>CPV!P12</f>
        <v>577935.69000000006</v>
      </c>
      <c r="H89" s="473">
        <f>CPV!S12</f>
        <v>817037.4600000002</v>
      </c>
    </row>
    <row r="91" spans="1:8" ht="30" customHeight="1" x14ac:dyDescent="0.3">
      <c r="B91" s="460" t="s">
        <v>1603</v>
      </c>
      <c r="C91" s="461">
        <f t="shared" ref="C91:H91" si="30">C1</f>
        <v>45931</v>
      </c>
      <c r="D91" s="461">
        <f t="shared" si="30"/>
        <v>45962</v>
      </c>
      <c r="E91" s="461">
        <f t="shared" si="30"/>
        <v>45992</v>
      </c>
      <c r="F91" s="461">
        <f t="shared" si="30"/>
        <v>46023</v>
      </c>
      <c r="G91" s="461">
        <f t="shared" si="30"/>
        <v>46054</v>
      </c>
      <c r="H91" s="461">
        <f t="shared" si="30"/>
        <v>46082</v>
      </c>
    </row>
    <row r="92" spans="1:8" x14ac:dyDescent="0.3">
      <c r="A92" s="454" t="s">
        <v>1592</v>
      </c>
      <c r="B92" s="462" t="str">
        <f>'BALANÇO PATRIMONIAL'!B3</f>
        <v>(+) Estoque Geral Preço de Custo</v>
      </c>
      <c r="C92" s="469">
        <f>'BALANÇO PATRIMONIAL'!C3</f>
        <v>1870693.04</v>
      </c>
      <c r="D92" s="469">
        <f>'BALANÇO PATRIMONIAL'!E3</f>
        <v>1047609.13</v>
      </c>
      <c r="E92" s="469">
        <f>'BALANÇO PATRIMONIAL'!G3</f>
        <v>989532.32</v>
      </c>
      <c r="F92" s="469">
        <f>'BALANÇO PATRIMONIAL'!I3</f>
        <v>1484653.61</v>
      </c>
      <c r="G92" s="469">
        <f>'BALANÇO PATRIMONIAL'!K3</f>
        <v>1039728.7999999999</v>
      </c>
      <c r="H92" s="469">
        <f>'BALANÇO PATRIMONIAL'!M3</f>
        <v>625302.88999999978</v>
      </c>
    </row>
    <row r="93" spans="1:8" x14ac:dyDescent="0.3">
      <c r="A93" s="6"/>
      <c r="B93" s="462" t="str">
        <f>'BALANÇO PATRIMONIAL'!B4</f>
        <v xml:space="preserve">        Estoque de Peças</v>
      </c>
      <c r="C93" s="469">
        <f>'BALANÇO PATRIMONIAL'!C4</f>
        <v>1756895.02</v>
      </c>
      <c r="D93" s="469">
        <f>'BALANÇO PATRIMONIAL'!E4</f>
        <v>891913.41</v>
      </c>
      <c r="E93" s="469">
        <f>'BALANÇO PATRIMONIAL'!G4</f>
        <v>913788.12</v>
      </c>
      <c r="F93" s="469">
        <f>'BALANÇO PATRIMONIAL'!I4</f>
        <v>1254013.02</v>
      </c>
      <c r="G93" s="469">
        <f>'BALANÇO PATRIMONIAL'!K4</f>
        <v>698765.15999999992</v>
      </c>
      <c r="H93" s="469">
        <f>'BALANÇO PATRIMONIAL'!M4</f>
        <v>547363.7899999998</v>
      </c>
    </row>
    <row r="94" spans="1:8" x14ac:dyDescent="0.3">
      <c r="A94" s="6"/>
      <c r="B94" s="462" t="str">
        <f>'BALANÇO PATRIMONIAL'!B5</f>
        <v xml:space="preserve">        Estoque de P.A.</v>
      </c>
      <c r="C94" s="469">
        <f>'BALANÇO PATRIMONIAL'!C5</f>
        <v>102845</v>
      </c>
      <c r="D94" s="469">
        <f>'BALANÇO PATRIMONIAL'!E5</f>
        <v>7675</v>
      </c>
      <c r="E94" s="469">
        <f>'BALANÇO PATRIMONIAL'!G5</f>
        <v>0</v>
      </c>
      <c r="F94" s="469">
        <f>'BALANÇO PATRIMONIAL'!I5</f>
        <v>0</v>
      </c>
      <c r="G94" s="469">
        <f>'BALANÇO PATRIMONIAL'!K5</f>
        <v>186710.04</v>
      </c>
      <c r="H94" s="469">
        <f>'BALANÇO PATRIMONIAL'!M5</f>
        <v>0</v>
      </c>
    </row>
    <row r="95" spans="1:8" x14ac:dyDescent="0.3">
      <c r="A95" s="6"/>
      <c r="B95" s="462" t="str">
        <f>'BALANÇO PATRIMONIAL'!B6</f>
        <v xml:space="preserve">        Estoque de P.A. no Full</v>
      </c>
      <c r="C95" s="469">
        <f>'BALANÇO PATRIMONIAL'!C6</f>
        <v>10953.02</v>
      </c>
      <c r="D95" s="469">
        <f>'BALANÇO PATRIMONIAL'!E6</f>
        <v>148020.71999999997</v>
      </c>
      <c r="E95" s="469">
        <f>'BALANÇO PATRIMONIAL'!G6</f>
        <v>75744.2</v>
      </c>
      <c r="F95" s="469">
        <f>'BALANÇO PATRIMONIAL'!I6</f>
        <v>230640.59</v>
      </c>
      <c r="G95" s="469">
        <f>'BALANÇO PATRIMONIAL'!K6</f>
        <v>154253.6</v>
      </c>
      <c r="H95" s="469">
        <f>'BALANÇO PATRIMONIAL'!M6</f>
        <v>77939.100000000006</v>
      </c>
    </row>
    <row r="96" spans="1:8" x14ac:dyDescent="0.3">
      <c r="A96" s="6"/>
      <c r="B96" s="462"/>
      <c r="C96" s="469"/>
      <c r="D96" s="469"/>
      <c r="E96" s="469"/>
      <c r="F96" s="469"/>
      <c r="G96" s="469"/>
      <c r="H96" s="469"/>
    </row>
    <row r="97" spans="1:8" x14ac:dyDescent="0.3">
      <c r="A97" s="454" t="s">
        <v>1592</v>
      </c>
      <c r="B97" s="462" t="str">
        <f>'BALANÇO PATRIMONIAL'!B7</f>
        <v>(+) Disponibilidades</v>
      </c>
      <c r="C97" s="469">
        <f>'BALANÇO PATRIMONIAL'!C7</f>
        <v>60840.68</v>
      </c>
      <c r="D97" s="469">
        <f>'BALANÇO PATRIMONIAL'!E7</f>
        <v>-73229.27</v>
      </c>
      <c r="E97" s="469">
        <f>'BALANÇO PATRIMONIAL'!G7</f>
        <v>-87725.67</v>
      </c>
      <c r="F97" s="469">
        <f>'BALANÇO PATRIMONIAL'!I7</f>
        <v>-288353.43</v>
      </c>
      <c r="G97" s="469">
        <f>'BALANÇO PATRIMONIAL'!K7</f>
        <v>-488530.17000000004</v>
      </c>
      <c r="H97" s="469">
        <f>'BALANÇO PATRIMONIAL'!M7</f>
        <v>-445252.05</v>
      </c>
    </row>
    <row r="98" spans="1:8" x14ac:dyDescent="0.3">
      <c r="B98" s="462" t="str">
        <f>'BALANÇO PATRIMONIAL'!B8</f>
        <v xml:space="preserve">        Caixinha</v>
      </c>
      <c r="C98" s="469">
        <f>'BALANÇO PATRIMONIAL'!C8</f>
        <v>0</v>
      </c>
      <c r="D98" s="469">
        <f>'BALANÇO PATRIMONIAL'!E8</f>
        <v>0</v>
      </c>
      <c r="E98" s="469">
        <f>'BALANÇO PATRIMONIAL'!G8</f>
        <v>0</v>
      </c>
      <c r="F98" s="469">
        <f>'BALANÇO PATRIMONIAL'!I8</f>
        <v>0</v>
      </c>
      <c r="G98" s="469">
        <f>'BALANÇO PATRIMONIAL'!K8</f>
        <v>0</v>
      </c>
      <c r="H98" s="469">
        <f>'BALANÇO PATRIMONIAL'!M8</f>
        <v>0</v>
      </c>
    </row>
    <row r="99" spans="1:8" x14ac:dyDescent="0.3">
      <c r="B99" s="462" t="str">
        <f>'BALANÇO PATRIMONIAL'!B9</f>
        <v xml:space="preserve">        Bradesco</v>
      </c>
      <c r="C99" s="469">
        <f>'BALANÇO PATRIMONIAL'!C9</f>
        <v>0</v>
      </c>
      <c r="D99" s="469">
        <f>'BALANÇO PATRIMONIAL'!E9</f>
        <v>0</v>
      </c>
      <c r="E99" s="469">
        <f>'BALANÇO PATRIMONIAL'!G9</f>
        <v>0</v>
      </c>
      <c r="F99" s="469">
        <f>'BALANÇO PATRIMONIAL'!I9</f>
        <v>0</v>
      </c>
      <c r="G99" s="469">
        <f>'BALANÇO PATRIMONIAL'!K9</f>
        <v>-199580</v>
      </c>
      <c r="H99" s="469">
        <f>'BALANÇO PATRIMONIAL'!M9</f>
        <v>-199580</v>
      </c>
    </row>
    <row r="100" spans="1:8" x14ac:dyDescent="0.3">
      <c r="B100" s="462" t="str">
        <f>'BALANÇO PATRIMONIAL'!B10</f>
        <v xml:space="preserve">        Sicredi agência 0723 c/c 70.636-3</v>
      </c>
      <c r="C100" s="469">
        <f>'BALANÇO PATRIMONIAL'!C10</f>
        <v>60840.68</v>
      </c>
      <c r="D100" s="469">
        <f>'BALANÇO PATRIMONIAL'!E10</f>
        <v>8770.73</v>
      </c>
      <c r="E100" s="469">
        <f>'BALANÇO PATRIMONIAL'!G10</f>
        <v>74164.33</v>
      </c>
      <c r="F100" s="469">
        <f>'BALANÇO PATRIMONIAL'!I10</f>
        <v>-1463.43</v>
      </c>
      <c r="G100" s="469">
        <f>'BALANÇO PATRIMONIAL'!K10</f>
        <v>-2060.17</v>
      </c>
      <c r="H100" s="469">
        <f>'BALANÇO PATRIMONIAL'!M10</f>
        <v>41217.949999999997</v>
      </c>
    </row>
    <row r="101" spans="1:8" x14ac:dyDescent="0.3">
      <c r="B101" s="462" t="str">
        <f>'BALANÇO PATRIMONIAL'!B11</f>
        <v xml:space="preserve">        Empréstimo Adonai</v>
      </c>
      <c r="C101" s="469">
        <f>'BALANÇO PATRIMONIAL'!C11</f>
        <v>0</v>
      </c>
      <c r="D101" s="469">
        <f>'BALANÇO PATRIMONIAL'!E11</f>
        <v>-82000</v>
      </c>
      <c r="E101" s="469">
        <f>'BALANÇO PATRIMONIAL'!G11</f>
        <v>-161890</v>
      </c>
      <c r="F101" s="469">
        <f>'BALANÇO PATRIMONIAL'!I11</f>
        <v>-226890</v>
      </c>
      <c r="G101" s="469">
        <f>'BALANÇO PATRIMONIAL'!K11</f>
        <v>-226890</v>
      </c>
      <c r="H101" s="469">
        <f>'BALANÇO PATRIMONIAL'!M11</f>
        <v>-226890</v>
      </c>
    </row>
    <row r="102" spans="1:8" x14ac:dyDescent="0.3">
      <c r="B102" s="462" t="str">
        <f>'BALANÇO PATRIMONIAL'!B12</f>
        <v xml:space="preserve">        Empréstimo Feedstock</v>
      </c>
      <c r="C102" s="469">
        <f>'BALANÇO PATRIMONIAL'!C12</f>
        <v>0</v>
      </c>
      <c r="D102" s="469">
        <f>'BALANÇO PATRIMONIAL'!E12</f>
        <v>0</v>
      </c>
      <c r="E102" s="469">
        <f>'BALANÇO PATRIMONIAL'!G12</f>
        <v>0</v>
      </c>
      <c r="F102" s="469">
        <f>'BALANÇO PATRIMONIAL'!I12</f>
        <v>-60000</v>
      </c>
      <c r="G102" s="469">
        <f>'BALANÇO PATRIMONIAL'!K12</f>
        <v>-60000</v>
      </c>
      <c r="H102" s="469">
        <f>'BALANÇO PATRIMONIAL'!M12</f>
        <v>-60000</v>
      </c>
    </row>
    <row r="104" spans="1:8" x14ac:dyDescent="0.3">
      <c r="A104" s="454" t="s">
        <v>1592</v>
      </c>
      <c r="B104" s="462" t="str">
        <f>'BALANÇO PATRIMONIAL'!B13</f>
        <v>(+) Contas a Receber</v>
      </c>
      <c r="C104" s="469">
        <f>'BALANÇO PATRIMONIAL'!C13</f>
        <v>176774.24</v>
      </c>
      <c r="D104" s="469">
        <f>'BALANÇO PATRIMONIAL'!E13</f>
        <v>585872.25</v>
      </c>
      <c r="E104" s="469">
        <f>'BALANÇO PATRIMONIAL'!G13</f>
        <v>602832.77</v>
      </c>
      <c r="F104" s="469">
        <f>'BALANÇO PATRIMONIAL'!I13</f>
        <v>201831.94</v>
      </c>
      <c r="G104" s="469">
        <f>'BALANÇO PATRIMONIAL'!K13</f>
        <v>400000</v>
      </c>
      <c r="H104" s="469">
        <f>'BALANÇO PATRIMONIAL'!M13</f>
        <v>500000</v>
      </c>
    </row>
    <row r="105" spans="1:8" x14ac:dyDescent="0.3">
      <c r="B105" s="462" t="str">
        <f>'BALANÇO PATRIMONIAL'!B14</f>
        <v xml:space="preserve">        Contas a Receber em Atraso</v>
      </c>
      <c r="C105" s="469">
        <f>'BALANÇO PATRIMONIAL'!C14</f>
        <v>0</v>
      </c>
      <c r="D105" s="469">
        <f>'BALANÇO PATRIMONIAL'!E14</f>
        <v>0</v>
      </c>
      <c r="E105" s="469">
        <f>'BALANÇO PATRIMONIAL'!G14</f>
        <v>0</v>
      </c>
      <c r="F105" s="469">
        <f>'BALANÇO PATRIMONIAL'!I14</f>
        <v>0</v>
      </c>
      <c r="G105" s="469">
        <f>'BALANÇO PATRIMONIAL'!K14</f>
        <v>0</v>
      </c>
      <c r="H105" s="469">
        <f>'BALANÇO PATRIMONIAL'!M14</f>
        <v>0</v>
      </c>
    </row>
    <row r="106" spans="1:8" x14ac:dyDescent="0.3">
      <c r="B106" s="462" t="str">
        <f>'BALANÇO PATRIMONIAL'!B15</f>
        <v xml:space="preserve">        Contas a Receber a Vencer</v>
      </c>
      <c r="C106" s="469">
        <f>'BALANÇO PATRIMONIAL'!C15</f>
        <v>176774.24</v>
      </c>
      <c r="D106" s="469">
        <f>'BALANÇO PATRIMONIAL'!E15</f>
        <v>585872.25</v>
      </c>
      <c r="E106" s="469">
        <f>'BALANÇO PATRIMONIAL'!G15</f>
        <v>602832.77</v>
      </c>
      <c r="F106" s="469">
        <f>'BALANÇO PATRIMONIAL'!I15</f>
        <v>201831.94</v>
      </c>
      <c r="G106" s="469">
        <f>'BALANÇO PATRIMONIAL'!K15</f>
        <v>400000</v>
      </c>
      <c r="H106" s="469">
        <f>'BALANÇO PATRIMONIAL'!M15</f>
        <v>500000</v>
      </c>
    </row>
    <row r="108" spans="1:8" x14ac:dyDescent="0.3">
      <c r="A108" s="454" t="s">
        <v>1592</v>
      </c>
      <c r="B108" s="462" t="str">
        <f>'BALANÇO PATRIMONIAL'!B16</f>
        <v>(=) Total de Ativos</v>
      </c>
      <c r="C108" s="469">
        <f>'BALANÇO PATRIMONIAL'!C16</f>
        <v>2108307.96</v>
      </c>
      <c r="D108" s="469">
        <f>'BALANÇO PATRIMONIAL'!E16</f>
        <v>1560252.1099999999</v>
      </c>
      <c r="E108" s="469">
        <f>'BALANÇO PATRIMONIAL'!G16</f>
        <v>1504639.42</v>
      </c>
      <c r="F108" s="469">
        <f>'BALANÇO PATRIMONIAL'!I16</f>
        <v>1398132.12</v>
      </c>
      <c r="G108" s="469">
        <f>'BALANÇO PATRIMONIAL'!K16</f>
        <v>951198.62999999989</v>
      </c>
      <c r="H108" s="469">
        <f>'BALANÇO PATRIMONIAL'!M16</f>
        <v>680050.83999999985</v>
      </c>
    </row>
    <row r="110" spans="1:8" x14ac:dyDescent="0.3">
      <c r="A110" s="454" t="s">
        <v>1592</v>
      </c>
      <c r="B110" s="462" t="str">
        <f>'BALANÇO PATRIMONIAL'!B17</f>
        <v>(-) Contas a Pagar DDA</v>
      </c>
      <c r="C110" s="469">
        <f>'BALANÇO PATRIMONIAL'!C17</f>
        <v>2460338.56</v>
      </c>
      <c r="D110" s="469">
        <f>'BALANÇO PATRIMONIAL'!E17</f>
        <v>1688812.35</v>
      </c>
      <c r="E110" s="469">
        <f>'BALANÇO PATRIMONIAL'!G17</f>
        <v>1513014.68</v>
      </c>
      <c r="F110" s="469">
        <f>'BALANÇO PATRIMONIAL'!I17</f>
        <v>1410399.34</v>
      </c>
      <c r="G110" s="469">
        <f>'BALANÇO PATRIMONIAL'!K17</f>
        <v>1030284.4999999999</v>
      </c>
      <c r="H110" s="469">
        <f>'BALANÇO PATRIMONIAL'!M17</f>
        <v>708938.67</v>
      </c>
    </row>
    <row r="112" spans="1:8" x14ac:dyDescent="0.3">
      <c r="A112" s="454" t="s">
        <v>1592</v>
      </c>
      <c r="B112" s="462" t="str">
        <f>'BALANÇO PATRIMONIAL'!B18</f>
        <v>(=) Saldo Patrimonial</v>
      </c>
      <c r="C112" s="469">
        <f>'BALANÇO PATRIMONIAL'!C18</f>
        <v>-352030.60000000009</v>
      </c>
      <c r="D112" s="469">
        <f>'BALANÇO PATRIMONIAL'!E18</f>
        <v>-128560.24000000022</v>
      </c>
      <c r="E112" s="469">
        <f>'BALANÇO PATRIMONIAL'!G18</f>
        <v>-8375.2600000000093</v>
      </c>
      <c r="F112" s="469">
        <f>'BALANÇO PATRIMONIAL'!I18</f>
        <v>-12267.219999999972</v>
      </c>
      <c r="G112" s="469">
        <f>'BALANÇO PATRIMONIAL'!K18</f>
        <v>-79085.87</v>
      </c>
      <c r="H112" s="469">
        <f>'BALANÇO PATRIMONIAL'!M18</f>
        <v>-28887.830000000191</v>
      </c>
    </row>
    <row r="114" spans="1:9" ht="30" customHeight="1" x14ac:dyDescent="0.3">
      <c r="B114" s="460" t="s">
        <v>1604</v>
      </c>
      <c r="C114" s="461">
        <f>C1</f>
        <v>45931</v>
      </c>
      <c r="D114" s="461">
        <f t="shared" ref="D114:H114" si="31">D1</f>
        <v>45962</v>
      </c>
      <c r="E114" s="461">
        <f t="shared" si="31"/>
        <v>45992</v>
      </c>
      <c r="F114" s="461">
        <f t="shared" si="31"/>
        <v>46023</v>
      </c>
      <c r="G114" s="461">
        <f t="shared" si="31"/>
        <v>46054</v>
      </c>
      <c r="H114" s="461">
        <f t="shared" si="31"/>
        <v>46082</v>
      </c>
    </row>
    <row r="115" spans="1:9" ht="14.4" customHeight="1" x14ac:dyDescent="0.3">
      <c r="A115" s="454" t="s">
        <v>1592</v>
      </c>
      <c r="B115" s="462" t="str">
        <f>'BALANÇO PATRIMONIAL'!B20</f>
        <v>Variação das Disponibilidades</v>
      </c>
      <c r="C115" s="470">
        <f>'BALANÇO PATRIMONIAL'!C20</f>
        <v>0</v>
      </c>
      <c r="D115" s="470">
        <f>'BALANÇO PATRIMONIAL'!E20</f>
        <v>-134069.95000000001</v>
      </c>
      <c r="E115" s="470">
        <f>'BALANÇO PATRIMONIAL'!G20</f>
        <v>-14496.399999999994</v>
      </c>
      <c r="F115" s="470">
        <f>'BALANÇO PATRIMONIAL'!I20</f>
        <v>-200627.76</v>
      </c>
      <c r="G115" s="470">
        <f>'BALANÇO PATRIMONIAL'!K20</f>
        <v>-200176.74000000005</v>
      </c>
      <c r="H115" s="470">
        <f>'BALANÇO PATRIMONIAL'!M20</f>
        <v>43278.120000000054</v>
      </c>
    </row>
    <row r="117" spans="1:9" x14ac:dyDescent="0.3">
      <c r="A117" s="454" t="s">
        <v>1592</v>
      </c>
      <c r="B117" s="462" t="s">
        <v>1605</v>
      </c>
      <c r="C117" s="469">
        <f>DRE!C3/C85</f>
        <v>608.7781089258699</v>
      </c>
      <c r="D117" s="469">
        <f>DRE!E3/D85</f>
        <v>657.14189612530913</v>
      </c>
      <c r="E117" s="469">
        <f>DRE!H3/E85</f>
        <v>615.89295774647883</v>
      </c>
      <c r="F117" s="469">
        <f>DRE!K3/F85</f>
        <v>634.90029971181559</v>
      </c>
      <c r="G117" s="469">
        <f>DRE!N3/G85</f>
        <v>676.94417630057808</v>
      </c>
      <c r="H117" s="469">
        <f>DRE!Q3/H85</f>
        <v>731.79584976025581</v>
      </c>
    </row>
    <row r="119" spans="1:9" x14ac:dyDescent="0.3">
      <c r="A119" s="454" t="s">
        <v>1592</v>
      </c>
      <c r="B119" s="462" t="s">
        <v>1606</v>
      </c>
      <c r="C119" s="469">
        <f>C129/C85</f>
        <v>356.82991427130611</v>
      </c>
      <c r="D119" s="469">
        <f>D129/E85</f>
        <v>426.216474605207</v>
      </c>
      <c r="E119" s="469">
        <f>E129/D85</f>
        <v>353.49250206100572</v>
      </c>
      <c r="F119" s="469">
        <f>F129/F85</f>
        <v>384.77038616714697</v>
      </c>
      <c r="G119" s="469">
        <f>G129/G85</f>
        <v>417.58359104046247</v>
      </c>
      <c r="H119" s="469">
        <f>H129/H85</f>
        <v>435.28900372935544</v>
      </c>
      <c r="I119" s="230"/>
    </row>
    <row r="121" spans="1:9" x14ac:dyDescent="0.3">
      <c r="A121" s="454" t="s">
        <v>1592</v>
      </c>
      <c r="B121" s="462" t="s">
        <v>1607</v>
      </c>
      <c r="C121" s="469">
        <f t="shared" ref="C121:H121" si="32">C117/C119</f>
        <v>1.7060736350232164</v>
      </c>
      <c r="D121" s="469">
        <f t="shared" si="32"/>
        <v>1.5418031335696307</v>
      </c>
      <c r="E121" s="469">
        <f t="shared" si="32"/>
        <v>1.7423084058518108</v>
      </c>
      <c r="F121" s="469">
        <f t="shared" si="32"/>
        <v>1.6500757920491584</v>
      </c>
      <c r="G121" s="469">
        <f t="shared" si="32"/>
        <v>1.6210986035487789</v>
      </c>
      <c r="H121" s="469">
        <f t="shared" si="32"/>
        <v>1.6811723785589952</v>
      </c>
    </row>
    <row r="123" spans="1:9" x14ac:dyDescent="0.3">
      <c r="A123" s="6" t="s">
        <v>1593</v>
      </c>
      <c r="B123" s="462" t="str">
        <f>'BALANÇO PATRIMONIAL'!B59</f>
        <v>Número de Funcionários</v>
      </c>
      <c r="C123" s="471">
        <f>'BALANÇO PATRIMONIAL'!C59</f>
        <v>13</v>
      </c>
      <c r="D123" s="471">
        <f>'BALANÇO PATRIMONIAL'!E59</f>
        <v>14</v>
      </c>
      <c r="E123" s="471">
        <f>'BALANÇO PATRIMONIAL'!G59</f>
        <v>14</v>
      </c>
      <c r="F123" s="471">
        <f>'BALANÇO PATRIMONIAL'!I59</f>
        <v>12</v>
      </c>
      <c r="G123" s="471">
        <f>'BALANÇO PATRIMONIAL'!K59</f>
        <v>13</v>
      </c>
      <c r="H123" s="471">
        <f>'BALANÇO PATRIMONIAL'!M59</f>
        <v>14</v>
      </c>
    </row>
    <row r="124" spans="1:9" x14ac:dyDescent="0.3">
      <c r="A124" s="454" t="s">
        <v>1592</v>
      </c>
      <c r="B124" s="462" t="s">
        <v>1608</v>
      </c>
      <c r="C124" s="463">
        <f t="shared" ref="C124:H124" si="33">C2/C123</f>
        <v>92862.076153846152</v>
      </c>
      <c r="D124" s="463">
        <f t="shared" si="33"/>
        <v>113873.30285714286</v>
      </c>
      <c r="E124" s="463">
        <f t="shared" si="33"/>
        <v>103074.08571428571</v>
      </c>
      <c r="F124" s="463">
        <f t="shared" si="33"/>
        <v>91796.001666666663</v>
      </c>
      <c r="G124" s="463">
        <f t="shared" si="33"/>
        <v>72068.518461538464</v>
      </c>
      <c r="H124" s="463">
        <f t="shared" si="33"/>
        <v>98112.915000000008</v>
      </c>
    </row>
    <row r="126" spans="1:9" x14ac:dyDescent="0.3">
      <c r="A126" s="454" t="s">
        <v>1592</v>
      </c>
      <c r="B126" s="462" t="str">
        <f>'BALANÇO PATRIMONIAL'!B40</f>
        <v>Giro de Estoque Geral em Dias</v>
      </c>
      <c r="C126" s="466">
        <f>'BALANÇO PATRIMONIAL'!C40</f>
        <v>60.997895303536609</v>
      </c>
      <c r="D126" s="466">
        <f>'BALANÇO PATRIMONIAL'!E40</f>
        <v>43.834796628404732</v>
      </c>
      <c r="E126" s="466">
        <f>'BALANÇO PATRIMONIAL'!G40</f>
        <v>35.632101896980629</v>
      </c>
      <c r="F126" s="466">
        <f>'BALANÇO PATRIMONIAL'!I40</f>
        <v>55.593302458675083</v>
      </c>
      <c r="G126" s="466">
        <f>'BALANÇO PATRIMONIAL'!K40</f>
        <v>65.518944071441581</v>
      </c>
      <c r="H126" s="466">
        <f>'BALANÇO PATRIMONIAL'!M40</f>
        <v>30.568335691731917</v>
      </c>
    </row>
    <row r="127" spans="1:9" x14ac:dyDescent="0.3">
      <c r="A127" s="6" t="s">
        <v>1593</v>
      </c>
      <c r="B127" s="462" t="str">
        <f>'BALANÇO PATRIMONIAL'!B49</f>
        <v>Giro de Estoque Peças em Dias</v>
      </c>
      <c r="C127" s="466">
        <f>'BALANÇO PATRIMONIAL'!C49</f>
        <v>58.585535990907324</v>
      </c>
      <c r="D127" s="466">
        <f>'BALANÇO PATRIMONIAL'!E49</f>
        <v>39.786825377529027</v>
      </c>
      <c r="E127" s="466">
        <f>'BALANÇO PATRIMONIAL'!G49</f>
        <v>31.583933905273891</v>
      </c>
      <c r="F127" s="466">
        <f>'BALANÇO PATRIMONIAL'!I49</f>
        <v>48.709041218369812</v>
      </c>
      <c r="G127" s="466">
        <f>'BALANÇO PATRIMONIAL'!K49</f>
        <v>50.683273600908777</v>
      </c>
      <c r="H127" s="466">
        <f>'BALANÇO PATRIMONIAL'!M49</f>
        <v>22.877695534302667</v>
      </c>
    </row>
    <row r="129" spans="1:8" x14ac:dyDescent="0.3">
      <c r="A129" s="6" t="s">
        <v>1593</v>
      </c>
      <c r="B129" s="462" t="str">
        <f>'BALANÇO PATRIMONIAL'!B36</f>
        <v>Custo dos Produtos Vendidos (R$) - CPV Ficha Técnica</v>
      </c>
      <c r="C129" s="469">
        <f>'BALANÇO PATRIMONIAL'!C36</f>
        <v>707593.72</v>
      </c>
      <c r="D129" s="469">
        <f>'BALANÇO PATRIMONIAL'!E36</f>
        <v>998625.2</v>
      </c>
      <c r="E129" s="469">
        <f>'BALANÇO PATRIMONIAL'!G36</f>
        <v>857572.80999999982</v>
      </c>
      <c r="F129" s="469">
        <f>'BALANÇO PATRIMONIAL'!I36</f>
        <v>667576.62</v>
      </c>
      <c r="G129" s="469">
        <f>'BALANÇO PATRIMONIAL'!K36</f>
        <v>577935.69000000006</v>
      </c>
      <c r="H129" s="469">
        <f>'BALANÇO PATRIMONIAL'!M36</f>
        <v>817037.4600000002</v>
      </c>
    </row>
    <row r="130" spans="1:8" x14ac:dyDescent="0.3">
      <c r="A130" s="6" t="s">
        <v>1593</v>
      </c>
      <c r="B130" s="462" t="str">
        <f>'BALANÇO PATRIMONIAL'!B33</f>
        <v>(+) Compras (R$)</v>
      </c>
      <c r="C130" s="469">
        <f>'BALANÇO PATRIMONIAL'!C33</f>
        <v>653601</v>
      </c>
      <c r="D130" s="469">
        <f>'BALANÇO PATRIMONIAL'!E33</f>
        <v>130272.71</v>
      </c>
      <c r="E130" s="469">
        <f>'BALANÇO PATRIMONIAL'!G33</f>
        <v>722430.91</v>
      </c>
      <c r="F130" s="469">
        <f>'BALANÇO PATRIMONIAL'!I33</f>
        <v>803250.69</v>
      </c>
      <c r="G130" s="469">
        <f>'BALANÇO PATRIMONIAL'!K33</f>
        <v>68376.03</v>
      </c>
      <c r="H130" s="469">
        <f>'BALANÇO PATRIMONIAL'!M33</f>
        <v>402611.25</v>
      </c>
    </row>
    <row r="131" spans="1:8" ht="13.95" customHeight="1" x14ac:dyDescent="0.3">
      <c r="A131" s="6" t="s">
        <v>1593</v>
      </c>
      <c r="B131" s="462" t="str">
        <f>DFC!A23</f>
        <v>(-) PAGAMENTOS DAS MERCADORIAS VENDIDAS</v>
      </c>
      <c r="C131" s="469">
        <f>DFC!B23</f>
        <v>965385.46</v>
      </c>
      <c r="D131" s="469">
        <f>DFC!D23</f>
        <v>956175.12999999966</v>
      </c>
      <c r="E131" s="469">
        <f>DFC!G23</f>
        <v>923865.01999999932</v>
      </c>
      <c r="F131" s="469">
        <f>DFC!J23</f>
        <v>942086.27999999991</v>
      </c>
      <c r="G131" s="469">
        <f>DFC!M23</f>
        <v>706911.0399999998</v>
      </c>
      <c r="H131" s="469">
        <f>DFC!P23</f>
        <v>709376.57999999973</v>
      </c>
    </row>
    <row r="133" spans="1:8" x14ac:dyDescent="0.3">
      <c r="A133" s="474" t="s">
        <v>1592</v>
      </c>
      <c r="B133" s="462" t="s">
        <v>1609</v>
      </c>
      <c r="C133" s="469">
        <v>0</v>
      </c>
      <c r="D133" s="469">
        <v>0</v>
      </c>
      <c r="E133" s="469">
        <f>65*291.08</f>
        <v>18920.2</v>
      </c>
      <c r="F133" s="469">
        <v>0</v>
      </c>
      <c r="G133" s="469">
        <v>0</v>
      </c>
      <c r="H133" s="469">
        <v>0</v>
      </c>
    </row>
  </sheetData>
  <pageMargins left="0.511811024" right="0.511811024" top="0.78740157499999996" bottom="0.78740157499999996" header="0.31496062000000002" footer="0.31496062000000002"/>
  <pageSetup paperSize="9" scale="86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C97D6-C6EE-4642-B5E7-D7134D772197}">
  <sheetPr>
    <pageSetUpPr fitToPage="1"/>
  </sheetPr>
  <dimension ref="A1:J636"/>
  <sheetViews>
    <sheetView showGridLines="0" topLeftCell="A186" workbookViewId="0">
      <selection activeCell="J103" sqref="J103"/>
    </sheetView>
  </sheetViews>
  <sheetFormatPr defaultColWidth="8.88671875" defaultRowHeight="14.4" x14ac:dyDescent="0.3"/>
  <cols>
    <col min="1" max="1" width="61.33203125" style="50" bestFit="1" customWidth="1"/>
    <col min="2" max="4" width="14" style="50" bestFit="1" customWidth="1"/>
    <col min="5" max="5" width="15.33203125" style="50" bestFit="1" customWidth="1"/>
    <col min="6" max="7" width="14.6640625" style="50" bestFit="1" customWidth="1"/>
    <col min="8" max="8" width="8.88671875" style="50"/>
    <col min="9" max="9" width="24.6640625" style="50" bestFit="1" customWidth="1"/>
    <col min="10" max="10" width="15.6640625" style="50" bestFit="1" customWidth="1"/>
    <col min="11" max="16384" width="8.88671875" style="50"/>
  </cols>
  <sheetData>
    <row r="1" spans="1:10" ht="30" customHeight="1" x14ac:dyDescent="0.3">
      <c r="A1" s="48" t="s">
        <v>1591</v>
      </c>
      <c r="B1" s="49">
        <v>45931</v>
      </c>
      <c r="C1" s="49">
        <v>45962</v>
      </c>
      <c r="D1" s="49">
        <v>45992</v>
      </c>
      <c r="E1" s="49">
        <v>46023</v>
      </c>
      <c r="F1" s="49">
        <v>46054</v>
      </c>
      <c r="G1" s="49">
        <v>46082</v>
      </c>
    </row>
    <row r="2" spans="1:10" x14ac:dyDescent="0.3">
      <c r="A2" s="51" t="str">
        <f>DRE!B3</f>
        <v>(+) FATURAMENTO BRUTO</v>
      </c>
      <c r="B2" s="52">
        <f>DRE!C3</f>
        <v>1207206.99</v>
      </c>
      <c r="C2" s="52">
        <f>DRE!E3</f>
        <v>1594226.24</v>
      </c>
      <c r="D2" s="52">
        <f>DRE!H3</f>
        <v>1443037.2</v>
      </c>
      <c r="E2" s="52">
        <f>DRE!K3</f>
        <v>1101552.02</v>
      </c>
      <c r="F2" s="52">
        <f>DRE!N3</f>
        <v>936890.74</v>
      </c>
      <c r="G2" s="52">
        <f>DRE!Q3</f>
        <v>1373580.81</v>
      </c>
    </row>
    <row r="3" spans="1:10" s="201" customFormat="1" x14ac:dyDescent="0.3">
      <c r="C3" s="167">
        <f>C2-B2</f>
        <v>387019.25</v>
      </c>
      <c r="D3" s="167">
        <f t="shared" ref="D3:G3" si="0">D2-C2</f>
        <v>-151189.04000000004</v>
      </c>
      <c r="E3" s="167">
        <f t="shared" si="0"/>
        <v>-341485.17999999993</v>
      </c>
      <c r="F3" s="167">
        <f t="shared" si="0"/>
        <v>-164661.28000000003</v>
      </c>
      <c r="G3" s="167">
        <f t="shared" si="0"/>
        <v>436690.07000000007</v>
      </c>
    </row>
    <row r="4" spans="1:10" x14ac:dyDescent="0.3">
      <c r="I4" s="420">
        <v>46082</v>
      </c>
    </row>
    <row r="5" spans="1:10" x14ac:dyDescent="0.3">
      <c r="I5" s="111" t="s">
        <v>1610</v>
      </c>
      <c r="J5" s="421">
        <v>1373581</v>
      </c>
    </row>
    <row r="6" spans="1:10" x14ac:dyDescent="0.3">
      <c r="I6" s="111" t="s">
        <v>1611</v>
      </c>
      <c r="J6" s="422">
        <v>0.1789</v>
      </c>
    </row>
    <row r="7" spans="1:10" x14ac:dyDescent="0.3">
      <c r="I7" s="111" t="s">
        <v>1612</v>
      </c>
      <c r="J7" s="421">
        <v>52303.628249999958</v>
      </c>
    </row>
    <row r="8" spans="1:10" x14ac:dyDescent="0.3">
      <c r="I8" s="111" t="s">
        <v>1613</v>
      </c>
      <c r="J8" s="422">
        <v>3.807830443554315E-2</v>
      </c>
    </row>
    <row r="9" spans="1:10" x14ac:dyDescent="0.3">
      <c r="I9" s="111" t="s">
        <v>1614</v>
      </c>
      <c r="J9" s="421">
        <v>1036116.52</v>
      </c>
    </row>
    <row r="10" spans="1:10" x14ac:dyDescent="0.3">
      <c r="I10" s="111" t="s">
        <v>1615</v>
      </c>
      <c r="J10" s="421">
        <v>991713.58</v>
      </c>
    </row>
    <row r="11" spans="1:10" x14ac:dyDescent="0.3">
      <c r="I11" s="111" t="s">
        <v>1616</v>
      </c>
      <c r="J11" s="421">
        <v>44402.940000000293</v>
      </c>
    </row>
    <row r="12" spans="1:10" x14ac:dyDescent="0.3">
      <c r="I12" s="111" t="s">
        <v>1617</v>
      </c>
      <c r="J12" s="421">
        <v>625302.88999999978</v>
      </c>
    </row>
    <row r="13" spans="1:10" x14ac:dyDescent="0.3">
      <c r="I13" s="111" t="s">
        <v>1618</v>
      </c>
      <c r="J13" s="111">
        <v>31</v>
      </c>
    </row>
    <row r="14" spans="1:10" x14ac:dyDescent="0.3">
      <c r="I14" s="111" t="s">
        <v>1619</v>
      </c>
      <c r="J14" s="421">
        <v>708938.67</v>
      </c>
    </row>
    <row r="15" spans="1:10" x14ac:dyDescent="0.3">
      <c r="I15" s="111" t="s">
        <v>1620</v>
      </c>
      <c r="J15" s="421">
        <v>1081295.0401962739</v>
      </c>
    </row>
    <row r="16" spans="1:10" x14ac:dyDescent="0.3">
      <c r="I16" s="111" t="s">
        <v>1621</v>
      </c>
      <c r="J16" s="423">
        <v>1477.5911076163084</v>
      </c>
    </row>
    <row r="17" spans="1:10" x14ac:dyDescent="0.3">
      <c r="I17" s="111" t="s">
        <v>1622</v>
      </c>
      <c r="J17" s="421">
        <v>731.79584976025581</v>
      </c>
    </row>
    <row r="20" spans="1:10" x14ac:dyDescent="0.3">
      <c r="A20" s="53" t="str">
        <f>DRE!B4</f>
        <v>(-) IMPOSTOS S/ VENDAS</v>
      </c>
      <c r="B20" s="54">
        <f>DRE!C4</f>
        <v>35650.83</v>
      </c>
      <c r="C20" s="54">
        <f>DRE!E4</f>
        <v>21104.11</v>
      </c>
      <c r="D20" s="54">
        <f>DRE!H4</f>
        <v>19335</v>
      </c>
      <c r="E20" s="54">
        <f>DRE!K4</f>
        <v>15811.61</v>
      </c>
      <c r="F20" s="54">
        <f>DRE!N4</f>
        <v>14053.3611</v>
      </c>
      <c r="G20" s="54">
        <f>DRE!Q4</f>
        <v>29702.17</v>
      </c>
    </row>
    <row r="21" spans="1:10" x14ac:dyDescent="0.3">
      <c r="A21" s="53" t="str">
        <f>DRE!B5</f>
        <v>(-) DEVOLUÇÕES</v>
      </c>
      <c r="B21" s="54">
        <f>DRE!C5</f>
        <v>0</v>
      </c>
      <c r="C21" s="54">
        <f>DRE!E5</f>
        <v>0</v>
      </c>
      <c r="D21" s="54">
        <f>DRE!H5</f>
        <v>0</v>
      </c>
      <c r="E21" s="54">
        <f>DRE!K5</f>
        <v>0</v>
      </c>
      <c r="F21" s="54">
        <f>DRE!N5</f>
        <v>0</v>
      </c>
      <c r="G21" s="54">
        <f>DRE!Q5</f>
        <v>0</v>
      </c>
    </row>
    <row r="22" spans="1:10" x14ac:dyDescent="0.3">
      <c r="A22" s="53" t="str">
        <f>DRE!B6</f>
        <v>(-) DESPESAS COM TRANSPORTE</v>
      </c>
      <c r="B22" s="54">
        <f>DRE!C6</f>
        <v>9199.86</v>
      </c>
      <c r="C22" s="54">
        <f>DRE!E6</f>
        <v>1174.8800000000001</v>
      </c>
      <c r="D22" s="54">
        <f>DRE!H6</f>
        <v>6687.27</v>
      </c>
      <c r="E22" s="54">
        <f>DRE!K6</f>
        <v>20376.209999999995</v>
      </c>
      <c r="F22" s="54">
        <f>DRE!N6</f>
        <v>31195.069999999996</v>
      </c>
      <c r="G22" s="54">
        <f>DRE!Q6</f>
        <v>23710.909999999993</v>
      </c>
    </row>
    <row r="23" spans="1:10" ht="14.4" customHeight="1" x14ac:dyDescent="0.3">
      <c r="A23" s="48"/>
      <c r="B23" s="49">
        <f t="shared" ref="B23:G23" si="1">B1</f>
        <v>45931</v>
      </c>
      <c r="C23" s="49">
        <f t="shared" si="1"/>
        <v>45962</v>
      </c>
      <c r="D23" s="49">
        <f t="shared" si="1"/>
        <v>45992</v>
      </c>
      <c r="E23" s="49">
        <f t="shared" si="1"/>
        <v>46023</v>
      </c>
      <c r="F23" s="49">
        <f t="shared" si="1"/>
        <v>46054</v>
      </c>
      <c r="G23" s="49">
        <f t="shared" si="1"/>
        <v>46082</v>
      </c>
    </row>
    <row r="24" spans="1:10" x14ac:dyDescent="0.3">
      <c r="A24" s="51" t="str">
        <f>DRE!B10</f>
        <v>(-) RECEITA OPERACIONAL LÍQUIDA</v>
      </c>
      <c r="B24" s="52">
        <f>DRE!C10</f>
        <v>1162356.2999999998</v>
      </c>
      <c r="C24" s="52">
        <f>DRE!E10</f>
        <v>1571947.25</v>
      </c>
      <c r="D24" s="52">
        <f>DRE!H10</f>
        <v>1417014.93</v>
      </c>
      <c r="E24" s="52">
        <f>DRE!K10</f>
        <v>1065364.2</v>
      </c>
      <c r="F24" s="52">
        <f>DRE!N10</f>
        <v>891642.30890000006</v>
      </c>
      <c r="G24" s="52">
        <f>DRE!Q10</f>
        <v>1320167.7300000002</v>
      </c>
    </row>
    <row r="25" spans="1:10" x14ac:dyDescent="0.3">
      <c r="A25" s="51"/>
      <c r="B25" s="52"/>
      <c r="C25" s="60">
        <f>C24/B24-1</f>
        <v>0.35237985977277386</v>
      </c>
      <c r="D25" s="60">
        <f>D24/C24-1</f>
        <v>-9.8560762773687305E-2</v>
      </c>
      <c r="E25" s="60">
        <f>E24/D24-1</f>
        <v>-0.24816303805634565</v>
      </c>
      <c r="F25" s="60">
        <f>F24/E24-1</f>
        <v>-0.16306338348895133</v>
      </c>
      <c r="G25" s="60">
        <f>G24/F24-1</f>
        <v>0.48060238598218019</v>
      </c>
    </row>
    <row r="43" spans="1:7" x14ac:dyDescent="0.3">
      <c r="A43" s="55" t="str">
        <f>DRE!B11</f>
        <v>(-) CUSTOS VARIÁVEIS OPERACIONAIS</v>
      </c>
      <c r="B43" s="56">
        <f>DRE!C11</f>
        <v>923317.34324999992</v>
      </c>
      <c r="C43" s="56">
        <f>DRE!E11</f>
        <v>1282104.0919999999</v>
      </c>
      <c r="D43" s="56">
        <f>DRE!H11</f>
        <v>1119132.4299999997</v>
      </c>
      <c r="E43" s="56">
        <f>DRE!K11</f>
        <v>865095.17350000003</v>
      </c>
      <c r="F43" s="56">
        <f>DRE!N11</f>
        <v>755745.50950000004</v>
      </c>
      <c r="G43" s="56">
        <f>DRE!Q11</f>
        <v>1074369.7217500003</v>
      </c>
    </row>
    <row r="44" spans="1:7" x14ac:dyDescent="0.3">
      <c r="A44" s="55" t="str">
        <f>DRE!B11</f>
        <v>(-) CUSTOS VARIÁVEIS OPERACIONAIS</v>
      </c>
      <c r="B44" s="57">
        <f>DRE!D11</f>
        <v>0.76483763836556307</v>
      </c>
      <c r="C44" s="57">
        <f>DRE!F11</f>
        <v>0.80421715552743622</v>
      </c>
      <c r="D44" s="57">
        <f>DRE!I11</f>
        <v>0.77553955643000727</v>
      </c>
      <c r="E44" s="57">
        <f>DRE!L11</f>
        <v>0.7853420971439915</v>
      </c>
      <c r="F44" s="57">
        <f>DRE!O11</f>
        <v>0.80665276881699144</v>
      </c>
      <c r="G44" s="57">
        <f>DRE!R11</f>
        <v>0.78216710216707253</v>
      </c>
    </row>
    <row r="45" spans="1:7" x14ac:dyDescent="0.3">
      <c r="A45" s="58" t="str">
        <f>DRE!B12</f>
        <v>(-) CUSTO DOS PRODUTOS VENDIDOS</v>
      </c>
      <c r="B45" s="59">
        <f>DRE!C12</f>
        <v>707593.72</v>
      </c>
      <c r="C45" s="59">
        <f>DRE!E12</f>
        <v>998625.2</v>
      </c>
      <c r="D45" s="59">
        <f>DRE!H12</f>
        <v>857572.80999999982</v>
      </c>
      <c r="E45" s="59">
        <f>DRE!K12</f>
        <v>667576.62</v>
      </c>
      <c r="F45" s="59">
        <f>DRE!N12</f>
        <v>577935.69000000006</v>
      </c>
      <c r="G45" s="59">
        <f>DRE!Q12</f>
        <v>817037.4600000002</v>
      </c>
    </row>
    <row r="46" spans="1:7" x14ac:dyDescent="0.3">
      <c r="A46" s="58"/>
      <c r="B46" s="417">
        <f>DRE!D12</f>
        <v>0.5861411720288332</v>
      </c>
      <c r="C46" s="417">
        <f>DRE!F12</f>
        <v>0.62640118130284939</v>
      </c>
      <c r="D46" s="417">
        <f>DRE!I12</f>
        <v>0.59428323122924331</v>
      </c>
      <c r="E46" s="417">
        <f>DRE!L12</f>
        <v>0.6060327682028126</v>
      </c>
      <c r="F46" s="417">
        <f>DRE!O12</f>
        <v>0.61686562298609127</v>
      </c>
      <c r="G46" s="417">
        <f>DRE!R12</f>
        <v>0.59482300134929822</v>
      </c>
    </row>
    <row r="47" spans="1:7" x14ac:dyDescent="0.3">
      <c r="A47" s="58" t="str">
        <f>DRE!B13</f>
        <v>(-) DESPESAS DE VENDA</v>
      </c>
      <c r="B47" s="59">
        <f>DRE!C13</f>
        <v>215723.62325</v>
      </c>
      <c r="C47" s="59">
        <f>DRE!E13</f>
        <v>283478.89199999999</v>
      </c>
      <c r="D47" s="59">
        <f>DRE!H13</f>
        <v>261559.61999999997</v>
      </c>
      <c r="E47" s="59">
        <f>DRE!K13</f>
        <v>197518.55350000001</v>
      </c>
      <c r="F47" s="59">
        <f>DRE!N13</f>
        <v>177809.81950000001</v>
      </c>
      <c r="G47" s="59">
        <f>DRE!Q13</f>
        <v>257332.26175000001</v>
      </c>
    </row>
    <row r="48" spans="1:7" x14ac:dyDescent="0.3">
      <c r="A48" s="58"/>
      <c r="B48" s="417">
        <f>DRE!D13</f>
        <v>0.17869646633672989</v>
      </c>
      <c r="C48" s="417">
        <f>DRE!F13</f>
        <v>0.17781597422458684</v>
      </c>
      <c r="D48" s="417">
        <f>DRE!I13</f>
        <v>0.18125632520076404</v>
      </c>
      <c r="E48" s="417">
        <f>DRE!L13</f>
        <v>0.17930932894117885</v>
      </c>
      <c r="F48" s="417">
        <f>DRE!O13</f>
        <v>0.1897871458309002</v>
      </c>
      <c r="G48" s="417">
        <f>DRE!R13</f>
        <v>0.18734410081777422</v>
      </c>
    </row>
    <row r="49" spans="1:7" ht="14.4" customHeight="1" x14ac:dyDescent="0.3">
      <c r="A49" s="48"/>
      <c r="B49" s="49">
        <f t="shared" ref="B49:G49" si="2">B1</f>
        <v>45931</v>
      </c>
      <c r="C49" s="49">
        <f t="shared" si="2"/>
        <v>45962</v>
      </c>
      <c r="D49" s="49">
        <f t="shared" si="2"/>
        <v>45992</v>
      </c>
      <c r="E49" s="49">
        <f t="shared" si="2"/>
        <v>46023</v>
      </c>
      <c r="F49" s="49">
        <f t="shared" si="2"/>
        <v>46054</v>
      </c>
      <c r="G49" s="49">
        <f t="shared" si="2"/>
        <v>46082</v>
      </c>
    </row>
    <row r="50" spans="1:7" x14ac:dyDescent="0.3">
      <c r="A50" s="51" t="str">
        <f>DRE!B21</f>
        <v>(=) MARGEM DE CONTRIBUIÇÃO</v>
      </c>
      <c r="B50" s="52">
        <f>DRE!C21</f>
        <v>239038.9567499999</v>
      </c>
      <c r="C50" s="52">
        <f>DRE!E21</f>
        <v>289843.15800000005</v>
      </c>
      <c r="D50" s="52">
        <f>DRE!H21</f>
        <v>297882.50000000023</v>
      </c>
      <c r="E50" s="52">
        <f>DRE!K21</f>
        <v>200269.02649999992</v>
      </c>
      <c r="F50" s="52">
        <f>DRE!N21</f>
        <v>135896.79940000002</v>
      </c>
      <c r="G50" s="52">
        <f>DRE!Q21</f>
        <v>245798.00824999996</v>
      </c>
    </row>
    <row r="51" spans="1:7" x14ac:dyDescent="0.3">
      <c r="A51" s="51" t="str">
        <f>DRE!B21</f>
        <v>(=) MARGEM DE CONTRIBUIÇÃO</v>
      </c>
      <c r="B51" s="60">
        <f>DRE!D21</f>
        <v>0.19800991771096346</v>
      </c>
      <c r="C51" s="60">
        <f>DRE!F21</f>
        <v>0.18180804626575464</v>
      </c>
      <c r="D51" s="60">
        <f>DRE!I21</f>
        <v>0.206427457310179</v>
      </c>
      <c r="E51" s="60">
        <f>DRE!L21</f>
        <v>0.18180623598693044</v>
      </c>
      <c r="F51" s="60">
        <f>DRE!O21</f>
        <v>0.14505085128709888</v>
      </c>
      <c r="G51" s="60">
        <f>DRE!R21</f>
        <v>0.17894688573146267</v>
      </c>
    </row>
    <row r="85" spans="1:7" ht="14.4" customHeight="1" x14ac:dyDescent="0.3">
      <c r="A85" s="48"/>
      <c r="B85" s="49">
        <f t="shared" ref="B85:G85" si="3">B1</f>
        <v>45931</v>
      </c>
      <c r="C85" s="49">
        <f t="shared" si="3"/>
        <v>45962</v>
      </c>
      <c r="D85" s="49">
        <f t="shared" si="3"/>
        <v>45992</v>
      </c>
      <c r="E85" s="49">
        <f t="shared" si="3"/>
        <v>46023</v>
      </c>
      <c r="F85" s="49">
        <f t="shared" si="3"/>
        <v>46054</v>
      </c>
      <c r="G85" s="49">
        <f t="shared" si="3"/>
        <v>46082</v>
      </c>
    </row>
    <row r="86" spans="1:7" x14ac:dyDescent="0.3">
      <c r="A86" s="61" t="str">
        <f>DRE!B22</f>
        <v>(-) CUSTOS FIXOS OPERACIONAIS</v>
      </c>
      <c r="B86" s="62">
        <f>DRE!C22</f>
        <v>93406.07</v>
      </c>
      <c r="C86" s="62">
        <f>DRE!E22</f>
        <v>104939.41</v>
      </c>
      <c r="D86" s="62">
        <f>DRE!H22</f>
        <v>108655.94</v>
      </c>
      <c r="E86" s="62">
        <f>DRE!K22</f>
        <v>119972.84</v>
      </c>
      <c r="F86" s="62">
        <f>DRE!N22</f>
        <v>119526.37</v>
      </c>
      <c r="G86" s="62">
        <f>DRE!Q22</f>
        <v>138043.59</v>
      </c>
    </row>
    <row r="87" spans="1:7" x14ac:dyDescent="0.3">
      <c r="A87" s="61" t="str">
        <f>DRE!B22</f>
        <v>(-) CUSTOS FIXOS OPERACIONAIS</v>
      </c>
      <c r="B87" s="63">
        <f>DRE!D22</f>
        <v>7.7373698772237903E-2</v>
      </c>
      <c r="C87" s="63">
        <f>DRE!F22</f>
        <v>6.5824666140233648E-2</v>
      </c>
      <c r="D87" s="63">
        <f>DRE!I22</f>
        <v>7.5296700597877866E-2</v>
      </c>
      <c r="E87" s="63">
        <f>DRE!L22</f>
        <v>0.10891255049398393</v>
      </c>
      <c r="F87" s="63">
        <f>DRE!O22</f>
        <v>0.12757770452507622</v>
      </c>
      <c r="G87" s="63">
        <f>DRE!R22</f>
        <v>0.1004990671062156</v>
      </c>
    </row>
    <row r="121" spans="1:7" ht="14.4" customHeight="1" x14ac:dyDescent="0.3">
      <c r="A121" s="48"/>
      <c r="B121" s="49">
        <f t="shared" ref="B121:G121" si="4">B1</f>
        <v>45931</v>
      </c>
      <c r="C121" s="49">
        <f t="shared" si="4"/>
        <v>45962</v>
      </c>
      <c r="D121" s="49">
        <f t="shared" si="4"/>
        <v>45992</v>
      </c>
      <c r="E121" s="49">
        <f t="shared" si="4"/>
        <v>46023</v>
      </c>
      <c r="F121" s="49">
        <f t="shared" si="4"/>
        <v>46054</v>
      </c>
      <c r="G121" s="49">
        <f t="shared" si="4"/>
        <v>46082</v>
      </c>
    </row>
    <row r="122" spans="1:7" x14ac:dyDescent="0.3">
      <c r="A122" s="51" t="str">
        <f>DRE!B23</f>
        <v>(=) RESULTADO OPERACIONAL</v>
      </c>
      <c r="B122" s="52">
        <f>DRE!C23</f>
        <v>145632.88674999989</v>
      </c>
      <c r="C122" s="52">
        <f>DRE!E23</f>
        <v>184903.74800000005</v>
      </c>
      <c r="D122" s="52">
        <f>DRE!H23</f>
        <v>189226.56000000023</v>
      </c>
      <c r="E122" s="52">
        <f>DRE!K23</f>
        <v>80296.186499999923</v>
      </c>
      <c r="F122" s="52">
        <f>DRE!N23</f>
        <v>16370.429400000023</v>
      </c>
      <c r="G122" s="52">
        <f>DRE!Q23</f>
        <v>107754.41824999996</v>
      </c>
    </row>
    <row r="123" spans="1:7" x14ac:dyDescent="0.3">
      <c r="A123" s="51" t="str">
        <f>DRE!B23</f>
        <v>(=) RESULTADO OPERACIONAL</v>
      </c>
      <c r="B123" s="60">
        <f>DRE!D23</f>
        <v>0.12063621893872557</v>
      </c>
      <c r="C123" s="60">
        <f>DRE!F23</f>
        <v>0.11598338012552099</v>
      </c>
      <c r="D123" s="60">
        <f>DRE!I23</f>
        <v>0.13113075671230112</v>
      </c>
      <c r="E123" s="60">
        <f>DRE!L23</f>
        <v>7.2893685492946503E-2</v>
      </c>
      <c r="F123" s="60">
        <f>DRE!O23</f>
        <v>1.7473146762022669E-2</v>
      </c>
      <c r="G123" s="60">
        <f>DRE!R23</f>
        <v>7.8447818625247065E-2</v>
      </c>
    </row>
    <row r="157" spans="1:7" x14ac:dyDescent="0.3">
      <c r="A157" s="53" t="str">
        <f>DRE!B24</f>
        <v>(-) IMPOSTO SOBRE O LUCRO</v>
      </c>
      <c r="B157" s="54">
        <f>DRE!C24</f>
        <v>0</v>
      </c>
      <c r="C157" s="54">
        <f>DRE!E24</f>
        <v>0</v>
      </c>
      <c r="D157" s="54">
        <f>DRE!H24</f>
        <v>0</v>
      </c>
      <c r="E157" s="54">
        <f>DRE!K24</f>
        <v>0</v>
      </c>
      <c r="F157" s="54">
        <f>DRE!N24</f>
        <v>0</v>
      </c>
      <c r="G157" s="54">
        <f>DRE!Q24</f>
        <v>0</v>
      </c>
    </row>
    <row r="158" spans="1:7" x14ac:dyDescent="0.3">
      <c r="A158" s="51" t="str">
        <f>DRE!B25</f>
        <v>(=) RESULTADO APÓS IMPOSTO SOBRE O LUCRO</v>
      </c>
      <c r="B158" s="52">
        <f>DRE!C25</f>
        <v>145632.88674999989</v>
      </c>
      <c r="C158" s="52">
        <f>DRE!E25</f>
        <v>184903.74800000005</v>
      </c>
      <c r="D158" s="52">
        <f>DRE!H25</f>
        <v>189226.56000000023</v>
      </c>
      <c r="E158" s="52">
        <f>DRE!K25</f>
        <v>80296.186499999923</v>
      </c>
      <c r="F158" s="52">
        <f>DRE!N25</f>
        <v>16370.429400000023</v>
      </c>
      <c r="G158" s="52">
        <f>DRE!Q25</f>
        <v>107754.41824999996</v>
      </c>
    </row>
    <row r="159" spans="1:7" x14ac:dyDescent="0.3">
      <c r="A159" s="53" t="str">
        <f>DRE!B26</f>
        <v>(-) DESPESAS NÃO OPERACIONAIS</v>
      </c>
      <c r="B159" s="54">
        <f>DRE!C26</f>
        <v>0</v>
      </c>
      <c r="C159" s="54">
        <f>DRE!E26</f>
        <v>0</v>
      </c>
      <c r="D159" s="54">
        <f>DRE!H26</f>
        <v>0</v>
      </c>
      <c r="E159" s="54">
        <f>DRE!K26</f>
        <v>0</v>
      </c>
      <c r="F159" s="54">
        <f>DRE!N26</f>
        <v>0</v>
      </c>
      <c r="G159" s="54">
        <f>DRE!Q26</f>
        <v>0</v>
      </c>
    </row>
    <row r="160" spans="1:7" x14ac:dyDescent="0.3">
      <c r="A160" s="64" t="str">
        <f>DRE!B27</f>
        <v>(+) RECEITAS NÃO OPERACIONAIS</v>
      </c>
      <c r="B160" s="65">
        <f>DRE!C27</f>
        <v>0</v>
      </c>
      <c r="C160" s="65">
        <f>DRE!E27</f>
        <v>0</v>
      </c>
      <c r="D160" s="65">
        <f>DRE!H27</f>
        <v>0</v>
      </c>
      <c r="E160" s="65">
        <f>DRE!K27</f>
        <v>0</v>
      </c>
      <c r="F160" s="65">
        <f>DRE!N27</f>
        <v>0</v>
      </c>
      <c r="G160" s="65">
        <f>DRE!Q27</f>
        <v>0</v>
      </c>
    </row>
    <row r="161" spans="1:7" x14ac:dyDescent="0.3">
      <c r="A161" s="51" t="str">
        <f>DRE!B28</f>
        <v>(=) RESULTADO APÓS DESPESAS E RECEITAS NÃO OPERACIONAIS</v>
      </c>
      <c r="B161" s="52">
        <f>DRE!C28</f>
        <v>145632.88674999989</v>
      </c>
      <c r="C161" s="52">
        <f>DRE!E28</f>
        <v>184903.74800000005</v>
      </c>
      <c r="D161" s="52">
        <f>DRE!H28</f>
        <v>189226.56000000023</v>
      </c>
      <c r="E161" s="52">
        <f>DRE!K28</f>
        <v>80296.186499999923</v>
      </c>
      <c r="F161" s="52">
        <f>DRE!N28</f>
        <v>16370.429400000023</v>
      </c>
      <c r="G161" s="52">
        <f>DRE!Q28</f>
        <v>107754.41824999996</v>
      </c>
    </row>
    <row r="162" spans="1:7" x14ac:dyDescent="0.3">
      <c r="A162" s="53" t="str">
        <f>DRE!B29</f>
        <v>(-) INVESTIMENTOS</v>
      </c>
      <c r="B162" s="54">
        <f>DRE!C29</f>
        <v>21070.83</v>
      </c>
      <c r="C162" s="54">
        <f>DRE!E29</f>
        <v>15970.83</v>
      </c>
      <c r="D162" s="54">
        <f>DRE!H29</f>
        <v>16822.599999999999</v>
      </c>
      <c r="E162" s="54">
        <f>DRE!K29</f>
        <v>0</v>
      </c>
      <c r="F162" s="54">
        <f>DRE!N29</f>
        <v>16154.960000000001</v>
      </c>
      <c r="G162" s="54">
        <f>DRE!Q29</f>
        <v>32125.8</v>
      </c>
    </row>
    <row r="163" spans="1:7" x14ac:dyDescent="0.3">
      <c r="A163" s="53" t="str">
        <f>DRE!B30</f>
        <v>(-) AMORTIZAÇÕES</v>
      </c>
      <c r="B163" s="54">
        <f>DRE!C30</f>
        <v>11652.6</v>
      </c>
      <c r="C163" s="54">
        <f>DRE!E30</f>
        <v>0</v>
      </c>
      <c r="D163" s="54">
        <f>DRE!H30</f>
        <v>18274</v>
      </c>
      <c r="E163" s="54">
        <f>DRE!K30</f>
        <v>32000</v>
      </c>
      <c r="F163" s="54">
        <f>DRE!N30</f>
        <v>13000</v>
      </c>
      <c r="G163" s="54">
        <f>DRE!Q30</f>
        <v>17747.62</v>
      </c>
    </row>
    <row r="164" spans="1:7" x14ac:dyDescent="0.3">
      <c r="A164" s="51" t="str">
        <f>DRE!B31</f>
        <v>(=) RESULTADO ANTES DAS DISTRIBUIÇÕES</v>
      </c>
      <c r="B164" s="52">
        <f>DRE!C31</f>
        <v>112909.45674999988</v>
      </c>
      <c r="C164" s="52">
        <f>DRE!E31</f>
        <v>168932.91800000006</v>
      </c>
      <c r="D164" s="52">
        <f>DRE!H31</f>
        <v>154129.96000000022</v>
      </c>
      <c r="E164" s="52">
        <f>DRE!K31</f>
        <v>48296.186499999923</v>
      </c>
      <c r="F164" s="52">
        <f>DRE!N31</f>
        <v>-12784.530599999978</v>
      </c>
      <c r="G164" s="52">
        <f>DRE!Q31</f>
        <v>57880.998249999961</v>
      </c>
    </row>
    <row r="165" spans="1:7" x14ac:dyDescent="0.3">
      <c r="A165" s="51" t="str">
        <f>DRE!B31</f>
        <v>(=) RESULTADO ANTES DAS DISTRIBUIÇÕES</v>
      </c>
      <c r="B165" s="60">
        <f>DRE!D31</f>
        <v>9.3529492195865996E-2</v>
      </c>
      <c r="C165" s="60">
        <f>DRE!F31</f>
        <v>0.10596546071152364</v>
      </c>
      <c r="D165" s="60">
        <f>DRE!I31</f>
        <v>0.10680941558540571</v>
      </c>
      <c r="E165" s="60">
        <f>DRE!L31</f>
        <v>4.3843763728924873E-2</v>
      </c>
      <c r="F165" s="60">
        <f>DRE!O31</f>
        <v>-1.3645700671563878E-2</v>
      </c>
      <c r="G165" s="60">
        <f>DRE!R31</f>
        <v>4.2138764482302249E-2</v>
      </c>
    </row>
    <row r="166" spans="1:7" x14ac:dyDescent="0.3">
      <c r="A166" s="53" t="str">
        <f>DRE!B32</f>
        <v>(-) DISTRIBUIÇÃO DE LUCROS &amp; OUTROS</v>
      </c>
      <c r="B166" s="54">
        <f>DRE!C32</f>
        <v>21445.72</v>
      </c>
      <c r="C166" s="54">
        <f>DRE!E32</f>
        <v>2067.41</v>
      </c>
      <c r="D166" s="54">
        <f>DRE!H32</f>
        <v>4407.37</v>
      </c>
      <c r="E166" s="54">
        <f>DRE!K32</f>
        <v>2067.37</v>
      </c>
      <c r="F166" s="54">
        <f>DRE!N32</f>
        <v>2110.7800000000002</v>
      </c>
      <c r="G166" s="54">
        <f>DRE!Q32</f>
        <v>5577.37</v>
      </c>
    </row>
    <row r="167" spans="1:7" ht="15" customHeight="1" x14ac:dyDescent="0.3">
      <c r="A167" s="48"/>
      <c r="B167" s="49">
        <f t="shared" ref="B167:G167" si="5">B1</f>
        <v>45931</v>
      </c>
      <c r="C167" s="49">
        <f t="shared" si="5"/>
        <v>45962</v>
      </c>
      <c r="D167" s="49">
        <f t="shared" si="5"/>
        <v>45992</v>
      </c>
      <c r="E167" s="49">
        <f t="shared" si="5"/>
        <v>46023</v>
      </c>
      <c r="F167" s="49">
        <f t="shared" si="5"/>
        <v>46054</v>
      </c>
      <c r="G167" s="49">
        <f t="shared" si="5"/>
        <v>46082</v>
      </c>
    </row>
    <row r="168" spans="1:7" x14ac:dyDescent="0.3">
      <c r="A168" s="51" t="str">
        <f>DRE!B37</f>
        <v>(=) RESULTADO APÓS DISTRIBUIÇÕES</v>
      </c>
      <c r="B168" s="52">
        <f>DRE!C37</f>
        <v>91463.73674999988</v>
      </c>
      <c r="C168" s="52">
        <f>DRE!E37</f>
        <v>166865.50800000006</v>
      </c>
      <c r="D168" s="52">
        <f>DRE!H37</f>
        <v>149722.59000000023</v>
      </c>
      <c r="E168" s="90">
        <f>DRE!K37</f>
        <v>46228.816499999921</v>
      </c>
      <c r="F168" s="90">
        <f>DRE!N37</f>
        <v>-14895.310599999979</v>
      </c>
      <c r="G168" s="90">
        <f>DRE!Q37</f>
        <v>52303.628249999958</v>
      </c>
    </row>
    <row r="169" spans="1:7" x14ac:dyDescent="0.3">
      <c r="A169" s="51"/>
      <c r="B169" s="60">
        <f>DRE!D37</f>
        <v>7.5764750790583049E-2</v>
      </c>
      <c r="C169" s="60">
        <f>DRE!F37</f>
        <v>0.1046686497896309</v>
      </c>
      <c r="D169" s="60">
        <f>DRE!I37</f>
        <v>0.10375518385804623</v>
      </c>
      <c r="E169" s="60">
        <f>DRE!L37</f>
        <v>4.1966984455259697E-2</v>
      </c>
      <c r="F169" s="60">
        <f>DRE!O37</f>
        <v>-1.5898663487697594E-2</v>
      </c>
      <c r="G169" s="60">
        <f>DRE!R37</f>
        <v>3.807830443554315E-2</v>
      </c>
    </row>
    <row r="187" spans="1:7" ht="15" customHeight="1" x14ac:dyDescent="0.3">
      <c r="A187" s="48"/>
      <c r="B187" s="49">
        <f t="shared" ref="B187:G187" si="6">B1</f>
        <v>45931</v>
      </c>
      <c r="C187" s="49">
        <f t="shared" si="6"/>
        <v>45962</v>
      </c>
      <c r="D187" s="49">
        <f t="shared" si="6"/>
        <v>45992</v>
      </c>
      <c r="E187" s="49">
        <f t="shared" si="6"/>
        <v>46023</v>
      </c>
      <c r="F187" s="49">
        <f t="shared" si="6"/>
        <v>46054</v>
      </c>
      <c r="G187" s="49">
        <f t="shared" si="6"/>
        <v>46082</v>
      </c>
    </row>
    <row r="188" spans="1:7" x14ac:dyDescent="0.3">
      <c r="A188" s="51" t="str">
        <f>DRE!B39</f>
        <v>(=) PONTO DE EQUILÍBRIO GERENCIAL</v>
      </c>
      <c r="B188" s="52">
        <f>DRE!C39</f>
        <v>745292.06267039955</v>
      </c>
      <c r="C188" s="52">
        <f>DRE!E39</f>
        <v>676414.78210617614</v>
      </c>
      <c r="D188" s="52">
        <f>DRE!H39</f>
        <v>717733.54150932608</v>
      </c>
      <c r="E188" s="52">
        <f>DRE!K39</f>
        <v>847276.8228427188</v>
      </c>
      <c r="F188" s="52">
        <f>DRE!N39</f>
        <v>1039581.0066742555</v>
      </c>
      <c r="G188" s="52">
        <f>DRE!Q39</f>
        <v>1081295.0401962739</v>
      </c>
    </row>
    <row r="189" spans="1:7" x14ac:dyDescent="0.3">
      <c r="A189" s="51" t="str">
        <f>A547</f>
        <v>Ticket Médio de Venda</v>
      </c>
      <c r="B189" s="52">
        <f t="shared" ref="B189:G189" si="7">B547</f>
        <v>661.48328219178086</v>
      </c>
      <c r="C189" s="52">
        <f t="shared" si="7"/>
        <v>702.9216225749559</v>
      </c>
      <c r="D189" s="52">
        <f t="shared" si="7"/>
        <v>660.42892448512589</v>
      </c>
      <c r="E189" s="52">
        <f t="shared" si="7"/>
        <v>668.82332726168795</v>
      </c>
      <c r="F189" s="52">
        <f t="shared" si="7"/>
        <v>704.42912781954885</v>
      </c>
      <c r="G189" s="52">
        <f t="shared" si="7"/>
        <v>731.79584976025581</v>
      </c>
    </row>
    <row r="190" spans="1:7" x14ac:dyDescent="0.3">
      <c r="A190" s="51" t="s">
        <v>1623</v>
      </c>
      <c r="B190" s="86">
        <f>B188/B189</f>
        <v>1126.6982594041135</v>
      </c>
      <c r="C190" s="86">
        <f t="shared" ref="C190:G190" si="8">C188/C189</f>
        <v>962.29047504374751</v>
      </c>
      <c r="D190" s="86">
        <f t="shared" si="8"/>
        <v>1086.7687875252816</v>
      </c>
      <c r="E190" s="86">
        <f t="shared" si="8"/>
        <v>1266.8170925073132</v>
      </c>
      <c r="F190" s="86">
        <f t="shared" si="8"/>
        <v>1475.7779961372655</v>
      </c>
      <c r="G190" s="86">
        <f t="shared" si="8"/>
        <v>1477.5911076163084</v>
      </c>
    </row>
    <row r="224" spans="1:7" ht="15" customHeight="1" x14ac:dyDescent="0.3">
      <c r="A224" s="48"/>
      <c r="B224" s="49">
        <f t="shared" ref="B224:G224" si="9">B1</f>
        <v>45931</v>
      </c>
      <c r="C224" s="49">
        <f t="shared" si="9"/>
        <v>45962</v>
      </c>
      <c r="D224" s="49">
        <f t="shared" si="9"/>
        <v>45992</v>
      </c>
      <c r="E224" s="49">
        <f t="shared" si="9"/>
        <v>46023</v>
      </c>
      <c r="F224" s="49">
        <f t="shared" si="9"/>
        <v>46054</v>
      </c>
      <c r="G224" s="49">
        <f t="shared" si="9"/>
        <v>46082</v>
      </c>
    </row>
    <row r="225" spans="1:7" x14ac:dyDescent="0.3">
      <c r="A225" s="51" t="str">
        <f>DRE!B40</f>
        <v>(=) PONTO DE EQUILÍBRIO OPERACIONAL</v>
      </c>
      <c r="B225" s="52">
        <f>DRE!C40</f>
        <v>471724.19987743004</v>
      </c>
      <c r="C225" s="52">
        <f>DRE!E40</f>
        <v>577198.93126515811</v>
      </c>
      <c r="D225" s="52">
        <f>DRE!H40</f>
        <v>526363.79586235469</v>
      </c>
      <c r="E225" s="52">
        <f>DRE!K40</f>
        <v>659893.97640147235</v>
      </c>
      <c r="F225" s="52">
        <f>DRE!N40</f>
        <v>824030.80670944613</v>
      </c>
      <c r="G225" s="52">
        <f>DRE!Q40</f>
        <v>771422.14258568117</v>
      </c>
    </row>
    <row r="243" spans="1:7" ht="30" customHeight="1" x14ac:dyDescent="0.3">
      <c r="A243" s="48" t="s">
        <v>1596</v>
      </c>
      <c r="B243" s="49">
        <f t="shared" ref="B243:G243" si="10">B1</f>
        <v>45931</v>
      </c>
      <c r="C243" s="49">
        <f t="shared" si="10"/>
        <v>45962</v>
      </c>
      <c r="D243" s="49">
        <f t="shared" si="10"/>
        <v>45992</v>
      </c>
      <c r="E243" s="49">
        <f t="shared" si="10"/>
        <v>46023</v>
      </c>
      <c r="F243" s="49">
        <f t="shared" si="10"/>
        <v>46054</v>
      </c>
      <c r="G243" s="49">
        <f t="shared" si="10"/>
        <v>46082</v>
      </c>
    </row>
    <row r="244" spans="1:7" x14ac:dyDescent="0.3">
      <c r="A244" s="51" t="str">
        <f>DFC!A170</f>
        <v>FLUXO DE CAIXA (ENTRADAS - SAÍDAS)</v>
      </c>
      <c r="B244" s="90">
        <f>DFC!B170</f>
        <v>-22623.920000000158</v>
      </c>
      <c r="C244" s="90">
        <f>DFC!D170</f>
        <v>-52069.949999999721</v>
      </c>
      <c r="D244" s="90">
        <f>DFC!G170</f>
        <v>65393.600000000326</v>
      </c>
      <c r="E244" s="90">
        <f>DFC!J170</f>
        <v>-75586.459999999963</v>
      </c>
      <c r="F244" s="90">
        <f>DFC!M170</f>
        <v>-202048.75999999989</v>
      </c>
      <c r="G244" s="90">
        <f>DFC!P170</f>
        <v>44402.940000000293</v>
      </c>
    </row>
    <row r="245" spans="1:7" x14ac:dyDescent="0.3">
      <c r="A245" s="51"/>
      <c r="B245" s="60">
        <f t="shared" ref="B245:G245" si="11">B244/B246</f>
        <v>-2.0143900829259733E-2</v>
      </c>
      <c r="C245" s="60">
        <f t="shared" si="11"/>
        <v>-4.5917450996477739E-2</v>
      </c>
      <c r="D245" s="60">
        <f t="shared" si="11"/>
        <v>5.0365020008076238E-2</v>
      </c>
      <c r="E245" s="60">
        <f t="shared" si="11"/>
        <v>-7.0772360551157362E-2</v>
      </c>
      <c r="F245" s="60">
        <f t="shared" si="11"/>
        <v>-0.29208582492648388</v>
      </c>
      <c r="G245" s="60">
        <f t="shared" si="11"/>
        <v>4.2855160730378365E-2</v>
      </c>
    </row>
    <row r="246" spans="1:7" x14ac:dyDescent="0.3">
      <c r="A246" s="50" t="str">
        <f>DFC!A171</f>
        <v>ENTRADAS NO MÊS</v>
      </c>
      <c r="B246" s="66">
        <f>DFC!B171</f>
        <v>1123115.1399999999</v>
      </c>
      <c r="C246" s="66">
        <f>DFC!D171</f>
        <v>1133990.43</v>
      </c>
      <c r="D246" s="66">
        <f>DFC!G171</f>
        <v>1298393.21</v>
      </c>
      <c r="E246" s="66">
        <f>DFC!J171</f>
        <v>1068022.31</v>
      </c>
      <c r="F246" s="66">
        <f>DFC!M171</f>
        <v>691744.49</v>
      </c>
      <c r="G246" s="66">
        <f>DFC!P171</f>
        <v>1036116.52</v>
      </c>
    </row>
    <row r="247" spans="1:7" x14ac:dyDescent="0.3">
      <c r="A247" s="50" t="str">
        <f>DFC!A172</f>
        <v>SAÍDAS NO MÊS</v>
      </c>
      <c r="B247" s="66">
        <f>-DFC!B172</f>
        <v>-1145739.06</v>
      </c>
      <c r="C247" s="66">
        <f>-DFC!D172</f>
        <v>-1186060.3799999997</v>
      </c>
      <c r="D247" s="66">
        <f>-DFC!G172</f>
        <v>-1232999.6099999996</v>
      </c>
      <c r="E247" s="66">
        <f>-DFC!J172</f>
        <v>-1143608.77</v>
      </c>
      <c r="F247" s="66">
        <f>-DFC!M172</f>
        <v>-893793.24999999988</v>
      </c>
      <c r="G247" s="66">
        <f>-DFC!P172</f>
        <v>-991713.57999999973</v>
      </c>
    </row>
    <row r="297" spans="1:7" ht="30" customHeight="1" x14ac:dyDescent="0.3">
      <c r="A297" s="503" t="s">
        <v>1624</v>
      </c>
      <c r="B297" s="503"/>
      <c r="C297" s="503"/>
      <c r="D297" s="503"/>
      <c r="E297" s="503"/>
      <c r="F297" s="503"/>
      <c r="G297" s="503"/>
    </row>
    <row r="298" spans="1:7" ht="14.4" customHeight="1" x14ac:dyDescent="0.3">
      <c r="A298" s="48"/>
      <c r="B298" s="49">
        <f t="shared" ref="B298:G299" si="12">B1</f>
        <v>45931</v>
      </c>
      <c r="C298" s="49">
        <f t="shared" si="12"/>
        <v>45962</v>
      </c>
      <c r="D298" s="49">
        <f t="shared" si="12"/>
        <v>45992</v>
      </c>
      <c r="E298" s="49">
        <f t="shared" si="12"/>
        <v>46023</v>
      </c>
      <c r="F298" s="49">
        <f t="shared" si="12"/>
        <v>46054</v>
      </c>
      <c r="G298" s="49">
        <f t="shared" si="12"/>
        <v>46082</v>
      </c>
    </row>
    <row r="299" spans="1:7" x14ac:dyDescent="0.3">
      <c r="A299" s="50" t="str">
        <f>A2</f>
        <v>(+) FATURAMENTO BRUTO</v>
      </c>
      <c r="B299" s="309">
        <f t="shared" si="12"/>
        <v>1207206.99</v>
      </c>
      <c r="C299" s="309">
        <f t="shared" si="12"/>
        <v>1594226.24</v>
      </c>
      <c r="D299" s="309">
        <f t="shared" si="12"/>
        <v>1443037.2</v>
      </c>
      <c r="E299" s="309">
        <f t="shared" si="12"/>
        <v>1101552.02</v>
      </c>
      <c r="F299" s="309">
        <f t="shared" si="12"/>
        <v>936890.74</v>
      </c>
      <c r="G299" s="309">
        <f t="shared" si="12"/>
        <v>1373580.81</v>
      </c>
    </row>
    <row r="300" spans="1:7" x14ac:dyDescent="0.3">
      <c r="A300" s="50" t="str">
        <f t="shared" ref="A300:G300" si="13">A246</f>
        <v>ENTRADAS NO MÊS</v>
      </c>
      <c r="B300" s="309">
        <f t="shared" si="13"/>
        <v>1123115.1399999999</v>
      </c>
      <c r="C300" s="309">
        <f t="shared" si="13"/>
        <v>1133990.43</v>
      </c>
      <c r="D300" s="309">
        <f t="shared" si="13"/>
        <v>1298393.21</v>
      </c>
      <c r="E300" s="309">
        <f t="shared" si="13"/>
        <v>1068022.31</v>
      </c>
      <c r="F300" s="309">
        <f t="shared" si="13"/>
        <v>691744.49</v>
      </c>
      <c r="G300" s="309">
        <f t="shared" si="13"/>
        <v>1036116.52</v>
      </c>
    </row>
    <row r="301" spans="1:7" x14ac:dyDescent="0.3">
      <c r="A301" s="50" t="s">
        <v>1598</v>
      </c>
      <c r="B301" s="310">
        <f>B300/B299</f>
        <v>0.93034181321299336</v>
      </c>
      <c r="C301" s="310">
        <f t="shared" ref="C301:F301" si="14">C300/C299</f>
        <v>0.71131085510171999</v>
      </c>
      <c r="D301" s="310">
        <f t="shared" si="14"/>
        <v>0.89976419873306113</v>
      </c>
      <c r="E301" s="310">
        <f t="shared" si="14"/>
        <v>0.96956139211655212</v>
      </c>
      <c r="F301" s="310">
        <f t="shared" si="14"/>
        <v>0.73834062016665891</v>
      </c>
      <c r="G301" s="310">
        <f t="shared" ref="G301" si="15">G300/G299</f>
        <v>0.75431784752438413</v>
      </c>
    </row>
    <row r="319" spans="1:7" ht="30" customHeight="1" x14ac:dyDescent="0.3">
      <c r="A319" s="48" t="s">
        <v>1625</v>
      </c>
      <c r="B319" s="49">
        <f t="shared" ref="B319:G319" si="16">B1</f>
        <v>45931</v>
      </c>
      <c r="C319" s="49">
        <f t="shared" si="16"/>
        <v>45962</v>
      </c>
      <c r="D319" s="49">
        <f t="shared" si="16"/>
        <v>45992</v>
      </c>
      <c r="E319" s="49">
        <f t="shared" si="16"/>
        <v>46023</v>
      </c>
      <c r="F319" s="49">
        <f t="shared" si="16"/>
        <v>46054</v>
      </c>
      <c r="G319" s="49">
        <f t="shared" si="16"/>
        <v>46082</v>
      </c>
    </row>
    <row r="320" spans="1:7" x14ac:dyDescent="0.3">
      <c r="A320" s="51" t="str">
        <f>'BALANÇO PATRIMONIAL'!B3</f>
        <v>(+) Estoque Geral Preço de Custo</v>
      </c>
      <c r="B320" s="52">
        <f>'BALANÇO PATRIMONIAL'!C3</f>
        <v>1870693.04</v>
      </c>
      <c r="C320" s="52">
        <f>'BALANÇO PATRIMONIAL'!E3</f>
        <v>1047609.13</v>
      </c>
      <c r="D320" s="52">
        <f>'BALANÇO PATRIMONIAL'!G3</f>
        <v>989532.32</v>
      </c>
      <c r="E320" s="52">
        <f>'BALANÇO PATRIMONIAL'!I3</f>
        <v>1484653.61</v>
      </c>
      <c r="F320" s="52">
        <f>'BALANÇO PATRIMONIAL'!K3</f>
        <v>1039728.7999999999</v>
      </c>
      <c r="G320" s="52">
        <f>'BALANÇO PATRIMONIAL'!M3</f>
        <v>625302.88999999978</v>
      </c>
    </row>
    <row r="321" spans="1:7" x14ac:dyDescent="0.3">
      <c r="A321" s="50" t="str">
        <f>'BALANÇO PATRIMONIAL'!B4</f>
        <v xml:space="preserve">        Estoque de Peças</v>
      </c>
      <c r="B321" s="66">
        <f>'BALANÇO PATRIMONIAL'!C4</f>
        <v>1756895.02</v>
      </c>
      <c r="C321" s="66">
        <f>'BALANÇO PATRIMONIAL'!E4</f>
        <v>891913.41</v>
      </c>
      <c r="D321" s="66">
        <f>'BALANÇO PATRIMONIAL'!G4</f>
        <v>913788.12</v>
      </c>
      <c r="E321" s="66">
        <f>'BALANÇO PATRIMONIAL'!I4</f>
        <v>1254013.02</v>
      </c>
      <c r="F321" s="66">
        <f>'BALANÇO PATRIMONIAL'!K4</f>
        <v>698765.15999999992</v>
      </c>
      <c r="G321" s="66">
        <f>'BALANÇO PATRIMONIAL'!M4</f>
        <v>547363.7899999998</v>
      </c>
    </row>
    <row r="322" spans="1:7" x14ac:dyDescent="0.3">
      <c r="A322" s="50" t="str">
        <f>'BALANÇO PATRIMONIAL'!B5</f>
        <v xml:space="preserve">        Estoque de P.A.</v>
      </c>
      <c r="B322" s="66">
        <f>'BALANÇO PATRIMONIAL'!C5</f>
        <v>102845</v>
      </c>
      <c r="C322" s="66">
        <f>'BALANÇO PATRIMONIAL'!E5</f>
        <v>7675</v>
      </c>
      <c r="D322" s="66">
        <f>'BALANÇO PATRIMONIAL'!G5</f>
        <v>0</v>
      </c>
      <c r="E322" s="66">
        <f>'BALANÇO PATRIMONIAL'!I5</f>
        <v>0</v>
      </c>
      <c r="F322" s="66">
        <f>'BALANÇO PATRIMONIAL'!K5</f>
        <v>186710.04</v>
      </c>
      <c r="G322" s="66">
        <f>'BALANÇO PATRIMONIAL'!M5</f>
        <v>0</v>
      </c>
    </row>
    <row r="323" spans="1:7" x14ac:dyDescent="0.3">
      <c r="A323" s="50" t="str">
        <f>'BALANÇO PATRIMONIAL'!B6</f>
        <v xml:space="preserve">        Estoque de P.A. no Full</v>
      </c>
      <c r="B323" s="66">
        <f>'BALANÇO PATRIMONIAL'!C6</f>
        <v>10953.02</v>
      </c>
      <c r="C323" s="66">
        <f>'BALANÇO PATRIMONIAL'!E6</f>
        <v>148020.71999999997</v>
      </c>
      <c r="D323" s="66">
        <f>'BALANÇO PATRIMONIAL'!G6</f>
        <v>75744.2</v>
      </c>
      <c r="E323" s="66">
        <f>'BALANÇO PATRIMONIAL'!I6</f>
        <v>230640.59</v>
      </c>
      <c r="F323" s="66">
        <f>'BALANÇO PATRIMONIAL'!K6</f>
        <v>154253.6</v>
      </c>
      <c r="G323" s="66">
        <f>'BALANÇO PATRIMONIAL'!M6</f>
        <v>77939.100000000006</v>
      </c>
    </row>
    <row r="324" spans="1:7" x14ac:dyDescent="0.3">
      <c r="A324" s="51" t="str">
        <f>'BALANÇO PATRIMONIAL'!B7</f>
        <v>(+) Disponibilidades</v>
      </c>
      <c r="B324" s="52">
        <f>'BALANÇO PATRIMONIAL'!C7</f>
        <v>60840.68</v>
      </c>
      <c r="C324" s="90">
        <f>'BALANÇO PATRIMONIAL'!E7</f>
        <v>-73229.27</v>
      </c>
      <c r="D324" s="90">
        <f>'BALANÇO PATRIMONIAL'!G7</f>
        <v>-87725.67</v>
      </c>
      <c r="E324" s="90">
        <f>'BALANÇO PATRIMONIAL'!I7</f>
        <v>-288353.43</v>
      </c>
      <c r="F324" s="90">
        <f>'BALANÇO PATRIMONIAL'!K7</f>
        <v>-488530.17000000004</v>
      </c>
      <c r="G324" s="90">
        <f>'BALANÇO PATRIMONIAL'!M7</f>
        <v>-445252.05</v>
      </c>
    </row>
    <row r="325" spans="1:7" x14ac:dyDescent="0.3">
      <c r="A325" s="50" t="str">
        <f>'BALANÇO PATRIMONIAL'!B8</f>
        <v xml:space="preserve">        Caixinha</v>
      </c>
      <c r="B325" s="66">
        <f>'BALANÇO PATRIMONIAL'!C8</f>
        <v>0</v>
      </c>
      <c r="C325" s="66">
        <f>'BALANÇO PATRIMONIAL'!E8</f>
        <v>0</v>
      </c>
      <c r="D325" s="66">
        <f>'BALANÇO PATRIMONIAL'!G8</f>
        <v>0</v>
      </c>
      <c r="E325" s="66">
        <f>'BALANÇO PATRIMONIAL'!I8</f>
        <v>0</v>
      </c>
      <c r="F325" s="66">
        <f>'BALANÇO PATRIMONIAL'!K8</f>
        <v>0</v>
      </c>
      <c r="G325" s="66">
        <f>'BALANÇO PATRIMONIAL'!M8</f>
        <v>0</v>
      </c>
    </row>
    <row r="326" spans="1:7" x14ac:dyDescent="0.3">
      <c r="A326" s="50" t="str">
        <f>'BALANÇO PATRIMONIAL'!B9</f>
        <v xml:space="preserve">        Bradesco</v>
      </c>
      <c r="B326" s="66">
        <f>'BALANÇO PATRIMONIAL'!C9</f>
        <v>0</v>
      </c>
      <c r="C326" s="66">
        <f>'BALANÇO PATRIMONIAL'!E9</f>
        <v>0</v>
      </c>
      <c r="D326" s="66">
        <f>'BALANÇO PATRIMONIAL'!G9</f>
        <v>0</v>
      </c>
      <c r="E326" s="66">
        <f>'BALANÇO PATRIMONIAL'!I9</f>
        <v>0</v>
      </c>
      <c r="F326" s="66">
        <f>'BALANÇO PATRIMONIAL'!K9</f>
        <v>-199580</v>
      </c>
      <c r="G326" s="66">
        <f>'BALANÇO PATRIMONIAL'!M9</f>
        <v>-199580</v>
      </c>
    </row>
    <row r="327" spans="1:7" x14ac:dyDescent="0.3">
      <c r="A327" s="50" t="str">
        <f>'BALANÇO PATRIMONIAL'!B10</f>
        <v xml:space="preserve">        Sicredi agência 0723 c/c 70.636-3</v>
      </c>
      <c r="B327" s="66">
        <f>'BALANÇO PATRIMONIAL'!C10</f>
        <v>60840.68</v>
      </c>
      <c r="C327" s="66">
        <f>'BALANÇO PATRIMONIAL'!E10</f>
        <v>8770.73</v>
      </c>
      <c r="D327" s="66">
        <f>'BALANÇO PATRIMONIAL'!G10</f>
        <v>74164.33</v>
      </c>
      <c r="E327" s="66">
        <f>'BALANÇO PATRIMONIAL'!I10</f>
        <v>-1463.43</v>
      </c>
      <c r="F327" s="66">
        <f>'BALANÇO PATRIMONIAL'!K10</f>
        <v>-2060.17</v>
      </c>
      <c r="G327" s="66">
        <f>'BALANÇO PATRIMONIAL'!M10</f>
        <v>41217.949999999997</v>
      </c>
    </row>
    <row r="328" spans="1:7" x14ac:dyDescent="0.3">
      <c r="A328" s="50" t="str">
        <f>'BALANÇO PATRIMONIAL'!B11</f>
        <v xml:space="preserve">        Empréstimo Adonai</v>
      </c>
      <c r="B328" s="66">
        <f>'BALANÇO PATRIMONIAL'!C11</f>
        <v>0</v>
      </c>
      <c r="C328" s="66">
        <f>'BALANÇO PATRIMONIAL'!E11</f>
        <v>-82000</v>
      </c>
      <c r="D328" s="66">
        <f>'BALANÇO PATRIMONIAL'!G11</f>
        <v>-161890</v>
      </c>
      <c r="E328" s="66">
        <f>'BALANÇO PATRIMONIAL'!I11</f>
        <v>-226890</v>
      </c>
      <c r="F328" s="66">
        <f>'BALANÇO PATRIMONIAL'!K11</f>
        <v>-226890</v>
      </c>
      <c r="G328" s="66">
        <f>'BALANÇO PATRIMONIAL'!M11</f>
        <v>-226890</v>
      </c>
    </row>
    <row r="329" spans="1:7" x14ac:dyDescent="0.3">
      <c r="A329" s="50" t="str">
        <f>'BALANÇO PATRIMONIAL'!B12</f>
        <v xml:space="preserve">        Empréstimo Feedstock</v>
      </c>
      <c r="B329" s="66">
        <f>'BALANÇO PATRIMONIAL'!C12</f>
        <v>0</v>
      </c>
      <c r="C329" s="66">
        <f>'BALANÇO PATRIMONIAL'!E12</f>
        <v>0</v>
      </c>
      <c r="D329" s="66">
        <f>'BALANÇO PATRIMONIAL'!G12</f>
        <v>0</v>
      </c>
      <c r="E329" s="66">
        <f>'BALANÇO PATRIMONIAL'!I12</f>
        <v>-60000</v>
      </c>
      <c r="F329" s="66">
        <f>'BALANÇO PATRIMONIAL'!K12</f>
        <v>-60000</v>
      </c>
      <c r="G329" s="66">
        <f>'BALANÇO PATRIMONIAL'!M12</f>
        <v>-60000</v>
      </c>
    </row>
    <row r="330" spans="1:7" x14ac:dyDescent="0.3">
      <c r="A330" s="51" t="str">
        <f>'BALANÇO PATRIMONIAL'!B13</f>
        <v>(+) Contas a Receber</v>
      </c>
      <c r="B330" s="52">
        <f>'BALANÇO PATRIMONIAL'!C13</f>
        <v>176774.24</v>
      </c>
      <c r="C330" s="52">
        <f>'BALANÇO PATRIMONIAL'!E13</f>
        <v>585872.25</v>
      </c>
      <c r="D330" s="52">
        <f>'BALANÇO PATRIMONIAL'!G13</f>
        <v>602832.77</v>
      </c>
      <c r="E330" s="52">
        <f>'BALANÇO PATRIMONIAL'!I13</f>
        <v>201831.94</v>
      </c>
      <c r="F330" s="52">
        <f>'BALANÇO PATRIMONIAL'!K13</f>
        <v>400000</v>
      </c>
      <c r="G330" s="52">
        <f>'BALANÇO PATRIMONIAL'!M13</f>
        <v>500000</v>
      </c>
    </row>
    <row r="331" spans="1:7" x14ac:dyDescent="0.3">
      <c r="A331" s="50" t="str">
        <f>'BALANÇO PATRIMONIAL'!B14</f>
        <v xml:space="preserve">        Contas a Receber em Atraso</v>
      </c>
      <c r="B331" s="66">
        <f>'BALANÇO PATRIMONIAL'!C14</f>
        <v>0</v>
      </c>
      <c r="C331" s="66">
        <f>'BALANÇO PATRIMONIAL'!E14</f>
        <v>0</v>
      </c>
      <c r="D331" s="66">
        <f>'BALANÇO PATRIMONIAL'!G14</f>
        <v>0</v>
      </c>
      <c r="E331" s="66">
        <f>'BALANÇO PATRIMONIAL'!I14</f>
        <v>0</v>
      </c>
      <c r="F331" s="66">
        <f>'BALANÇO PATRIMONIAL'!K14</f>
        <v>0</v>
      </c>
      <c r="G331" s="66">
        <f>'BALANÇO PATRIMONIAL'!M14</f>
        <v>0</v>
      </c>
    </row>
    <row r="332" spans="1:7" x14ac:dyDescent="0.3">
      <c r="A332" s="50" t="str">
        <f>'BALANÇO PATRIMONIAL'!B15</f>
        <v xml:space="preserve">        Contas a Receber a Vencer</v>
      </c>
      <c r="B332" s="66">
        <f>'BALANÇO PATRIMONIAL'!C15</f>
        <v>176774.24</v>
      </c>
      <c r="C332" s="66">
        <f>'BALANÇO PATRIMONIAL'!E15</f>
        <v>585872.25</v>
      </c>
      <c r="D332" s="66">
        <f>'BALANÇO PATRIMONIAL'!G15</f>
        <v>602832.77</v>
      </c>
      <c r="E332" s="66">
        <f>'BALANÇO PATRIMONIAL'!I15</f>
        <v>201831.94</v>
      </c>
      <c r="F332" s="66">
        <f>'BALANÇO PATRIMONIAL'!K15</f>
        <v>400000</v>
      </c>
      <c r="G332" s="66">
        <f>'BALANÇO PATRIMONIAL'!M15</f>
        <v>500000</v>
      </c>
    </row>
    <row r="333" spans="1:7" x14ac:dyDescent="0.3">
      <c r="A333" s="51" t="str">
        <f>'BALANÇO PATRIMONIAL'!B16</f>
        <v>(=) Total de Ativos</v>
      </c>
      <c r="B333" s="52">
        <f>'BALANÇO PATRIMONIAL'!C16</f>
        <v>2108307.96</v>
      </c>
      <c r="C333" s="52">
        <f>'BALANÇO PATRIMONIAL'!E16</f>
        <v>1560252.1099999999</v>
      </c>
      <c r="D333" s="52">
        <f>'BALANÇO PATRIMONIAL'!G16</f>
        <v>1504639.42</v>
      </c>
      <c r="E333" s="52">
        <f>'BALANÇO PATRIMONIAL'!I16</f>
        <v>1398132.12</v>
      </c>
      <c r="F333" s="52">
        <f>'BALANÇO PATRIMONIAL'!K16</f>
        <v>951198.62999999989</v>
      </c>
      <c r="G333" s="52">
        <f>'BALANÇO PATRIMONIAL'!M16</f>
        <v>680050.83999999985</v>
      </c>
    </row>
    <row r="334" spans="1:7" x14ac:dyDescent="0.3">
      <c r="A334" s="55" t="str">
        <f>'BALANÇO PATRIMONIAL'!B17</f>
        <v>(-) Contas a Pagar DDA</v>
      </c>
      <c r="B334" s="56">
        <f>'BALANÇO PATRIMONIAL'!C17</f>
        <v>2460338.56</v>
      </c>
      <c r="C334" s="56">
        <f>'BALANÇO PATRIMONIAL'!E17</f>
        <v>1688812.35</v>
      </c>
      <c r="D334" s="56">
        <f>'BALANÇO PATRIMONIAL'!G17</f>
        <v>1513014.68</v>
      </c>
      <c r="E334" s="56">
        <f>'BALANÇO PATRIMONIAL'!I17</f>
        <v>1410399.34</v>
      </c>
      <c r="F334" s="56">
        <f>'BALANÇO PATRIMONIAL'!K17</f>
        <v>1030284.4999999999</v>
      </c>
      <c r="G334" s="56">
        <f>'BALANÇO PATRIMONIAL'!M17</f>
        <v>708938.67</v>
      </c>
    </row>
    <row r="335" spans="1:7" ht="14.4" customHeight="1" x14ac:dyDescent="0.3">
      <c r="A335" s="48"/>
      <c r="B335" s="49">
        <f t="shared" ref="B335:G335" si="17">B1</f>
        <v>45931</v>
      </c>
      <c r="C335" s="49">
        <f t="shared" si="17"/>
        <v>45962</v>
      </c>
      <c r="D335" s="49">
        <f t="shared" si="17"/>
        <v>45992</v>
      </c>
      <c r="E335" s="49">
        <f t="shared" si="17"/>
        <v>46023</v>
      </c>
      <c r="F335" s="49">
        <f t="shared" si="17"/>
        <v>46054</v>
      </c>
      <c r="G335" s="49">
        <f t="shared" si="17"/>
        <v>46082</v>
      </c>
    </row>
    <row r="336" spans="1:7" x14ac:dyDescent="0.3">
      <c r="A336" s="51" t="str">
        <f>'BALANÇO PATRIMONIAL'!B18</f>
        <v>(=) Saldo Patrimonial</v>
      </c>
      <c r="B336" s="90">
        <f>'BALANÇO PATRIMONIAL'!C18</f>
        <v>-352030.60000000009</v>
      </c>
      <c r="C336" s="90">
        <f>'BALANÇO PATRIMONIAL'!E18</f>
        <v>-128560.24000000022</v>
      </c>
      <c r="D336" s="90">
        <f>'BALANÇO PATRIMONIAL'!G18</f>
        <v>-8375.2600000000093</v>
      </c>
      <c r="E336" s="90">
        <f>'BALANÇO PATRIMONIAL'!I18</f>
        <v>-12267.219999999972</v>
      </c>
      <c r="F336" s="90">
        <f>'BALANÇO PATRIMONIAL'!K18</f>
        <v>-79085.87</v>
      </c>
      <c r="G336" s="90">
        <f>'BALANÇO PATRIMONIAL'!M18</f>
        <v>-28887.830000000191</v>
      </c>
    </row>
    <row r="354" spans="1:7" ht="30" customHeight="1" x14ac:dyDescent="0.3">
      <c r="A354" s="48" t="s">
        <v>1626</v>
      </c>
      <c r="B354" s="49">
        <f t="shared" ref="B354:G354" si="18">B1</f>
        <v>45931</v>
      </c>
      <c r="C354" s="49">
        <f t="shared" si="18"/>
        <v>45962</v>
      </c>
      <c r="D354" s="49">
        <f t="shared" si="18"/>
        <v>45992</v>
      </c>
      <c r="E354" s="49">
        <f t="shared" si="18"/>
        <v>46023</v>
      </c>
      <c r="F354" s="49">
        <f t="shared" si="18"/>
        <v>46054</v>
      </c>
      <c r="G354" s="49">
        <f t="shared" si="18"/>
        <v>46082</v>
      </c>
    </row>
    <row r="355" spans="1:7" x14ac:dyDescent="0.3">
      <c r="A355" s="133" t="str">
        <f>CPV!A15</f>
        <v>FATURAMENTO GOTT</v>
      </c>
      <c r="B355" s="79" t="str">
        <f>CPV!B15</f>
        <v>QTDE FATURADA</v>
      </c>
      <c r="C355" s="79" t="str">
        <f>CPV!E15</f>
        <v>QTDE FATURADA</v>
      </c>
      <c r="D355" s="79" t="str">
        <f>CPV!H15</f>
        <v>QTDE FATURADA</v>
      </c>
      <c r="E355" s="79" t="str">
        <f>CPV!K15</f>
        <v>QTDE FATURADA</v>
      </c>
      <c r="F355" s="79" t="str">
        <f>CPV!N15</f>
        <v>QTDE FATURADA</v>
      </c>
      <c r="G355" s="79" t="str">
        <f>CPV!Q15</f>
        <v>QTDE FATURADA</v>
      </c>
    </row>
    <row r="356" spans="1:7" x14ac:dyDescent="0.3">
      <c r="A356" s="50" t="str">
        <f>CPV!A16</f>
        <v>BMX</v>
      </c>
      <c r="B356" s="67">
        <f>CPV!B16</f>
        <v>801</v>
      </c>
      <c r="C356" s="67">
        <f>CPV!E16</f>
        <v>404</v>
      </c>
      <c r="D356" s="67">
        <f>CPV!H16</f>
        <v>844</v>
      </c>
      <c r="E356" s="67">
        <f>CPV!K16</f>
        <v>317</v>
      </c>
      <c r="F356" s="67">
        <f>CPV!N16</f>
        <v>116</v>
      </c>
      <c r="G356" s="67">
        <f>CPV!Q16</f>
        <v>284</v>
      </c>
    </row>
    <row r="357" spans="1:7" x14ac:dyDescent="0.3">
      <c r="A357" s="50" t="str">
        <f>CPV!A17</f>
        <v>Aro 29 aço 21 Imp (referência)</v>
      </c>
      <c r="B357" s="67">
        <f>CPV!B17</f>
        <v>593</v>
      </c>
      <c r="C357" s="67">
        <f>CPV!E17</f>
        <v>684</v>
      </c>
      <c r="D357" s="67">
        <f>CPV!H17</f>
        <v>664</v>
      </c>
      <c r="E357" s="67">
        <f>CPV!K17</f>
        <v>625</v>
      </c>
      <c r="F357" s="67">
        <f>CPV!N17</f>
        <v>261</v>
      </c>
      <c r="G357" s="67">
        <f>CPV!Q17</f>
        <v>596</v>
      </c>
    </row>
    <row r="358" spans="1:7" x14ac:dyDescent="0.3">
      <c r="A358" s="50" t="str">
        <f>CPV!A18</f>
        <v>Aro 29 AL 21 Shimano</v>
      </c>
      <c r="B358" s="67">
        <f>CPV!B18</f>
        <v>7</v>
      </c>
      <c r="C358" s="67">
        <f>CPV!E18</f>
        <v>153</v>
      </c>
      <c r="D358" s="67">
        <f>CPV!H18</f>
        <v>23</v>
      </c>
      <c r="E358" s="67">
        <f>CPV!K18</f>
        <v>29</v>
      </c>
      <c r="F358" s="67">
        <f>CPV!N18</f>
        <v>4</v>
      </c>
      <c r="G358" s="67">
        <f>CPV!Q18</f>
        <v>5</v>
      </c>
    </row>
    <row r="359" spans="1:7" x14ac:dyDescent="0.3">
      <c r="A359" s="50" t="str">
        <f>CPV!A19</f>
        <v>Aro 29 AL 21 Imp</v>
      </c>
      <c r="B359" s="67">
        <f>CPV!B19</f>
        <v>293</v>
      </c>
      <c r="C359" s="67">
        <f>CPV!E19</f>
        <v>18</v>
      </c>
      <c r="D359" s="67">
        <f>CPV!H19</f>
        <v>487</v>
      </c>
      <c r="E359" s="67">
        <f>CPV!K19</f>
        <v>332</v>
      </c>
      <c r="F359" s="67">
        <f>CPV!N19</f>
        <v>828</v>
      </c>
      <c r="G359" s="67">
        <f>CPV!Q19</f>
        <v>778</v>
      </c>
    </row>
    <row r="360" spans="1:7" x14ac:dyDescent="0.3">
      <c r="A360" s="50" t="str">
        <f>CPV!A20</f>
        <v>Aro 29 AL 24 Shimano Imp</v>
      </c>
      <c r="B360" s="67">
        <f>CPV!B20</f>
        <v>1</v>
      </c>
      <c r="C360" s="67">
        <f>CPV!E20</f>
        <v>12</v>
      </c>
      <c r="D360" s="67">
        <f>CPV!H20</f>
        <v>0</v>
      </c>
      <c r="E360" s="67">
        <f>CPV!K20</f>
        <v>0</v>
      </c>
      <c r="F360" s="67">
        <f>CPV!N20</f>
        <v>1</v>
      </c>
      <c r="G360" s="67">
        <f>CPV!Q20</f>
        <v>3</v>
      </c>
    </row>
    <row r="361" spans="1:7" x14ac:dyDescent="0.3">
      <c r="A361" s="50" t="str">
        <f>CPV!A21</f>
        <v>Aro 29 AL 24 Shimano DNTTRS</v>
      </c>
      <c r="B361" s="67">
        <f>CPV!B21</f>
        <v>5</v>
      </c>
      <c r="C361" s="67">
        <f>CPV!E21</f>
        <v>6</v>
      </c>
      <c r="D361" s="67">
        <f>CPV!H21</f>
        <v>1</v>
      </c>
      <c r="E361" s="67">
        <f>CPV!K21</f>
        <v>1</v>
      </c>
      <c r="F361" s="67">
        <f>CPV!N21</f>
        <v>1</v>
      </c>
      <c r="G361" s="67">
        <f>CPV!Q21</f>
        <v>1</v>
      </c>
    </row>
    <row r="362" spans="1:7" x14ac:dyDescent="0.3">
      <c r="A362" s="50" t="str">
        <f>CPV!A22</f>
        <v>Aro 29 AL 21 Shimano DNTTRS</v>
      </c>
      <c r="B362" s="67">
        <f>CPV!B22</f>
        <v>1</v>
      </c>
      <c r="C362" s="67">
        <f>CPV!E22</f>
        <v>1</v>
      </c>
      <c r="D362" s="67">
        <f>CPV!H22</f>
        <v>7</v>
      </c>
      <c r="E362" s="67">
        <f>CPV!K22</f>
        <v>14</v>
      </c>
      <c r="F362" s="67">
        <f>CPV!N22</f>
        <v>25</v>
      </c>
      <c r="G362" s="67">
        <f>CPV!Q22</f>
        <v>14</v>
      </c>
    </row>
    <row r="363" spans="1:7" x14ac:dyDescent="0.3">
      <c r="A363" s="50" t="str">
        <f>CPV!A23</f>
        <v>Aro 29 AL 24 Imp</v>
      </c>
      <c r="B363" s="67">
        <f>CPV!B23</f>
        <v>124</v>
      </c>
      <c r="C363" s="67">
        <f>CPV!E23</f>
        <v>990</v>
      </c>
      <c r="D363" s="67">
        <f>CPV!H23</f>
        <v>145</v>
      </c>
      <c r="E363" s="67">
        <f>CPV!K23</f>
        <v>127</v>
      </c>
      <c r="F363" s="67">
        <f>CPV!N23</f>
        <v>45</v>
      </c>
      <c r="G363" s="67">
        <f>CPV!Q23</f>
        <v>138</v>
      </c>
    </row>
    <row r="364" spans="1:7" x14ac:dyDescent="0.3">
      <c r="A364" s="51" t="s">
        <v>1627</v>
      </c>
      <c r="B364" s="83">
        <f>CPV!B25</f>
        <v>1825</v>
      </c>
      <c r="C364" s="83">
        <f>CPV!E25</f>
        <v>2268</v>
      </c>
      <c r="D364" s="83">
        <f>CPV!H25</f>
        <v>2185</v>
      </c>
      <c r="E364" s="83">
        <f>CPV!K25</f>
        <v>1647</v>
      </c>
      <c r="F364" s="83">
        <f>CPV!N25</f>
        <v>1330</v>
      </c>
      <c r="G364" s="83">
        <f>CPV!Q25</f>
        <v>1877</v>
      </c>
    </row>
    <row r="365" spans="1:7" x14ac:dyDescent="0.3">
      <c r="A365" s="51"/>
      <c r="B365" s="83"/>
      <c r="C365" s="88">
        <f>C364/B364-1</f>
        <v>0.24273972602739735</v>
      </c>
      <c r="D365" s="88">
        <f>D364/C364-1</f>
        <v>-3.6596119929453219E-2</v>
      </c>
      <c r="E365" s="88">
        <f>E364/D364-1</f>
        <v>-0.24622425629290623</v>
      </c>
      <c r="F365" s="88">
        <f>F364/E364-1</f>
        <v>-0.19247115968427442</v>
      </c>
      <c r="G365" s="88">
        <f>G364/F364-1</f>
        <v>0.41127819548872191</v>
      </c>
    </row>
    <row r="383" spans="1:7" ht="14.4" customHeight="1" x14ac:dyDescent="0.3">
      <c r="A383" s="48"/>
      <c r="B383" s="49">
        <f t="shared" ref="B383:G383" si="19">B1</f>
        <v>45931</v>
      </c>
      <c r="C383" s="49">
        <f t="shared" si="19"/>
        <v>45962</v>
      </c>
      <c r="D383" s="49">
        <f t="shared" si="19"/>
        <v>45992</v>
      </c>
      <c r="E383" s="49">
        <f t="shared" si="19"/>
        <v>46023</v>
      </c>
      <c r="F383" s="49">
        <f t="shared" si="19"/>
        <v>46054</v>
      </c>
      <c r="G383" s="49">
        <f t="shared" si="19"/>
        <v>46082</v>
      </c>
    </row>
    <row r="384" spans="1:7" x14ac:dyDescent="0.3">
      <c r="A384" s="133" t="str">
        <f>CPV!A28</f>
        <v>FATURAMENTO VIVER DE MARKETING</v>
      </c>
      <c r="B384" s="79" t="str">
        <f>CPV!B28</f>
        <v>QTDE FATURADA</v>
      </c>
      <c r="C384" s="79" t="str">
        <f>CPV!E28</f>
        <v>QTDE FATURADA</v>
      </c>
      <c r="D384" s="79" t="str">
        <f>CPV!H28</f>
        <v>QTDE FATURADA</v>
      </c>
      <c r="E384" s="79" t="str">
        <f>CPV!K28</f>
        <v>QTDE FATURADA</v>
      </c>
      <c r="F384" s="79" t="str">
        <f>CPV!N28</f>
        <v>QTDE FATURADA</v>
      </c>
      <c r="G384" s="79" t="str">
        <f>CPV!Q28</f>
        <v>QTDE FATURADA</v>
      </c>
    </row>
    <row r="385" spans="1:7" x14ac:dyDescent="0.3">
      <c r="A385" s="50" t="str">
        <f>CPV!A29</f>
        <v>BMX</v>
      </c>
      <c r="B385" s="67">
        <f>CPV!B29</f>
        <v>158</v>
      </c>
      <c r="C385" s="67">
        <f>CPV!E29</f>
        <v>158</v>
      </c>
      <c r="D385" s="67">
        <f>CPV!H29</f>
        <v>158</v>
      </c>
      <c r="E385" s="67">
        <f>CPV!K29</f>
        <v>88</v>
      </c>
      <c r="F385" s="67">
        <f>CPV!N29</f>
        <v>54</v>
      </c>
      <c r="G385" s="67">
        <f>CPV!Q29</f>
        <v>0</v>
      </c>
    </row>
    <row r="386" spans="1:7" x14ac:dyDescent="0.3">
      <c r="A386" s="50" t="str">
        <f>CPV!A30</f>
        <v>Aro 29 aço 21 Imp (referência)</v>
      </c>
      <c r="B386" s="67">
        <f>CPV!B30</f>
        <v>0</v>
      </c>
      <c r="C386" s="67">
        <f>CPV!E30</f>
        <v>0</v>
      </c>
      <c r="D386" s="67">
        <f>CPV!H30</f>
        <v>0</v>
      </c>
      <c r="E386" s="67">
        <f>CPV!K30</f>
        <v>0</v>
      </c>
      <c r="F386" s="67">
        <f>CPV!N30</f>
        <v>0</v>
      </c>
      <c r="G386" s="67">
        <f>CPV!Q30</f>
        <v>0</v>
      </c>
    </row>
    <row r="387" spans="1:7" x14ac:dyDescent="0.3">
      <c r="A387" s="50" t="str">
        <f>CPV!A31</f>
        <v>Aro 29 AL 21 Shimano</v>
      </c>
      <c r="B387" s="67">
        <f>CPV!B31</f>
        <v>0</v>
      </c>
      <c r="C387" s="67">
        <f>CPV!E31</f>
        <v>0</v>
      </c>
      <c r="D387" s="67">
        <f>CPV!H31</f>
        <v>0</v>
      </c>
      <c r="E387" s="67">
        <f>CPV!K31</f>
        <v>0</v>
      </c>
      <c r="F387" s="67">
        <f>CPV!N31</f>
        <v>0</v>
      </c>
      <c r="G387" s="67">
        <f>CPV!Q31</f>
        <v>0</v>
      </c>
    </row>
    <row r="388" spans="1:7" x14ac:dyDescent="0.3">
      <c r="A388" s="50" t="str">
        <f>CPV!A32</f>
        <v>Aro 29 AL 21 Imp</v>
      </c>
      <c r="B388" s="67">
        <f>CPV!B32</f>
        <v>0</v>
      </c>
      <c r="C388" s="67">
        <f>CPV!E32</f>
        <v>0</v>
      </c>
      <c r="D388" s="67">
        <f>CPV!H32</f>
        <v>0</v>
      </c>
      <c r="E388" s="67">
        <f>CPV!K32</f>
        <v>0</v>
      </c>
      <c r="F388" s="67">
        <f>CPV!N32</f>
        <v>0</v>
      </c>
      <c r="G388" s="67">
        <f>CPV!Q32</f>
        <v>0</v>
      </c>
    </row>
    <row r="389" spans="1:7" x14ac:dyDescent="0.3">
      <c r="A389" s="50" t="str">
        <f>CPV!A33</f>
        <v>Aro 29 AL 24 Shimano Imp</v>
      </c>
      <c r="B389" s="67">
        <f>CPV!B33</f>
        <v>0</v>
      </c>
      <c r="C389" s="67">
        <f>CPV!E33</f>
        <v>0</v>
      </c>
      <c r="D389" s="67">
        <f>CPV!H33</f>
        <v>0</v>
      </c>
      <c r="E389" s="67">
        <f>CPV!K33</f>
        <v>0</v>
      </c>
      <c r="F389" s="67">
        <f>CPV!N33</f>
        <v>0</v>
      </c>
      <c r="G389" s="67">
        <f>CPV!Q33</f>
        <v>0</v>
      </c>
    </row>
    <row r="390" spans="1:7" x14ac:dyDescent="0.3">
      <c r="A390" s="50" t="str">
        <f>CPV!A34</f>
        <v>Aro 29 AL 24 Shimano DNTTRS</v>
      </c>
      <c r="B390" s="67">
        <f>CPV!B34</f>
        <v>0</v>
      </c>
      <c r="C390" s="67">
        <f>CPV!E34</f>
        <v>0</v>
      </c>
      <c r="D390" s="67">
        <f>CPV!H34</f>
        <v>0</v>
      </c>
      <c r="E390" s="67">
        <f>CPV!K34</f>
        <v>0</v>
      </c>
      <c r="F390" s="67">
        <f>CPV!N34</f>
        <v>0</v>
      </c>
      <c r="G390" s="67">
        <f>CPV!Q34</f>
        <v>0</v>
      </c>
    </row>
    <row r="391" spans="1:7" x14ac:dyDescent="0.3">
      <c r="A391" s="50" t="str">
        <f>CPV!A35</f>
        <v>Aro 29 AL 21 Shimano DNTTRS</v>
      </c>
      <c r="B391" s="67">
        <f>CPV!B35</f>
        <v>0</v>
      </c>
      <c r="C391" s="67">
        <f>CPV!E35</f>
        <v>0</v>
      </c>
      <c r="D391" s="67">
        <f>CPV!H35</f>
        <v>0</v>
      </c>
      <c r="E391" s="67">
        <f>CPV!K35</f>
        <v>0</v>
      </c>
      <c r="F391" s="67">
        <f>CPV!N35</f>
        <v>0</v>
      </c>
      <c r="G391" s="67">
        <f>CPV!Q35</f>
        <v>0</v>
      </c>
    </row>
    <row r="392" spans="1:7" x14ac:dyDescent="0.3">
      <c r="A392" s="50" t="str">
        <f>CPV!A36</f>
        <v>Aro 29 AL 24 Imp</v>
      </c>
      <c r="B392" s="67">
        <f>CPV!B36</f>
        <v>0</v>
      </c>
      <c r="C392" s="67">
        <f>CPV!E36</f>
        <v>0</v>
      </c>
      <c r="D392" s="67">
        <f>CPV!H36</f>
        <v>0</v>
      </c>
      <c r="E392" s="67">
        <f>CPV!K36</f>
        <v>0</v>
      </c>
      <c r="F392" s="67">
        <f>CPV!N36</f>
        <v>0</v>
      </c>
      <c r="G392" s="67">
        <f>CPV!Q36</f>
        <v>0</v>
      </c>
    </row>
    <row r="393" spans="1:7" x14ac:dyDescent="0.3">
      <c r="A393" s="51" t="s">
        <v>1628</v>
      </c>
      <c r="B393" s="83">
        <f>CPV!B38</f>
        <v>158</v>
      </c>
      <c r="C393" s="83">
        <f>CPV!E38</f>
        <v>158</v>
      </c>
      <c r="D393" s="83">
        <f>CPV!H38</f>
        <v>158</v>
      </c>
      <c r="E393" s="83">
        <f>CPV!K38</f>
        <v>88</v>
      </c>
      <c r="F393" s="83">
        <f>CPV!N38</f>
        <v>54</v>
      </c>
      <c r="G393" s="83">
        <f>CPV!Q38</f>
        <v>0</v>
      </c>
    </row>
    <row r="394" spans="1:7" x14ac:dyDescent="0.3">
      <c r="A394" s="51"/>
      <c r="B394" s="83"/>
      <c r="C394" s="88">
        <f>C393/B393-1</f>
        <v>0</v>
      </c>
      <c r="D394" s="88">
        <f>D393/C393-1</f>
        <v>0</v>
      </c>
      <c r="E394" s="88">
        <f>E393/D393-1</f>
        <v>-0.44303797468354433</v>
      </c>
      <c r="F394" s="88">
        <f>F393/E393-1</f>
        <v>-0.38636363636363635</v>
      </c>
      <c r="G394" s="88">
        <f>G393/F393-1</f>
        <v>-1</v>
      </c>
    </row>
    <row r="396" spans="1:7" ht="14.4" customHeight="1" x14ac:dyDescent="0.3">
      <c r="A396" s="48"/>
      <c r="B396" s="49">
        <f t="shared" ref="B396:G396" si="20">B1</f>
        <v>45931</v>
      </c>
      <c r="C396" s="49">
        <f t="shared" si="20"/>
        <v>45962</v>
      </c>
      <c r="D396" s="49">
        <f t="shared" si="20"/>
        <v>45992</v>
      </c>
      <c r="E396" s="49">
        <f t="shared" si="20"/>
        <v>46023</v>
      </c>
      <c r="F396" s="49">
        <f t="shared" si="20"/>
        <v>46054</v>
      </c>
      <c r="G396" s="49">
        <f t="shared" si="20"/>
        <v>46082</v>
      </c>
    </row>
    <row r="397" spans="1:7" x14ac:dyDescent="0.3">
      <c r="A397" s="133" t="str">
        <f>CPV!A2</f>
        <v>FATURAMENTO TOTAL</v>
      </c>
      <c r="B397" s="79" t="str">
        <f>CPV!B2</f>
        <v>QTDE FATURADA</v>
      </c>
      <c r="C397" s="79" t="str">
        <f>CPV!E2</f>
        <v>QTDE FATURADA</v>
      </c>
      <c r="D397" s="79" t="str">
        <f>CPV!H2</f>
        <v>QTDE FATURADA</v>
      </c>
      <c r="E397" s="79" t="str">
        <f>CPV!K2</f>
        <v>QTDE FATURADA</v>
      </c>
      <c r="F397" s="79" t="str">
        <f>CPV!N2</f>
        <v>QTDE FATURADA</v>
      </c>
      <c r="G397" s="79" t="str">
        <f>CPV!Q2</f>
        <v>QTDE FATURADA</v>
      </c>
    </row>
    <row r="398" spans="1:7" x14ac:dyDescent="0.3">
      <c r="A398" s="50" t="str">
        <f>CPV!A3</f>
        <v>BMX</v>
      </c>
      <c r="B398" s="67">
        <f>CPV!B3</f>
        <v>959</v>
      </c>
      <c r="C398" s="67">
        <f>CPV!E3</f>
        <v>562</v>
      </c>
      <c r="D398" s="67">
        <f>CPV!H3</f>
        <v>1002</v>
      </c>
      <c r="E398" s="67">
        <f>CPV!K3</f>
        <v>405</v>
      </c>
      <c r="F398" s="67">
        <f>CPV!N3</f>
        <v>170</v>
      </c>
      <c r="G398" s="67">
        <f>CPV!Q3</f>
        <v>284</v>
      </c>
    </row>
    <row r="399" spans="1:7" x14ac:dyDescent="0.3">
      <c r="A399" s="50" t="str">
        <f>CPV!A4</f>
        <v>Aro 29 aço 21 Imp (referência)</v>
      </c>
      <c r="B399" s="67">
        <f>CPV!B4</f>
        <v>593</v>
      </c>
      <c r="C399" s="67">
        <f>CPV!E4</f>
        <v>684</v>
      </c>
      <c r="D399" s="67">
        <f>CPV!H4</f>
        <v>664</v>
      </c>
      <c r="E399" s="67">
        <f>CPV!K4</f>
        <v>625</v>
      </c>
      <c r="F399" s="67">
        <f>CPV!N4</f>
        <v>261</v>
      </c>
      <c r="G399" s="67">
        <f>CPV!Q4</f>
        <v>596</v>
      </c>
    </row>
    <row r="400" spans="1:7" x14ac:dyDescent="0.3">
      <c r="A400" s="50" t="str">
        <f>CPV!A5</f>
        <v>Ara 29 AL 21 Shimano</v>
      </c>
      <c r="B400" s="67">
        <f>CPV!B5</f>
        <v>7</v>
      </c>
      <c r="C400" s="67">
        <f>CPV!E5</f>
        <v>153</v>
      </c>
      <c r="D400" s="67">
        <f>CPV!H5</f>
        <v>23</v>
      </c>
      <c r="E400" s="67">
        <f>CPV!K5</f>
        <v>29</v>
      </c>
      <c r="F400" s="67">
        <f>CPV!N5</f>
        <v>4</v>
      </c>
      <c r="G400" s="67">
        <f>CPV!Q5</f>
        <v>5</v>
      </c>
    </row>
    <row r="401" spans="1:7" x14ac:dyDescent="0.3">
      <c r="A401" s="50" t="str">
        <f>CPV!A6</f>
        <v>Aro 29 AL 21 Imp</v>
      </c>
      <c r="B401" s="67">
        <f>CPV!B6</f>
        <v>293</v>
      </c>
      <c r="C401" s="67">
        <f>CPV!E6</f>
        <v>18</v>
      </c>
      <c r="D401" s="67">
        <f>CPV!H6</f>
        <v>487</v>
      </c>
      <c r="E401" s="67">
        <f>CPV!K6</f>
        <v>332</v>
      </c>
      <c r="F401" s="67">
        <f>CPV!N6</f>
        <v>828</v>
      </c>
      <c r="G401" s="67">
        <f>CPV!Q6</f>
        <v>778</v>
      </c>
    </row>
    <row r="402" spans="1:7" x14ac:dyDescent="0.3">
      <c r="A402" s="50" t="str">
        <f>CPV!A7</f>
        <v>Aro 29 AL 24 Shimano Imp</v>
      </c>
      <c r="B402" s="67">
        <f>CPV!B7</f>
        <v>1</v>
      </c>
      <c r="C402" s="67">
        <f>CPV!E7</f>
        <v>12</v>
      </c>
      <c r="D402" s="67">
        <f>CPV!H7</f>
        <v>0</v>
      </c>
      <c r="E402" s="67">
        <f>CPV!K7</f>
        <v>0</v>
      </c>
      <c r="F402" s="67">
        <f>CPV!N7</f>
        <v>1</v>
      </c>
      <c r="G402" s="67">
        <f>CPV!Q7</f>
        <v>3</v>
      </c>
    </row>
    <row r="403" spans="1:7" x14ac:dyDescent="0.3">
      <c r="A403" s="50" t="str">
        <f>CPV!A8</f>
        <v>Aro 29 AL 24 Shimano DNTTRS</v>
      </c>
      <c r="B403" s="67">
        <f>CPV!B8</f>
        <v>5</v>
      </c>
      <c r="C403" s="67">
        <f>CPV!E8</f>
        <v>6</v>
      </c>
      <c r="D403" s="67">
        <f>CPV!H8</f>
        <v>1</v>
      </c>
      <c r="E403" s="67">
        <f>CPV!K8</f>
        <v>1</v>
      </c>
      <c r="F403" s="67">
        <f>CPV!N8</f>
        <v>1</v>
      </c>
      <c r="G403" s="67">
        <f>CPV!Q8</f>
        <v>1</v>
      </c>
    </row>
    <row r="404" spans="1:7" x14ac:dyDescent="0.3">
      <c r="A404" s="50" t="str">
        <f>CPV!A9</f>
        <v>Aro 29 AL 21 Shimano DNTTRS</v>
      </c>
      <c r="B404" s="67">
        <f>CPV!B9</f>
        <v>1</v>
      </c>
      <c r="C404" s="67">
        <f>CPV!E9</f>
        <v>1</v>
      </c>
      <c r="D404" s="67">
        <f>CPV!H9</f>
        <v>7</v>
      </c>
      <c r="E404" s="67">
        <f>CPV!K9</f>
        <v>14</v>
      </c>
      <c r="F404" s="67">
        <f>CPV!N9</f>
        <v>25</v>
      </c>
      <c r="G404" s="67">
        <f>CPV!Q9</f>
        <v>14</v>
      </c>
    </row>
    <row r="405" spans="1:7" x14ac:dyDescent="0.3">
      <c r="A405" s="50" t="str">
        <f>CPV!A10</f>
        <v>Ara 29 AL 24 Imp</v>
      </c>
      <c r="B405" s="67">
        <f>CPV!B10</f>
        <v>124</v>
      </c>
      <c r="C405" s="67">
        <f>CPV!E10</f>
        <v>990</v>
      </c>
      <c r="D405" s="67">
        <f>CPV!H10</f>
        <v>145</v>
      </c>
      <c r="E405" s="67">
        <f>CPV!K10</f>
        <v>127</v>
      </c>
      <c r="F405" s="67">
        <f>CPV!N10</f>
        <v>45</v>
      </c>
      <c r="G405" s="67">
        <f>CPV!Q10</f>
        <v>138</v>
      </c>
    </row>
    <row r="406" spans="1:7" x14ac:dyDescent="0.3">
      <c r="A406" s="51" t="s">
        <v>1600</v>
      </c>
      <c r="B406" s="83">
        <f>CPV!B12</f>
        <v>1983</v>
      </c>
      <c r="C406" s="83">
        <f>CPV!E12</f>
        <v>2426</v>
      </c>
      <c r="D406" s="83">
        <f>CPV!H12</f>
        <v>2343</v>
      </c>
      <c r="E406" s="83">
        <f>CPV!K12</f>
        <v>1735</v>
      </c>
      <c r="F406" s="83">
        <f>CPV!N12</f>
        <v>1384</v>
      </c>
      <c r="G406" s="83">
        <f>CPV!Q12</f>
        <v>1877</v>
      </c>
    </row>
    <row r="407" spans="1:7" x14ac:dyDescent="0.3">
      <c r="A407" s="51"/>
      <c r="B407" s="83"/>
      <c r="C407" s="88">
        <f>C406/B406-1</f>
        <v>0.22339889056984363</v>
      </c>
      <c r="D407" s="88">
        <f>D406/C406-1</f>
        <v>-3.4212695795548198E-2</v>
      </c>
      <c r="E407" s="88">
        <f>E406/D406-1</f>
        <v>-0.25949637217242849</v>
      </c>
      <c r="F407" s="88">
        <f>F406/E406-1</f>
        <v>-0.20230547550432276</v>
      </c>
      <c r="G407" s="88">
        <f>G406/F406-1</f>
        <v>0.35621387283237005</v>
      </c>
    </row>
    <row r="409" spans="1:7" ht="14.4" customHeight="1" x14ac:dyDescent="0.3">
      <c r="A409" s="48"/>
      <c r="B409" s="49">
        <f t="shared" ref="B409:G409" si="21">B1</f>
        <v>45931</v>
      </c>
      <c r="C409" s="49">
        <f t="shared" si="21"/>
        <v>45962</v>
      </c>
      <c r="D409" s="49">
        <f t="shared" si="21"/>
        <v>45992</v>
      </c>
      <c r="E409" s="49">
        <f t="shared" si="21"/>
        <v>46023</v>
      </c>
      <c r="F409" s="49">
        <f t="shared" si="21"/>
        <v>46054</v>
      </c>
      <c r="G409" s="49">
        <f t="shared" si="21"/>
        <v>46082</v>
      </c>
    </row>
    <row r="410" spans="1:7" x14ac:dyDescent="0.3">
      <c r="A410" s="117" t="str">
        <f>DRE!B3</f>
        <v>(+) FATURAMENTO BRUTO</v>
      </c>
      <c r="B410" s="118">
        <f>DRE!C3</f>
        <v>1207206.99</v>
      </c>
      <c r="C410" s="118">
        <f>DRE!E3</f>
        <v>1594226.24</v>
      </c>
      <c r="D410" s="118">
        <f>DRE!H3</f>
        <v>1443037.2</v>
      </c>
      <c r="E410" s="118">
        <f>DRE!K3</f>
        <v>1101552.02</v>
      </c>
      <c r="F410" s="118">
        <f>DRE!N3</f>
        <v>936890.74</v>
      </c>
      <c r="G410" s="118">
        <f>DRE!Q3</f>
        <v>1373580.81</v>
      </c>
    </row>
    <row r="411" spans="1:7" x14ac:dyDescent="0.3">
      <c r="A411" s="55" t="str">
        <f>DFC!A3</f>
        <v>(+) ENTRADAS OPERACIONAIS BRUTAS</v>
      </c>
      <c r="B411" s="56">
        <f>DFC!B3</f>
        <v>1123115.1399999999</v>
      </c>
      <c r="C411" s="56">
        <f>DFC!D3</f>
        <v>988990.42999999993</v>
      </c>
      <c r="D411" s="56">
        <f>DFC!G3</f>
        <v>1091503.21</v>
      </c>
      <c r="E411" s="56">
        <f>DFC!J3</f>
        <v>943022.31</v>
      </c>
      <c r="F411" s="56">
        <f>DFC!M3</f>
        <v>691744.49</v>
      </c>
      <c r="G411" s="56">
        <f>DFC!P3</f>
        <v>1036116.52</v>
      </c>
    </row>
    <row r="412" spans="1:7" x14ac:dyDescent="0.3">
      <c r="A412" s="119" t="s">
        <v>1629</v>
      </c>
      <c r="B412" s="120">
        <f>B410-B411</f>
        <v>84091.850000000093</v>
      </c>
      <c r="C412" s="120">
        <f t="shared" ref="C412:D412" si="22">C410-C411</f>
        <v>605235.81000000006</v>
      </c>
      <c r="D412" s="120">
        <f t="shared" si="22"/>
        <v>351533.99</v>
      </c>
      <c r="E412" s="120">
        <f t="shared" ref="E412:F412" si="23">E410-E411</f>
        <v>158529.70999999996</v>
      </c>
      <c r="F412" s="120">
        <f t="shared" si="23"/>
        <v>245146.25</v>
      </c>
      <c r="G412" s="120">
        <f t="shared" ref="G412" si="24">G410-G411</f>
        <v>337464.29000000004</v>
      </c>
    </row>
    <row r="413" spans="1:7" x14ac:dyDescent="0.3">
      <c r="A413" s="119" t="s">
        <v>1630</v>
      </c>
      <c r="B413" s="121">
        <f>B412/B410</f>
        <v>6.9658186787006665E-2</v>
      </c>
      <c r="C413" s="121">
        <f t="shared" ref="C413:D413" si="25">C412/C410</f>
        <v>0.3796423586654803</v>
      </c>
      <c r="D413" s="121">
        <f t="shared" si="25"/>
        <v>0.24360701858552225</v>
      </c>
      <c r="E413" s="121">
        <f t="shared" ref="E413:F413" si="26">E412/E410</f>
        <v>0.14391486477415744</v>
      </c>
      <c r="F413" s="121">
        <f t="shared" si="26"/>
        <v>0.26165937983334109</v>
      </c>
      <c r="G413" s="121">
        <f t="shared" ref="G413" si="27">G412/G410</f>
        <v>0.24568215247561592</v>
      </c>
    </row>
    <row r="415" spans="1:7" ht="14.4" customHeight="1" x14ac:dyDescent="0.3">
      <c r="A415" s="48"/>
      <c r="B415" s="49">
        <f t="shared" ref="B415:G415" si="28">B1</f>
        <v>45931</v>
      </c>
      <c r="C415" s="49">
        <f t="shared" si="28"/>
        <v>45962</v>
      </c>
      <c r="D415" s="49">
        <f t="shared" si="28"/>
        <v>45992</v>
      </c>
      <c r="E415" s="49">
        <f t="shared" si="28"/>
        <v>46023</v>
      </c>
      <c r="F415" s="49">
        <f t="shared" si="28"/>
        <v>46054</v>
      </c>
      <c r="G415" s="49">
        <f t="shared" si="28"/>
        <v>46082</v>
      </c>
    </row>
    <row r="416" spans="1:7" x14ac:dyDescent="0.3">
      <c r="A416" s="51" t="str">
        <f>'BALANÇO PATRIMONIAL'!B3</f>
        <v>(+) Estoque Geral Preço de Custo</v>
      </c>
      <c r="B416" s="87">
        <f>'BALANÇO PATRIMONIAL'!C3</f>
        <v>1870693.04</v>
      </c>
      <c r="C416" s="87">
        <f>'BALANÇO PATRIMONIAL'!E3</f>
        <v>1047609.13</v>
      </c>
      <c r="D416" s="87">
        <f>'BALANÇO PATRIMONIAL'!G3</f>
        <v>989532.32</v>
      </c>
      <c r="E416" s="87">
        <f>'BALANÇO PATRIMONIAL'!I3</f>
        <v>1484653.61</v>
      </c>
      <c r="F416" s="87">
        <f>'BALANÇO PATRIMONIAL'!K3</f>
        <v>1039728.7999999999</v>
      </c>
      <c r="G416" s="87">
        <f>'BALANÇO PATRIMONIAL'!M3</f>
        <v>625302.88999999978</v>
      </c>
    </row>
    <row r="417" spans="1:7" x14ac:dyDescent="0.3">
      <c r="A417" s="55" t="str">
        <f>'BALANÇO PATRIMONIAL'!B4</f>
        <v xml:space="preserve">        Estoque de Peças</v>
      </c>
      <c r="B417" s="89">
        <f>'BALANÇO PATRIMONIAL'!C4</f>
        <v>1756895.02</v>
      </c>
      <c r="C417" s="89">
        <f>'BALANÇO PATRIMONIAL'!E4</f>
        <v>891913.41</v>
      </c>
      <c r="D417" s="89">
        <f>'BALANÇO PATRIMONIAL'!G4</f>
        <v>913788.12</v>
      </c>
      <c r="E417" s="89">
        <f>'BALANÇO PATRIMONIAL'!I4</f>
        <v>1254013.02</v>
      </c>
      <c r="F417" s="89">
        <f>'BALANÇO PATRIMONIAL'!K4</f>
        <v>698765.15999999992</v>
      </c>
      <c r="G417" s="89">
        <f>'BALANÇO PATRIMONIAL'!M4</f>
        <v>547363.7899999998</v>
      </c>
    </row>
    <row r="418" spans="1:7" x14ac:dyDescent="0.3">
      <c r="A418" s="51" t="str">
        <f>'BALANÇO PATRIMONIAL'!B36</f>
        <v>Custo dos Produtos Vendidos (R$) - CPV Ficha Técnica</v>
      </c>
      <c r="B418" s="87">
        <f>'BALANÇO PATRIMONIAL'!C36</f>
        <v>707593.72</v>
      </c>
      <c r="C418" s="87">
        <f>'BALANÇO PATRIMONIAL'!E36</f>
        <v>998625.2</v>
      </c>
      <c r="D418" s="87">
        <f>'BALANÇO PATRIMONIAL'!G36</f>
        <v>857572.80999999982</v>
      </c>
      <c r="E418" s="87">
        <f>'BALANÇO PATRIMONIAL'!I36</f>
        <v>667576.62</v>
      </c>
      <c r="F418" s="87">
        <f>'BALANÇO PATRIMONIAL'!K36</f>
        <v>577935.69000000006</v>
      </c>
      <c r="G418" s="87">
        <f>'BALANÇO PATRIMONIAL'!M36</f>
        <v>817037.4600000002</v>
      </c>
    </row>
    <row r="419" spans="1:7" x14ac:dyDescent="0.3">
      <c r="A419" s="55" t="str">
        <f>'BALANÇO PATRIMONIAL'!B33</f>
        <v>(+) Compras (R$)</v>
      </c>
      <c r="B419" s="89">
        <f>'BALANÇO PATRIMONIAL'!C33</f>
        <v>653601</v>
      </c>
      <c r="C419" s="89">
        <f>'BALANÇO PATRIMONIAL'!E33</f>
        <v>130272.71</v>
      </c>
      <c r="D419" s="89">
        <f>'BALANÇO PATRIMONIAL'!G33</f>
        <v>722430.91</v>
      </c>
      <c r="E419" s="89">
        <f>'BALANÇO PATRIMONIAL'!I33</f>
        <v>803250.69</v>
      </c>
      <c r="F419" s="89">
        <f>'BALANÇO PATRIMONIAL'!K33</f>
        <v>68376.03</v>
      </c>
      <c r="G419" s="89">
        <f>'BALANÇO PATRIMONIAL'!M33</f>
        <v>402611.25</v>
      </c>
    </row>
    <row r="420" spans="1:7" x14ac:dyDescent="0.3">
      <c r="A420" s="51" t="str">
        <f>DFC!A23</f>
        <v>(-) PAGAMENTOS DAS MERCADORIAS VENDIDAS</v>
      </c>
      <c r="B420" s="87">
        <f>DFC!B23</f>
        <v>965385.46</v>
      </c>
      <c r="C420" s="87">
        <f>DFC!D23</f>
        <v>956175.12999999966</v>
      </c>
      <c r="D420" s="87">
        <f>DFC!G23</f>
        <v>923865.01999999932</v>
      </c>
      <c r="E420" s="87">
        <f>DFC!J23</f>
        <v>942086.27999999991</v>
      </c>
      <c r="F420" s="87">
        <f>DFC!M23</f>
        <v>706911.0399999998</v>
      </c>
      <c r="G420" s="87">
        <f>DFC!P23</f>
        <v>709376.57999999973</v>
      </c>
    </row>
    <row r="454" spans="1:7" x14ac:dyDescent="0.3">
      <c r="A454" s="51" t="str">
        <f>DRE!B21</f>
        <v>(=) MARGEM DE CONTRIBUIÇÃO</v>
      </c>
      <c r="B454" s="87">
        <f>DRE!C21</f>
        <v>239038.9567499999</v>
      </c>
      <c r="C454" s="87">
        <f>DRE!E21</f>
        <v>289843.15800000005</v>
      </c>
      <c r="D454" s="87">
        <f>DRE!H21</f>
        <v>297882.50000000023</v>
      </c>
      <c r="E454" s="87">
        <f>DRE!K21</f>
        <v>200269.02649999992</v>
      </c>
      <c r="F454" s="87">
        <f>DRE!N21</f>
        <v>135896.79940000002</v>
      </c>
      <c r="G454" s="87">
        <f>DRE!Q21</f>
        <v>245798.00824999996</v>
      </c>
    </row>
    <row r="455" spans="1:7" x14ac:dyDescent="0.3">
      <c r="A455" s="51" t="str">
        <f>DRE!B21</f>
        <v>(=) MARGEM DE CONTRIBUIÇÃO</v>
      </c>
      <c r="B455" s="125">
        <f>DRE!D21</f>
        <v>0.19800991771096346</v>
      </c>
      <c r="C455" s="125">
        <f>DRE!F21</f>
        <v>0.18180804626575464</v>
      </c>
      <c r="D455" s="125">
        <f>DRE!I21</f>
        <v>0.206427457310179</v>
      </c>
      <c r="E455" s="125">
        <f>DRE!L21</f>
        <v>0.18180623598693044</v>
      </c>
      <c r="F455" s="125">
        <f>DRE!O21</f>
        <v>0.14505085128709888</v>
      </c>
      <c r="G455" s="125">
        <f>DRE!R21</f>
        <v>0.17894688573146267</v>
      </c>
    </row>
    <row r="457" spans="1:7" ht="14.4" customHeight="1" x14ac:dyDescent="0.3">
      <c r="A457" s="48"/>
      <c r="B457" s="49">
        <f t="shared" ref="B457:G457" si="29">B1</f>
        <v>45931</v>
      </c>
      <c r="C457" s="49">
        <f t="shared" si="29"/>
        <v>45962</v>
      </c>
      <c r="D457" s="49">
        <f t="shared" si="29"/>
        <v>45992</v>
      </c>
      <c r="E457" s="49">
        <f t="shared" si="29"/>
        <v>46023</v>
      </c>
      <c r="F457" s="49">
        <f t="shared" si="29"/>
        <v>46054</v>
      </c>
      <c r="G457" s="49">
        <f t="shared" si="29"/>
        <v>46082</v>
      </c>
    </row>
    <row r="458" spans="1:7" x14ac:dyDescent="0.3">
      <c r="A458" s="51" t="str">
        <f>'BALANÇO PATRIMONIAL'!B17</f>
        <v>(-) Contas a Pagar DDA</v>
      </c>
      <c r="B458" s="87">
        <f>'BALANÇO PATRIMONIAL'!C17</f>
        <v>2460338.56</v>
      </c>
      <c r="C458" s="87">
        <f>'BALANÇO PATRIMONIAL'!E17</f>
        <v>1688812.35</v>
      </c>
      <c r="D458" s="87">
        <f>'BALANÇO PATRIMONIAL'!G17</f>
        <v>1513014.68</v>
      </c>
      <c r="E458" s="87">
        <f>'BALANÇO PATRIMONIAL'!I17</f>
        <v>1410399.34</v>
      </c>
      <c r="F458" s="87">
        <f>'BALANÇO PATRIMONIAL'!K17</f>
        <v>1030284.4999999999</v>
      </c>
      <c r="G458" s="87">
        <f>'BALANÇO PATRIMONIAL'!M17</f>
        <v>708938.67</v>
      </c>
    </row>
    <row r="475" spans="1:7" ht="13.95" customHeight="1" x14ac:dyDescent="0.3"/>
    <row r="476" spans="1:7" ht="14.4" customHeight="1" x14ac:dyDescent="0.3">
      <c r="A476" s="48"/>
      <c r="B476" s="49">
        <f t="shared" ref="B476:G476" si="30">B1</f>
        <v>45931</v>
      </c>
      <c r="C476" s="49">
        <f t="shared" si="30"/>
        <v>45962</v>
      </c>
      <c r="D476" s="49">
        <f t="shared" si="30"/>
        <v>45992</v>
      </c>
      <c r="E476" s="49">
        <f t="shared" si="30"/>
        <v>46023</v>
      </c>
      <c r="F476" s="49">
        <f t="shared" si="30"/>
        <v>46054</v>
      </c>
      <c r="G476" s="49">
        <f t="shared" si="30"/>
        <v>46082</v>
      </c>
    </row>
    <row r="477" spans="1:7" x14ac:dyDescent="0.3">
      <c r="A477" s="51" t="str">
        <f>DFC!A36</f>
        <v>(-) CUSTOS FIXOS OPERACIONAIS</v>
      </c>
      <c r="B477" s="87">
        <f>DFC!B36</f>
        <v>94036.07</v>
      </c>
      <c r="C477" s="87">
        <f>DFC!D36</f>
        <v>105279.79000000001</v>
      </c>
      <c r="D477" s="87">
        <f>DFC!G36</f>
        <v>108655.94</v>
      </c>
      <c r="E477" s="87">
        <f>DFC!J36</f>
        <v>120407.84</v>
      </c>
      <c r="F477" s="87">
        <f>DFC!M36</f>
        <v>104587.45000000001</v>
      </c>
      <c r="G477" s="87">
        <f>DFC!P36</f>
        <v>152982.51</v>
      </c>
    </row>
    <row r="478" spans="1:7" x14ac:dyDescent="0.3">
      <c r="A478" s="55" t="str">
        <f>DFC!A36</f>
        <v>(-) CUSTOS FIXOS OPERACIONAIS</v>
      </c>
      <c r="B478" s="122">
        <f>DFC!C36</f>
        <v>8.372789810312771E-2</v>
      </c>
      <c r="C478" s="122">
        <f>DFC!E36</f>
        <v>0.10645177830487199</v>
      </c>
      <c r="D478" s="122">
        <f>DFC!H36</f>
        <v>9.9547064089715323E-2</v>
      </c>
      <c r="E478" s="122">
        <f>DFC!K36</f>
        <v>0.12768291770318774</v>
      </c>
      <c r="F478" s="122">
        <f>DFC!N36</f>
        <v>0.15119375941830779</v>
      </c>
      <c r="G478" s="122">
        <f>DFC!Q36</f>
        <v>0.14764990910481768</v>
      </c>
    </row>
    <row r="480" spans="1:7" x14ac:dyDescent="0.3">
      <c r="A480" s="51" t="str">
        <f>DFC!A45</f>
        <v>(-) DESPESAS COM FUNCIONARIOS</v>
      </c>
      <c r="B480" s="87">
        <f>DFC!B45</f>
        <v>52512.850000000006</v>
      </c>
      <c r="C480" s="87">
        <f>DFC!D45</f>
        <v>58108.85</v>
      </c>
      <c r="D480" s="87">
        <f>DFC!G45</f>
        <v>53354.61</v>
      </c>
      <c r="E480" s="87">
        <f>DFC!J45</f>
        <v>67164.210000000006</v>
      </c>
      <c r="F480" s="87">
        <f>DFC!M45</f>
        <v>35228.390000000007</v>
      </c>
      <c r="G480" s="87">
        <f>DFC!P45</f>
        <v>58075.249999999993</v>
      </c>
    </row>
    <row r="481" spans="1:9" x14ac:dyDescent="0.3">
      <c r="A481" s="55" t="str">
        <f>DFC!A45</f>
        <v>(-) DESPESAS COM FUNCIONARIOS</v>
      </c>
      <c r="B481" s="122">
        <f>DFC!C45</f>
        <v>4.6756426059753775E-2</v>
      </c>
      <c r="C481" s="122">
        <f>DFC!E45</f>
        <v>5.8755725270263737E-2</v>
      </c>
      <c r="D481" s="122">
        <f>DFC!H45</f>
        <v>4.8881771039409036E-2</v>
      </c>
      <c r="E481" s="122">
        <f>DFC!K45</f>
        <v>7.1222291655008679E-2</v>
      </c>
      <c r="F481" s="122">
        <f>DFC!N45</f>
        <v>5.092688197632049E-2</v>
      </c>
      <c r="G481" s="122">
        <f>DFC!Q45</f>
        <v>5.6050887017996771E-2</v>
      </c>
    </row>
    <row r="483" spans="1:9" x14ac:dyDescent="0.3">
      <c r="A483" s="51" t="str">
        <f>DRE!B3</f>
        <v>(+) FATURAMENTO BRUTO</v>
      </c>
      <c r="B483" s="52">
        <f>DRE!C3</f>
        <v>1207206.99</v>
      </c>
      <c r="C483" s="52">
        <f>DRE!E3</f>
        <v>1594226.24</v>
      </c>
      <c r="D483" s="52">
        <f>DRE!H3</f>
        <v>1443037.2</v>
      </c>
      <c r="E483" s="52">
        <f>DRE!K3</f>
        <v>1101552.02</v>
      </c>
      <c r="F483" s="52">
        <f>DRE!N3</f>
        <v>936890.74</v>
      </c>
      <c r="G483" s="52">
        <f>DRE!Q3</f>
        <v>1373580.81</v>
      </c>
    </row>
    <row r="484" spans="1:9" x14ac:dyDescent="0.3">
      <c r="A484" s="55" t="str">
        <f>DFC!A45</f>
        <v>(-) DESPESAS COM FUNCIONARIOS</v>
      </c>
      <c r="B484" s="89">
        <f>DFC!B45</f>
        <v>52512.850000000006</v>
      </c>
      <c r="C484" s="89">
        <f>DFC!D45</f>
        <v>58108.85</v>
      </c>
      <c r="D484" s="89">
        <f>DFC!G45</f>
        <v>53354.61</v>
      </c>
      <c r="E484" s="89">
        <f>DFC!J45</f>
        <v>67164.210000000006</v>
      </c>
      <c r="F484" s="89">
        <f>DFC!M45</f>
        <v>35228.390000000007</v>
      </c>
      <c r="G484" s="89">
        <f>DFC!P45</f>
        <v>58075.249999999993</v>
      </c>
    </row>
    <row r="485" spans="1:9" ht="14.4" customHeight="1" x14ac:dyDescent="0.3">
      <c r="A485" s="48"/>
      <c r="B485" s="49">
        <f t="shared" ref="B485:G485" si="31">B1</f>
        <v>45931</v>
      </c>
      <c r="C485" s="49">
        <f t="shared" si="31"/>
        <v>45962</v>
      </c>
      <c r="D485" s="49">
        <f t="shared" si="31"/>
        <v>45992</v>
      </c>
      <c r="E485" s="49">
        <f t="shared" si="31"/>
        <v>46023</v>
      </c>
      <c r="F485" s="49">
        <f t="shared" si="31"/>
        <v>46054</v>
      </c>
      <c r="G485" s="49">
        <f t="shared" si="31"/>
        <v>46082</v>
      </c>
      <c r="I485" s="418" t="s">
        <v>1631</v>
      </c>
    </row>
    <row r="486" spans="1:9" x14ac:dyDescent="0.3">
      <c r="A486" s="51" t="s">
        <v>1632</v>
      </c>
      <c r="B486" s="125">
        <f t="shared" ref="B486:G486" si="32">B484/B483</f>
        <v>4.3499458199790585E-2</v>
      </c>
      <c r="C486" s="125">
        <f t="shared" si="32"/>
        <v>3.6449563143559849E-2</v>
      </c>
      <c r="D486" s="125">
        <f t="shared" si="32"/>
        <v>3.697382853331848E-2</v>
      </c>
      <c r="E486" s="125">
        <f t="shared" si="32"/>
        <v>6.0972345182572496E-2</v>
      </c>
      <c r="F486" s="125">
        <f t="shared" si="32"/>
        <v>3.7601385621550715E-2</v>
      </c>
      <c r="G486" s="125">
        <f t="shared" si="32"/>
        <v>4.2280184447247765E-2</v>
      </c>
      <c r="I486" s="50" t="s">
        <v>1633</v>
      </c>
    </row>
    <row r="487" spans="1:9" x14ac:dyDescent="0.3">
      <c r="I487" s="50" t="s">
        <v>1634</v>
      </c>
    </row>
    <row r="488" spans="1:9" x14ac:dyDescent="0.3">
      <c r="I488" s="50" t="s">
        <v>1635</v>
      </c>
    </row>
    <row r="489" spans="1:9" x14ac:dyDescent="0.3">
      <c r="I489" s="50" t="s">
        <v>1636</v>
      </c>
    </row>
    <row r="490" spans="1:9" x14ac:dyDescent="0.3">
      <c r="I490" s="50" t="s">
        <v>1637</v>
      </c>
    </row>
    <row r="491" spans="1:9" x14ac:dyDescent="0.3">
      <c r="I491" s="50" t="s">
        <v>1638</v>
      </c>
    </row>
    <row r="492" spans="1:9" x14ac:dyDescent="0.3">
      <c r="I492" s="50" t="s">
        <v>1639</v>
      </c>
    </row>
    <row r="493" spans="1:9" x14ac:dyDescent="0.3">
      <c r="I493" s="50" t="s">
        <v>1640</v>
      </c>
    </row>
    <row r="504" spans="1:7" x14ac:dyDescent="0.3">
      <c r="A504" s="55" t="s">
        <v>1641</v>
      </c>
      <c r="B504" s="89">
        <f t="shared" ref="B504:G504" si="33">B483/B484</f>
        <v>22.988792076606011</v>
      </c>
      <c r="C504" s="89">
        <f t="shared" si="33"/>
        <v>27.435171062583411</v>
      </c>
      <c r="D504" s="89">
        <f t="shared" si="33"/>
        <v>27.046157773433261</v>
      </c>
      <c r="E504" s="89">
        <f t="shared" si="33"/>
        <v>16.400878086707191</v>
      </c>
      <c r="F504" s="89">
        <f t="shared" si="33"/>
        <v>26.594764620239523</v>
      </c>
      <c r="G504" s="89">
        <f t="shared" si="33"/>
        <v>23.651741662756514</v>
      </c>
    </row>
    <row r="506" spans="1:7" x14ac:dyDescent="0.3">
      <c r="A506" s="51" t="str">
        <f>'BALANÇO PATRIMONIAL'!B18</f>
        <v>(=) Saldo Patrimonial</v>
      </c>
      <c r="B506" s="123">
        <f>'BALANÇO PATRIMONIAL'!C18</f>
        <v>-352030.60000000009</v>
      </c>
      <c r="C506" s="123">
        <f>'BALANÇO PATRIMONIAL'!E18</f>
        <v>-128560.24000000022</v>
      </c>
      <c r="D506" s="123">
        <f>'BALANÇO PATRIMONIAL'!G18</f>
        <v>-8375.2600000000093</v>
      </c>
      <c r="E506" s="123">
        <f>'BALANÇO PATRIMONIAL'!I18</f>
        <v>-12267.219999999972</v>
      </c>
      <c r="F506" s="123">
        <f>'BALANÇO PATRIMONIAL'!K18</f>
        <v>-79085.87</v>
      </c>
      <c r="G506" s="123">
        <f>'BALANÇO PATRIMONIAL'!M18</f>
        <v>-28887.830000000191</v>
      </c>
    </row>
    <row r="508" spans="1:7" ht="14.4" customHeight="1" x14ac:dyDescent="0.3">
      <c r="A508" s="48"/>
      <c r="B508" s="49">
        <f t="shared" ref="B508:G508" si="34">B1</f>
        <v>45931</v>
      </c>
      <c r="C508" s="49">
        <f t="shared" si="34"/>
        <v>45962</v>
      </c>
      <c r="D508" s="49">
        <f t="shared" si="34"/>
        <v>45992</v>
      </c>
      <c r="E508" s="49">
        <f t="shared" si="34"/>
        <v>46023</v>
      </c>
      <c r="F508" s="49">
        <f t="shared" si="34"/>
        <v>46054</v>
      </c>
      <c r="G508" s="49">
        <f t="shared" si="34"/>
        <v>46082</v>
      </c>
    </row>
    <row r="509" spans="1:7" x14ac:dyDescent="0.3">
      <c r="A509" s="55" t="str">
        <f>'BALANÇO PATRIMONIAL'!B20</f>
        <v>Variação das Disponibilidades</v>
      </c>
      <c r="B509" s="124">
        <f>'BALANÇO PATRIMONIAL'!C20</f>
        <v>0</v>
      </c>
      <c r="C509" s="124">
        <f>'BALANÇO PATRIMONIAL'!E20</f>
        <v>-134069.95000000001</v>
      </c>
      <c r="D509" s="124">
        <f>'BALANÇO PATRIMONIAL'!G20</f>
        <v>-14496.399999999994</v>
      </c>
      <c r="E509" s="124">
        <f>'BALANÇO PATRIMONIAL'!I20</f>
        <v>-200627.76</v>
      </c>
      <c r="F509" s="124">
        <f>'BALANÇO PATRIMONIAL'!K20</f>
        <v>-200176.74000000005</v>
      </c>
      <c r="G509" s="124">
        <f>'BALANÇO PATRIMONIAL'!M20</f>
        <v>43278.120000000054</v>
      </c>
    </row>
    <row r="526" spans="1:7" ht="13.95" customHeight="1" x14ac:dyDescent="0.3"/>
    <row r="527" spans="1:7" ht="14.4" customHeight="1" x14ac:dyDescent="0.3">
      <c r="A527" s="48"/>
      <c r="B527" s="49">
        <f t="shared" ref="B527:G527" si="35">B1</f>
        <v>45931</v>
      </c>
      <c r="C527" s="49">
        <f t="shared" si="35"/>
        <v>45962</v>
      </c>
      <c r="D527" s="49">
        <f t="shared" si="35"/>
        <v>45992</v>
      </c>
      <c r="E527" s="49">
        <f t="shared" si="35"/>
        <v>46023</v>
      </c>
      <c r="F527" s="49">
        <f t="shared" si="35"/>
        <v>46054</v>
      </c>
      <c r="G527" s="49">
        <f t="shared" si="35"/>
        <v>46082</v>
      </c>
    </row>
    <row r="528" spans="1:7" x14ac:dyDescent="0.3">
      <c r="A528" s="55" t="str">
        <f>'BALANÇO PATRIMONIAL'!B7</f>
        <v>(+) Disponibilidades</v>
      </c>
      <c r="B528" s="124">
        <f>'BALANÇO PATRIMONIAL'!C7</f>
        <v>60840.68</v>
      </c>
      <c r="C528" s="124">
        <f>'BALANÇO PATRIMONIAL'!E7</f>
        <v>-73229.27</v>
      </c>
      <c r="D528" s="124">
        <f>'BALANÇO PATRIMONIAL'!G7</f>
        <v>-87725.67</v>
      </c>
      <c r="E528" s="124">
        <f>'BALANÇO PATRIMONIAL'!I7</f>
        <v>-288353.43</v>
      </c>
      <c r="F528" s="124">
        <f>'BALANÇO PATRIMONIAL'!K7</f>
        <v>-488530.17000000004</v>
      </c>
      <c r="G528" s="124">
        <f>'BALANÇO PATRIMONIAL'!M7</f>
        <v>-445252.05</v>
      </c>
    </row>
    <row r="546" spans="1:9" ht="14.4" customHeight="1" x14ac:dyDescent="0.3">
      <c r="A546" s="48"/>
      <c r="B546" s="49">
        <f t="shared" ref="B546:G546" si="36">B1</f>
        <v>45931</v>
      </c>
      <c r="C546" s="49">
        <f t="shared" si="36"/>
        <v>45962</v>
      </c>
      <c r="D546" s="49">
        <f t="shared" si="36"/>
        <v>45992</v>
      </c>
      <c r="E546" s="49">
        <f t="shared" si="36"/>
        <v>46023</v>
      </c>
      <c r="F546" s="49">
        <f t="shared" si="36"/>
        <v>46054</v>
      </c>
      <c r="G546" s="49">
        <f t="shared" si="36"/>
        <v>46082</v>
      </c>
    </row>
    <row r="547" spans="1:9" x14ac:dyDescent="0.3">
      <c r="A547" s="51" t="s">
        <v>1605</v>
      </c>
      <c r="B547" s="87">
        <f>DRE!C3/INDICADORES!B364</f>
        <v>661.48328219178086</v>
      </c>
      <c r="C547" s="87">
        <f>DRE!E3/INDICADORES!C364</f>
        <v>702.9216225749559</v>
      </c>
      <c r="D547" s="87">
        <f>DRE!H3/INDICADORES!D364</f>
        <v>660.42892448512589</v>
      </c>
      <c r="E547" s="87">
        <f>DRE!K3/INDICADORES!E364</f>
        <v>668.82332726168795</v>
      </c>
      <c r="F547" s="87">
        <f>DRE!N3/INDICADORES!F364</f>
        <v>704.42912781954885</v>
      </c>
      <c r="G547" s="87">
        <f>DRE!Q3/INDICADORES!G364</f>
        <v>731.79584976025581</v>
      </c>
    </row>
    <row r="548" spans="1:9" x14ac:dyDescent="0.3">
      <c r="A548" s="51" t="s">
        <v>1606</v>
      </c>
      <c r="B548" s="87">
        <f t="shared" ref="B548:G548" si="37">B418/B364</f>
        <v>387.72258630136986</v>
      </c>
      <c r="C548" s="87">
        <f t="shared" si="37"/>
        <v>440.31093474426808</v>
      </c>
      <c r="D548" s="87">
        <f t="shared" si="37"/>
        <v>392.48183524027451</v>
      </c>
      <c r="E548" s="87">
        <f t="shared" si="37"/>
        <v>405.32885245901639</v>
      </c>
      <c r="F548" s="87">
        <f t="shared" si="37"/>
        <v>434.53811278195491</v>
      </c>
      <c r="G548" s="87">
        <f t="shared" si="37"/>
        <v>435.28900372935544</v>
      </c>
      <c r="H548" s="230"/>
      <c r="I548" s="230"/>
    </row>
    <row r="549" spans="1:9" x14ac:dyDescent="0.3">
      <c r="A549" s="51" t="s">
        <v>1607</v>
      </c>
      <c r="B549" s="87">
        <f t="shared" ref="B549:G549" si="38">B547/B548</f>
        <v>1.7060736350232166</v>
      </c>
      <c r="C549" s="87">
        <f t="shared" si="38"/>
        <v>1.5964209995902365</v>
      </c>
      <c r="D549" s="87">
        <f t="shared" si="38"/>
        <v>1.6826993383803766</v>
      </c>
      <c r="E549" s="87">
        <f t="shared" si="38"/>
        <v>1.6500757920491584</v>
      </c>
      <c r="F549" s="87">
        <f t="shared" si="38"/>
        <v>1.6210986035487789</v>
      </c>
      <c r="G549" s="87">
        <f t="shared" si="38"/>
        <v>1.6811723785589952</v>
      </c>
    </row>
    <row r="567" spans="1:7" x14ac:dyDescent="0.3">
      <c r="A567" s="51" t="s">
        <v>1609</v>
      </c>
      <c r="B567" s="87">
        <v>0</v>
      </c>
      <c r="C567" s="87">
        <v>0</v>
      </c>
      <c r="D567" s="87">
        <f>65*291.08</f>
        <v>18920.2</v>
      </c>
      <c r="E567" s="87">
        <v>0</v>
      </c>
      <c r="F567" s="87">
        <v>0</v>
      </c>
      <c r="G567" s="87">
        <v>0</v>
      </c>
    </row>
    <row r="569" spans="1:7" ht="14.4" customHeight="1" x14ac:dyDescent="0.3">
      <c r="A569" s="48"/>
      <c r="B569" s="49">
        <f t="shared" ref="B569:G569" si="39">B1</f>
        <v>45931</v>
      </c>
      <c r="C569" s="49">
        <f t="shared" si="39"/>
        <v>45962</v>
      </c>
      <c r="D569" s="49">
        <f t="shared" si="39"/>
        <v>45992</v>
      </c>
      <c r="E569" s="49">
        <f t="shared" si="39"/>
        <v>46023</v>
      </c>
      <c r="F569" s="49">
        <f t="shared" si="39"/>
        <v>46054</v>
      </c>
      <c r="G569" s="49">
        <f t="shared" si="39"/>
        <v>46082</v>
      </c>
    </row>
    <row r="570" spans="1:7" x14ac:dyDescent="0.3">
      <c r="A570" s="51" t="str">
        <f>'BALANÇO PATRIMONIAL'!B40</f>
        <v>Giro de Estoque Geral em Dias</v>
      </c>
      <c r="B570" s="86">
        <f>'BALANÇO PATRIMONIAL'!C40</f>
        <v>60.997895303536609</v>
      </c>
      <c r="C570" s="86">
        <f>'BALANÇO PATRIMONIAL'!E40</f>
        <v>43.834796628404732</v>
      </c>
      <c r="D570" s="86">
        <f>'BALANÇO PATRIMONIAL'!G40</f>
        <v>35.632101896980629</v>
      </c>
      <c r="E570" s="86">
        <f>'BALANÇO PATRIMONIAL'!I40</f>
        <v>55.593302458675083</v>
      </c>
      <c r="F570" s="86">
        <f>'BALANÇO PATRIMONIAL'!K40</f>
        <v>65.518944071441581</v>
      </c>
      <c r="G570" s="86">
        <f>'BALANÇO PATRIMONIAL'!M40</f>
        <v>30.568335691731917</v>
      </c>
    </row>
    <row r="571" spans="1:7" x14ac:dyDescent="0.3">
      <c r="A571" s="51" t="str">
        <f>'BALANÇO PATRIMONIAL'!B49</f>
        <v>Giro de Estoque Peças em Dias</v>
      </c>
      <c r="B571" s="86">
        <f>'BALANÇO PATRIMONIAL'!C49</f>
        <v>58.585535990907324</v>
      </c>
      <c r="C571" s="86">
        <f>'BALANÇO PATRIMONIAL'!E49</f>
        <v>39.786825377529027</v>
      </c>
      <c r="D571" s="86">
        <f>'BALANÇO PATRIMONIAL'!G49</f>
        <v>31.583933905273891</v>
      </c>
      <c r="E571" s="86">
        <f>'BALANÇO PATRIMONIAL'!I49</f>
        <v>48.709041218369812</v>
      </c>
      <c r="F571" s="86">
        <f>'BALANÇO PATRIMONIAL'!K49</f>
        <v>50.683273600908777</v>
      </c>
      <c r="G571" s="86">
        <f>'BALANÇO PATRIMONIAL'!M49</f>
        <v>22.877695534302667</v>
      </c>
    </row>
    <row r="589" spans="1:7" ht="30" customHeight="1" x14ac:dyDescent="0.3">
      <c r="A589" s="48" t="s">
        <v>1642</v>
      </c>
      <c r="B589" s="49">
        <f t="shared" ref="B589:G589" si="40">B1</f>
        <v>45931</v>
      </c>
      <c r="C589" s="49">
        <f t="shared" si="40"/>
        <v>45962</v>
      </c>
      <c r="D589" s="49">
        <f t="shared" si="40"/>
        <v>45992</v>
      </c>
      <c r="E589" s="49">
        <f t="shared" si="40"/>
        <v>46023</v>
      </c>
      <c r="F589" s="49">
        <f t="shared" si="40"/>
        <v>46054</v>
      </c>
      <c r="G589" s="49">
        <f t="shared" si="40"/>
        <v>46082</v>
      </c>
    </row>
    <row r="590" spans="1:7" ht="25.2" customHeight="1" x14ac:dyDescent="0.3">
      <c r="A590" s="55" t="s">
        <v>1643</v>
      </c>
      <c r="B590" s="55"/>
      <c r="C590" s="55"/>
      <c r="D590" s="55"/>
      <c r="E590" s="55"/>
      <c r="F590" s="55"/>
      <c r="G590" s="55"/>
    </row>
    <row r="591" spans="1:7" x14ac:dyDescent="0.3">
      <c r="A591" s="51" t="str">
        <f>DRE!B37</f>
        <v>(=) RESULTADO APÓS DISTRIBUIÇÕES</v>
      </c>
      <c r="B591" s="52">
        <f>DRE!C37</f>
        <v>91463.73674999988</v>
      </c>
      <c r="C591" s="52">
        <f>DRE!E37</f>
        <v>166865.50800000006</v>
      </c>
      <c r="D591" s="52">
        <f>DRE!H37</f>
        <v>149722.59000000023</v>
      </c>
      <c r="E591" s="52">
        <f>DRE!K37</f>
        <v>46228.816499999921</v>
      </c>
      <c r="F591" s="52">
        <f>DRE!N37</f>
        <v>-14895.310599999979</v>
      </c>
      <c r="G591" s="52">
        <f>DRE!Q37</f>
        <v>52303.628249999958</v>
      </c>
    </row>
    <row r="592" spans="1:7" x14ac:dyDescent="0.3">
      <c r="A592" s="51" t="str">
        <f>DRE!B37</f>
        <v>(=) RESULTADO APÓS DISTRIBUIÇÕES</v>
      </c>
      <c r="B592" s="60">
        <f>DRE!D37</f>
        <v>7.5764750790583049E-2</v>
      </c>
      <c r="C592" s="60">
        <f>DRE!F37</f>
        <v>0.1046686497896309</v>
      </c>
      <c r="D592" s="60">
        <f>DRE!I37</f>
        <v>0.10375518385804623</v>
      </c>
      <c r="E592" s="60">
        <f>DRE!L37</f>
        <v>4.1966984455259697E-2</v>
      </c>
      <c r="F592" s="60">
        <f>DRE!O37</f>
        <v>-1.5898663487697594E-2</v>
      </c>
      <c r="G592" s="60">
        <f>DRE!R37</f>
        <v>3.807830443554315E-2</v>
      </c>
    </row>
    <row r="593" spans="1:7" x14ac:dyDescent="0.3">
      <c r="A593" s="169" t="s">
        <v>1644</v>
      </c>
      <c r="B593" s="167">
        <f>B591</f>
        <v>91463.73674999988</v>
      </c>
      <c r="C593" s="167">
        <f>C591+B591</f>
        <v>258329.24474999995</v>
      </c>
      <c r="D593" s="167">
        <f>D591+C591+B591</f>
        <v>408051.83475000015</v>
      </c>
      <c r="E593" s="167">
        <f>E591+D591+C591</f>
        <v>362816.91450000019</v>
      </c>
      <c r="F593" s="167">
        <f>SUM(B591:F591)</f>
        <v>439385.34065000009</v>
      </c>
      <c r="G593" s="167">
        <f>SUM(C591:G591)</f>
        <v>400225.23215000017</v>
      </c>
    </row>
    <row r="594" spans="1:7" ht="25.2" customHeight="1" x14ac:dyDescent="0.3">
      <c r="A594" s="55" t="s">
        <v>1645</v>
      </c>
      <c r="B594" s="55"/>
      <c r="C594" s="55"/>
      <c r="D594" s="55"/>
      <c r="E594" s="55"/>
      <c r="F594" s="55"/>
      <c r="G594" s="55"/>
    </row>
    <row r="595" spans="1:7" x14ac:dyDescent="0.3">
      <c r="A595" s="51" t="str">
        <f>DFC!A170</f>
        <v>FLUXO DE CAIXA (ENTRADAS - SAÍDAS)</v>
      </c>
      <c r="B595" s="90">
        <f>DFC!B170</f>
        <v>-22623.920000000158</v>
      </c>
      <c r="C595" s="90">
        <f>DFC!D170</f>
        <v>-52069.949999999721</v>
      </c>
      <c r="D595" s="90">
        <f>DFC!G170</f>
        <v>65393.600000000326</v>
      </c>
      <c r="E595" s="90">
        <f>DFC!J170</f>
        <v>-75586.459999999963</v>
      </c>
      <c r="F595" s="90">
        <f>DFC!M170</f>
        <v>-202048.75999999989</v>
      </c>
      <c r="G595" s="90">
        <f>DFC!P170</f>
        <v>44402.940000000293</v>
      </c>
    </row>
    <row r="596" spans="1:7" x14ac:dyDescent="0.3">
      <c r="A596" s="51"/>
      <c r="B596" s="60">
        <f>DFC!C170</f>
        <v>-2.0143900829259733E-2</v>
      </c>
      <c r="C596" s="60">
        <f>DFC!E170</f>
        <v>-4.5917450996477739E-2</v>
      </c>
      <c r="D596" s="60">
        <f>DFC!H170</f>
        <v>5.0365020008076238E-2</v>
      </c>
      <c r="E596" s="60">
        <f>DFC!K170</f>
        <v>-7.0772360551157362E-2</v>
      </c>
      <c r="F596" s="60">
        <f>DFC!N170</f>
        <v>-0.29208582492648388</v>
      </c>
      <c r="G596" s="60">
        <f>DFC!Q170</f>
        <v>4.2855160730378365E-2</v>
      </c>
    </row>
    <row r="598" spans="1:7" ht="25.2" customHeight="1" x14ac:dyDescent="0.3">
      <c r="A598" s="55" t="s">
        <v>1646</v>
      </c>
      <c r="B598" s="55"/>
      <c r="C598" s="55"/>
      <c r="D598" s="55"/>
      <c r="E598" s="55"/>
      <c r="F598" s="55"/>
      <c r="G598" s="55"/>
    </row>
    <row r="599" spans="1:7" x14ac:dyDescent="0.3">
      <c r="A599" s="51" t="str">
        <f>'BALANÇO PATRIMONIAL'!B20</f>
        <v>Variação das Disponibilidades</v>
      </c>
      <c r="B599" s="123">
        <f>'BALANÇO PATRIMONIAL'!C20</f>
        <v>0</v>
      </c>
      <c r="C599" s="123">
        <f>'BALANÇO PATRIMONIAL'!E20</f>
        <v>-134069.95000000001</v>
      </c>
      <c r="D599" s="123">
        <f>'BALANÇO PATRIMONIAL'!G20</f>
        <v>-14496.399999999994</v>
      </c>
      <c r="E599" s="123">
        <f>'BALANÇO PATRIMONIAL'!I20</f>
        <v>-200627.76</v>
      </c>
      <c r="F599" s="123">
        <f>'BALANÇO PATRIMONIAL'!K20</f>
        <v>-200176.74000000005</v>
      </c>
      <c r="G599" s="123">
        <f>'BALANÇO PATRIMONIAL'!M20</f>
        <v>43278.120000000054</v>
      </c>
    </row>
    <row r="601" spans="1:7" ht="25.2" customHeight="1" x14ac:dyDescent="0.3">
      <c r="A601" s="55" t="s">
        <v>1647</v>
      </c>
      <c r="B601" s="55"/>
      <c r="C601" s="55"/>
      <c r="D601" s="55"/>
      <c r="E601" s="55"/>
      <c r="F601" s="55"/>
      <c r="G601" s="55"/>
    </row>
    <row r="602" spans="1:7" x14ac:dyDescent="0.3">
      <c r="A602" s="51" t="str">
        <f>'BALANÇO PATRIMONIAL'!B18</f>
        <v>(=) Saldo Patrimonial</v>
      </c>
      <c r="B602" s="123">
        <f>'BALANÇO PATRIMONIAL'!C18</f>
        <v>-352030.60000000009</v>
      </c>
      <c r="C602" s="123">
        <f>'BALANÇO PATRIMONIAL'!E18</f>
        <v>-128560.24000000022</v>
      </c>
      <c r="D602" s="123">
        <f>'BALANÇO PATRIMONIAL'!G18</f>
        <v>-8375.2600000000093</v>
      </c>
      <c r="E602" s="123">
        <f>'BALANÇO PATRIMONIAL'!I18</f>
        <v>-12267.219999999972</v>
      </c>
      <c r="F602" s="123">
        <f>'BALANÇO PATRIMONIAL'!K18</f>
        <v>-79085.87</v>
      </c>
      <c r="G602" s="123">
        <f>'BALANÇO PATRIMONIAL'!M18</f>
        <v>-28887.830000000191</v>
      </c>
    </row>
    <row r="603" spans="1:7" x14ac:dyDescent="0.3">
      <c r="A603" s="51" t="s">
        <v>1648</v>
      </c>
      <c r="B603" s="123">
        <f>'BALANÇO PATRIMONIAL'!C24</f>
        <v>0</v>
      </c>
      <c r="C603" s="123">
        <f>C602-B602</f>
        <v>223470.35999999987</v>
      </c>
      <c r="D603" s="123">
        <f>D602-C602</f>
        <v>120184.98000000021</v>
      </c>
      <c r="E603" s="123">
        <f>E602-D602</f>
        <v>-3891.9599999999627</v>
      </c>
      <c r="F603" s="123">
        <f>F602-E602</f>
        <v>-66818.650000000023</v>
      </c>
      <c r="G603" s="123">
        <f>G602-F602</f>
        <v>50198.039999999804</v>
      </c>
    </row>
    <row r="605" spans="1:7" ht="25.2" customHeight="1" x14ac:dyDescent="0.3">
      <c r="A605" s="55" t="s">
        <v>1608</v>
      </c>
      <c r="B605" s="55"/>
      <c r="C605" s="55"/>
      <c r="D605" s="55"/>
      <c r="E605" s="55"/>
      <c r="F605" s="55"/>
      <c r="G605" s="55"/>
    </row>
    <row r="606" spans="1:7" x14ac:dyDescent="0.3">
      <c r="A606" s="51" t="str">
        <f>DRE!B3</f>
        <v>(+) FATURAMENTO BRUTO</v>
      </c>
      <c r="B606" s="52">
        <f>DRE!C3</f>
        <v>1207206.99</v>
      </c>
      <c r="C606" s="52">
        <f>DRE!E3</f>
        <v>1594226.24</v>
      </c>
      <c r="D606" s="52">
        <f>DRE!H3</f>
        <v>1443037.2</v>
      </c>
      <c r="E606" s="52">
        <f>DRE!K3</f>
        <v>1101552.02</v>
      </c>
      <c r="F606" s="52">
        <f>DRE!N3</f>
        <v>936890.74</v>
      </c>
      <c r="G606" s="52">
        <f>DRE!Q3</f>
        <v>1373580.81</v>
      </c>
    </row>
    <row r="607" spans="1:7" x14ac:dyDescent="0.3">
      <c r="A607" s="51" t="str">
        <f>'BALANÇO PATRIMONIAL'!B59</f>
        <v>Número de Funcionários</v>
      </c>
      <c r="B607" s="168">
        <f>'BALANÇO PATRIMONIAL'!C59</f>
        <v>13</v>
      </c>
      <c r="C607" s="168">
        <f>'BALANÇO PATRIMONIAL'!E59</f>
        <v>14</v>
      </c>
      <c r="D607" s="168">
        <f>'BALANÇO PATRIMONIAL'!G59</f>
        <v>14</v>
      </c>
      <c r="E607" s="168">
        <f>'BALANÇO PATRIMONIAL'!I59</f>
        <v>12</v>
      </c>
      <c r="F607" s="168">
        <f>'BALANÇO PATRIMONIAL'!K59</f>
        <v>13</v>
      </c>
      <c r="G607" s="168">
        <f>'BALANÇO PATRIMONIAL'!M59</f>
        <v>14</v>
      </c>
    </row>
    <row r="608" spans="1:7" x14ac:dyDescent="0.3">
      <c r="A608" s="51" t="s">
        <v>1608</v>
      </c>
      <c r="B608" s="52">
        <f>B606/B607</f>
        <v>92862.076153846152</v>
      </c>
      <c r="C608" s="52">
        <f t="shared" ref="C608:D608" si="41">C606/C607</f>
        <v>113873.30285714286</v>
      </c>
      <c r="D608" s="52">
        <f t="shared" si="41"/>
        <v>103074.08571428571</v>
      </c>
      <c r="E608" s="52">
        <f t="shared" ref="E608:F608" si="42">E606/E607</f>
        <v>91796.001666666663</v>
      </c>
      <c r="F608" s="52">
        <f t="shared" si="42"/>
        <v>72068.518461538464</v>
      </c>
      <c r="G608" s="52">
        <f t="shared" ref="G608" si="43">G606/G607</f>
        <v>98112.915000000008</v>
      </c>
    </row>
    <row r="610" spans="1:7" ht="14.4" customHeight="1" x14ac:dyDescent="0.3">
      <c r="A610" s="48"/>
      <c r="B610" s="49">
        <f t="shared" ref="B610:G610" si="44">B1</f>
        <v>45931</v>
      </c>
      <c r="C610" s="49">
        <f t="shared" si="44"/>
        <v>45962</v>
      </c>
      <c r="D610" s="49">
        <f t="shared" si="44"/>
        <v>45992</v>
      </c>
      <c r="E610" s="49">
        <f t="shared" si="44"/>
        <v>46023</v>
      </c>
      <c r="F610" s="49">
        <f t="shared" si="44"/>
        <v>46054</v>
      </c>
      <c r="G610" s="49">
        <f t="shared" si="44"/>
        <v>46082</v>
      </c>
    </row>
    <row r="611" spans="1:7" x14ac:dyDescent="0.3">
      <c r="A611" s="51" t="str">
        <f>'BALANÇO PATRIMONIAL'!B3</f>
        <v>(+) Estoque Geral Preço de Custo</v>
      </c>
      <c r="B611" s="87">
        <f>'BALANÇO PATRIMONIAL'!C3</f>
        <v>1870693.04</v>
      </c>
      <c r="C611" s="87">
        <f>'BALANÇO PATRIMONIAL'!E3</f>
        <v>1047609.13</v>
      </c>
      <c r="D611" s="87">
        <f>'BALANÇO PATRIMONIAL'!G3</f>
        <v>989532.32</v>
      </c>
      <c r="E611" s="87">
        <f>'BALANÇO PATRIMONIAL'!I3</f>
        <v>1484653.61</v>
      </c>
      <c r="F611" s="87">
        <f>'BALANÇO PATRIMONIAL'!K3</f>
        <v>1039728.7999999999</v>
      </c>
      <c r="G611" s="87">
        <f>'BALANÇO PATRIMONIAL'!M3</f>
        <v>625302.88999999978</v>
      </c>
    </row>
    <row r="612" spans="1:7" x14ac:dyDescent="0.3">
      <c r="A612" s="51" t="str">
        <f t="shared" ref="A612:G613" si="45">A547</f>
        <v>Ticket Médio de Venda</v>
      </c>
      <c r="B612" s="87">
        <f t="shared" si="45"/>
        <v>661.48328219178086</v>
      </c>
      <c r="C612" s="87">
        <f t="shared" si="45"/>
        <v>702.9216225749559</v>
      </c>
      <c r="D612" s="87">
        <f t="shared" si="45"/>
        <v>660.42892448512589</v>
      </c>
      <c r="E612" s="87">
        <f t="shared" si="45"/>
        <v>668.82332726168795</v>
      </c>
      <c r="F612" s="87">
        <f t="shared" si="45"/>
        <v>704.42912781954885</v>
      </c>
      <c r="G612" s="87">
        <f t="shared" si="45"/>
        <v>731.79584976025581</v>
      </c>
    </row>
    <row r="613" spans="1:7" x14ac:dyDescent="0.3">
      <c r="A613" s="51" t="str">
        <f t="shared" si="45"/>
        <v>Ticket Médio de Custo</v>
      </c>
      <c r="B613" s="87">
        <f t="shared" si="45"/>
        <v>387.72258630136986</v>
      </c>
      <c r="C613" s="87">
        <f t="shared" si="45"/>
        <v>440.31093474426808</v>
      </c>
      <c r="D613" s="87">
        <f t="shared" si="45"/>
        <v>392.48183524027451</v>
      </c>
      <c r="E613" s="87">
        <f t="shared" si="45"/>
        <v>405.32885245901639</v>
      </c>
      <c r="F613" s="87">
        <f t="shared" si="45"/>
        <v>434.53811278195491</v>
      </c>
      <c r="G613" s="87">
        <f t="shared" si="45"/>
        <v>435.28900372935544</v>
      </c>
    </row>
    <row r="614" spans="1:7" x14ac:dyDescent="0.3">
      <c r="A614" s="51" t="s">
        <v>1649</v>
      </c>
      <c r="B614" s="87">
        <f>B611/B613*B612</f>
        <v>3191540.0747654312</v>
      </c>
      <c r="C614" s="87">
        <f t="shared" ref="C614:F614" si="46">C611/C613*C612</f>
        <v>1672425.2144944582</v>
      </c>
      <c r="D614" s="87">
        <f t="shared" si="46"/>
        <v>1665085.3801699991</v>
      </c>
      <c r="E614" s="87">
        <f t="shared" si="46"/>
        <v>2449790.9814393925</v>
      </c>
      <c r="F614" s="87">
        <f t="shared" si="46"/>
        <v>1685502.9057494472</v>
      </c>
      <c r="G614" s="87">
        <f t="shared" ref="G614" si="47">G611/G613*G612</f>
        <v>1051241.9469011135</v>
      </c>
    </row>
    <row r="615" spans="1:7" x14ac:dyDescent="0.3">
      <c r="A615" s="55" t="s">
        <v>1650</v>
      </c>
      <c r="B615" s="284">
        <f>B614/B612</f>
        <v>4824.8234848664288</v>
      </c>
      <c r="C615" s="284">
        <f t="shared" ref="C615:F615" si="48">C614/C612</f>
        <v>2379.2484976746032</v>
      </c>
      <c r="D615" s="284">
        <f t="shared" si="48"/>
        <v>2521.2181333034573</v>
      </c>
      <c r="E615" s="284">
        <f t="shared" si="48"/>
        <v>3662.8372270886302</v>
      </c>
      <c r="F615" s="284">
        <f t="shared" si="48"/>
        <v>2392.7217645963337</v>
      </c>
      <c r="G615" s="284">
        <f t="shared" ref="G615" si="49">G614/G612</f>
        <v>1436.5235157394125</v>
      </c>
    </row>
    <row r="633" spans="1:7" ht="15" customHeight="1" x14ac:dyDescent="0.3">
      <c r="A633" s="48"/>
      <c r="B633" s="49">
        <f t="shared" ref="B633:G633" si="50">B1</f>
        <v>45931</v>
      </c>
      <c r="C633" s="49">
        <f t="shared" si="50"/>
        <v>45962</v>
      </c>
      <c r="D633" s="49">
        <f t="shared" si="50"/>
        <v>45992</v>
      </c>
      <c r="E633" s="49">
        <f t="shared" si="50"/>
        <v>46023</v>
      </c>
      <c r="F633" s="49">
        <f t="shared" si="50"/>
        <v>46054</v>
      </c>
      <c r="G633" s="49">
        <f t="shared" si="50"/>
        <v>46082</v>
      </c>
    </row>
    <row r="634" spans="1:7" x14ac:dyDescent="0.3">
      <c r="A634" s="51" t="str">
        <f>DRE!B12</f>
        <v>(-) CUSTO DOS PRODUTOS VENDIDOS</v>
      </c>
      <c r="B634" s="52">
        <f>DRE!C12</f>
        <v>707593.72</v>
      </c>
      <c r="C634" s="52">
        <f>DRE!E12</f>
        <v>998625.2</v>
      </c>
      <c r="D634" s="52">
        <f>DRE!H12</f>
        <v>857572.80999999982</v>
      </c>
      <c r="E634" s="52">
        <f>DRE!K12</f>
        <v>667576.62</v>
      </c>
      <c r="F634" s="52">
        <f>DRE!N12</f>
        <v>577935.69000000006</v>
      </c>
      <c r="G634" s="52">
        <f>DRE!Q12</f>
        <v>817037.4600000002</v>
      </c>
    </row>
    <row r="635" spans="1:7" x14ac:dyDescent="0.3">
      <c r="A635" s="51" t="str">
        <f>DFC!A23</f>
        <v>(-) PAGAMENTOS DAS MERCADORIAS VENDIDAS</v>
      </c>
      <c r="B635" s="90">
        <f>DFC!B23</f>
        <v>965385.46</v>
      </c>
      <c r="C635" s="90">
        <f>DFC!D23</f>
        <v>956175.12999999966</v>
      </c>
      <c r="D635" s="90">
        <f>DFC!G23</f>
        <v>923865.01999999932</v>
      </c>
      <c r="E635" s="90">
        <f>DFC!J23</f>
        <v>942086.27999999991</v>
      </c>
      <c r="F635" s="90">
        <f>DFC!M23</f>
        <v>706911.0399999998</v>
      </c>
      <c r="G635" s="90">
        <f>DFC!P23</f>
        <v>709376.57999999973</v>
      </c>
    </row>
    <row r="636" spans="1:7" x14ac:dyDescent="0.3">
      <c r="A636" s="55" t="s">
        <v>1651</v>
      </c>
      <c r="B636" s="124">
        <f t="shared" ref="B636:G636" si="51">B635-B634</f>
        <v>257791.74</v>
      </c>
      <c r="C636" s="124">
        <f t="shared" si="51"/>
        <v>-42450.070000000298</v>
      </c>
      <c r="D636" s="124">
        <f t="shared" si="51"/>
        <v>66292.209999999497</v>
      </c>
      <c r="E636" s="124">
        <f t="shared" si="51"/>
        <v>274509.65999999992</v>
      </c>
      <c r="F636" s="124">
        <f t="shared" si="51"/>
        <v>128975.34999999974</v>
      </c>
      <c r="G636" s="124">
        <f t="shared" si="51"/>
        <v>-107660.88000000047</v>
      </c>
    </row>
  </sheetData>
  <mergeCells count="1">
    <mergeCell ref="A297:G297"/>
  </mergeCells>
  <pageMargins left="0.511811024" right="0.511811024" top="0.78740157499999996" bottom="0.78740157499999996" header="0.31496062000000002" footer="0.31496062000000002"/>
  <pageSetup paperSize="9" scale="86" fitToHeight="0" orientation="landscape" r:id="rId1"/>
  <ignoredErrors>
    <ignoredError sqref="E608" evalError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2579-0C33-49B5-A6BB-31767C13AAC6}">
  <dimension ref="A1:S38"/>
  <sheetViews>
    <sheetView showGridLines="0" workbookViewId="0">
      <pane xSplit="1" topLeftCell="B1" activePane="topRight" state="frozen"/>
      <selection pane="topRight" activeCell="D2" sqref="D2"/>
    </sheetView>
  </sheetViews>
  <sheetFormatPr defaultColWidth="8.88671875" defaultRowHeight="15" customHeight="1" x14ac:dyDescent="0.3"/>
  <cols>
    <col min="1" max="1" width="33.33203125" style="107" bestFit="1" customWidth="1"/>
    <col min="2" max="2" width="9.109375" style="107" bestFit="1" customWidth="1"/>
    <col min="3" max="3" width="11.5546875" style="107" bestFit="1" customWidth="1"/>
    <col min="4" max="4" width="10.33203125" style="107" bestFit="1" customWidth="1"/>
    <col min="5" max="5" width="9.109375" style="107" bestFit="1" customWidth="1"/>
    <col min="6" max="6" width="11.5546875" style="107" bestFit="1" customWidth="1"/>
    <col min="7" max="7" width="10.33203125" style="107" bestFit="1" customWidth="1"/>
    <col min="8" max="8" width="9.109375" style="107" bestFit="1" customWidth="1"/>
    <col min="9" max="9" width="11.5546875" style="107" bestFit="1" customWidth="1"/>
    <col min="10" max="10" width="10.33203125" style="107" bestFit="1" customWidth="1"/>
    <col min="11" max="11" width="11.5546875" style="107" customWidth="1"/>
    <col min="12" max="12" width="12.33203125" style="107" customWidth="1"/>
    <col min="13" max="13" width="11.33203125" style="107" customWidth="1"/>
    <col min="14" max="14" width="11.5546875" style="107" customWidth="1"/>
    <col min="15" max="15" width="12.33203125" style="107" customWidth="1"/>
    <col min="16" max="17" width="11.33203125" style="107" customWidth="1"/>
    <col min="18" max="18" width="11.33203125" style="355" customWidth="1"/>
    <col min="19" max="19" width="11.33203125" style="107" customWidth="1"/>
    <col min="20" max="20" width="2.6640625" style="107" customWidth="1"/>
    <col min="21" max="16360" width="8.88671875" style="107"/>
    <col min="16361" max="16363" width="8.88671875" style="107" bestFit="1" customWidth="1"/>
    <col min="16364" max="16384" width="8.88671875" style="107"/>
  </cols>
  <sheetData>
    <row r="1" spans="1:19" ht="15" customHeight="1" x14ac:dyDescent="0.3">
      <c r="A1" s="98" t="s">
        <v>1051</v>
      </c>
      <c r="B1" s="497">
        <f>B14</f>
        <v>45931</v>
      </c>
      <c r="C1" s="504"/>
      <c r="D1" s="505"/>
      <c r="E1" s="497">
        <f>E14</f>
        <v>45962</v>
      </c>
      <c r="F1" s="504"/>
      <c r="G1" s="505"/>
      <c r="H1" s="497">
        <f>H14</f>
        <v>45992</v>
      </c>
      <c r="I1" s="504"/>
      <c r="J1" s="505"/>
      <c r="K1" s="497">
        <f>K14</f>
        <v>46023</v>
      </c>
      <c r="L1" s="504"/>
      <c r="M1" s="505"/>
      <c r="N1" s="497">
        <f>N14</f>
        <v>46054</v>
      </c>
      <c r="O1" s="504"/>
      <c r="P1" s="505"/>
      <c r="Q1" s="497">
        <f>Q14</f>
        <v>46082</v>
      </c>
      <c r="R1" s="504"/>
      <c r="S1" s="504"/>
    </row>
    <row r="2" spans="1:19" ht="41.4" x14ac:dyDescent="0.3">
      <c r="A2" s="100" t="s">
        <v>1652</v>
      </c>
      <c r="B2" s="101" t="s">
        <v>1653</v>
      </c>
      <c r="C2" s="100" t="s">
        <v>1601</v>
      </c>
      <c r="D2" s="100" t="s">
        <v>1602</v>
      </c>
      <c r="E2" s="101" t="s">
        <v>1653</v>
      </c>
      <c r="F2" s="100" t="s">
        <v>1601</v>
      </c>
      <c r="G2" s="100" t="s">
        <v>1602</v>
      </c>
      <c r="H2" s="101" t="s">
        <v>1653</v>
      </c>
      <c r="I2" s="100" t="s">
        <v>1601</v>
      </c>
      <c r="J2" s="100" t="s">
        <v>1602</v>
      </c>
      <c r="K2" s="101" t="s">
        <v>1653</v>
      </c>
      <c r="L2" s="100" t="s">
        <v>1601</v>
      </c>
      <c r="M2" s="100" t="s">
        <v>1602</v>
      </c>
      <c r="N2" s="101" t="s">
        <v>1653</v>
      </c>
      <c r="O2" s="100" t="s">
        <v>1601</v>
      </c>
      <c r="P2" s="100" t="s">
        <v>1602</v>
      </c>
      <c r="Q2" s="101" t="s">
        <v>1653</v>
      </c>
      <c r="R2" s="358" t="s">
        <v>1601</v>
      </c>
      <c r="S2" s="100" t="s">
        <v>1602</v>
      </c>
    </row>
    <row r="3" spans="1:19" ht="15" customHeight="1" x14ac:dyDescent="0.3">
      <c r="A3" s="103" t="s">
        <v>1654</v>
      </c>
      <c r="B3" s="104">
        <f t="shared" ref="B3:B11" si="0">B16+B29</f>
        <v>959</v>
      </c>
      <c r="C3" s="103">
        <f t="shared" ref="C3:C11" si="1">C16</f>
        <v>286.51</v>
      </c>
      <c r="D3" s="105">
        <f>B3*C3</f>
        <v>274763.08999999997</v>
      </c>
      <c r="E3" s="104">
        <f t="shared" ref="E3:E11" si="2">E16+E29</f>
        <v>562</v>
      </c>
      <c r="F3" s="103">
        <f t="shared" ref="F3:F11" si="3">F16</f>
        <v>286.51</v>
      </c>
      <c r="G3" s="105">
        <f>E3*F3</f>
        <v>161018.62</v>
      </c>
      <c r="H3" s="104">
        <f t="shared" ref="H3:H11" si="4">H16+H29</f>
        <v>1002</v>
      </c>
      <c r="I3" s="103">
        <f t="shared" ref="I3:I11" si="5">I16</f>
        <v>291.08</v>
      </c>
      <c r="J3" s="105">
        <f t="shared" ref="J3:J11" si="6">H3*I3</f>
        <v>291662.15999999997</v>
      </c>
      <c r="K3" s="104">
        <f t="shared" ref="K3:K11" si="7">K16+K29</f>
        <v>405</v>
      </c>
      <c r="L3" s="103">
        <f t="shared" ref="L3:L11" si="8">L16</f>
        <v>286.51</v>
      </c>
      <c r="M3" s="105">
        <f t="shared" ref="M3:M11" si="9">K3*L3</f>
        <v>116036.55</v>
      </c>
      <c r="N3" s="104">
        <f t="shared" ref="N3:N11" si="10">N16+N29</f>
        <v>170</v>
      </c>
      <c r="O3" s="105">
        <f t="shared" ref="O3:O11" si="11">O16</f>
        <v>288.60000000000002</v>
      </c>
      <c r="P3" s="105">
        <f t="shared" ref="P3:P11" si="12">N3*O3</f>
        <v>49062.000000000007</v>
      </c>
      <c r="Q3" s="104">
        <f t="shared" ref="Q3:Q11" si="13">Q16+Q29</f>
        <v>284</v>
      </c>
      <c r="R3" s="352">
        <f t="shared" ref="R3:R11" si="14">R16</f>
        <v>301.63</v>
      </c>
      <c r="S3" s="105">
        <f t="shared" ref="S3:S11" si="15">Q3*R3</f>
        <v>85662.92</v>
      </c>
    </row>
    <row r="4" spans="1:19" ht="15" customHeight="1" x14ac:dyDescent="0.3">
      <c r="A4" s="126" t="s">
        <v>1655</v>
      </c>
      <c r="B4" s="127">
        <f t="shared" si="0"/>
        <v>593</v>
      </c>
      <c r="C4" s="126">
        <f t="shared" si="1"/>
        <v>378.34</v>
      </c>
      <c r="D4" s="128">
        <f t="shared" ref="D4:D11" si="16">B4*C4</f>
        <v>224355.62</v>
      </c>
      <c r="E4" s="127">
        <f t="shared" si="2"/>
        <v>684</v>
      </c>
      <c r="F4" s="126">
        <f t="shared" si="3"/>
        <v>378.34</v>
      </c>
      <c r="G4" s="128">
        <f t="shared" ref="G4:G11" si="17">E4*F4</f>
        <v>258784.55999999997</v>
      </c>
      <c r="H4" s="127">
        <f t="shared" si="4"/>
        <v>664</v>
      </c>
      <c r="I4" s="126">
        <f t="shared" si="5"/>
        <v>372.37</v>
      </c>
      <c r="J4" s="128">
        <f t="shared" si="6"/>
        <v>247253.68</v>
      </c>
      <c r="K4" s="127">
        <f t="shared" si="7"/>
        <v>625</v>
      </c>
      <c r="L4" s="126">
        <f t="shared" si="8"/>
        <v>373.64</v>
      </c>
      <c r="M4" s="128">
        <f t="shared" si="9"/>
        <v>233525</v>
      </c>
      <c r="N4" s="127">
        <f t="shared" si="10"/>
        <v>261</v>
      </c>
      <c r="O4" s="126">
        <f t="shared" si="11"/>
        <v>369.55</v>
      </c>
      <c r="P4" s="128">
        <f t="shared" si="12"/>
        <v>96452.55</v>
      </c>
      <c r="Q4" s="127">
        <f t="shared" si="13"/>
        <v>596</v>
      </c>
      <c r="R4" s="353">
        <f t="shared" si="14"/>
        <v>405.88</v>
      </c>
      <c r="S4" s="128">
        <f t="shared" si="15"/>
        <v>241904.48</v>
      </c>
    </row>
    <row r="5" spans="1:19" ht="15" customHeight="1" x14ac:dyDescent="0.3">
      <c r="A5" s="103" t="s">
        <v>1656</v>
      </c>
      <c r="B5" s="104">
        <f t="shared" si="0"/>
        <v>7</v>
      </c>
      <c r="C5" s="105">
        <f t="shared" si="1"/>
        <v>502.92</v>
      </c>
      <c r="D5" s="105">
        <f t="shared" si="16"/>
        <v>3520.44</v>
      </c>
      <c r="E5" s="104">
        <f t="shared" si="2"/>
        <v>153</v>
      </c>
      <c r="F5" s="105">
        <f t="shared" si="3"/>
        <v>502.92</v>
      </c>
      <c r="G5" s="105">
        <f t="shared" si="17"/>
        <v>76946.760000000009</v>
      </c>
      <c r="H5" s="104">
        <f t="shared" si="4"/>
        <v>23</v>
      </c>
      <c r="I5" s="105">
        <f t="shared" si="5"/>
        <v>514.28</v>
      </c>
      <c r="J5" s="105">
        <f t="shared" si="6"/>
        <v>11828.439999999999</v>
      </c>
      <c r="K5" s="104">
        <f t="shared" si="7"/>
        <v>29</v>
      </c>
      <c r="L5" s="105">
        <f t="shared" si="8"/>
        <v>485.34</v>
      </c>
      <c r="M5" s="105">
        <f t="shared" si="9"/>
        <v>14074.859999999999</v>
      </c>
      <c r="N5" s="104">
        <f t="shared" si="10"/>
        <v>4</v>
      </c>
      <c r="O5" s="105">
        <f t="shared" si="11"/>
        <v>485.34</v>
      </c>
      <c r="P5" s="105">
        <f t="shared" si="12"/>
        <v>1941.36</v>
      </c>
      <c r="Q5" s="104">
        <f t="shared" si="13"/>
        <v>5</v>
      </c>
      <c r="R5" s="352">
        <f t="shared" si="14"/>
        <v>532.78</v>
      </c>
      <c r="S5" s="105">
        <f t="shared" si="15"/>
        <v>2663.8999999999996</v>
      </c>
    </row>
    <row r="6" spans="1:19" ht="15" customHeight="1" x14ac:dyDescent="0.3">
      <c r="A6" s="103" t="s">
        <v>1657</v>
      </c>
      <c r="B6" s="104">
        <f t="shared" si="0"/>
        <v>293</v>
      </c>
      <c r="C6" s="105">
        <f t="shared" si="1"/>
        <v>479.43</v>
      </c>
      <c r="D6" s="105">
        <f t="shared" si="16"/>
        <v>140472.99</v>
      </c>
      <c r="E6" s="104">
        <f t="shared" si="2"/>
        <v>18</v>
      </c>
      <c r="F6" s="105">
        <f t="shared" si="3"/>
        <v>479.43</v>
      </c>
      <c r="G6" s="105">
        <f t="shared" si="17"/>
        <v>8629.74</v>
      </c>
      <c r="H6" s="104">
        <f t="shared" si="4"/>
        <v>487</v>
      </c>
      <c r="I6" s="105">
        <f t="shared" si="5"/>
        <v>466.75</v>
      </c>
      <c r="J6" s="105">
        <f t="shared" si="6"/>
        <v>227307.25</v>
      </c>
      <c r="K6" s="104">
        <f t="shared" si="7"/>
        <v>332</v>
      </c>
      <c r="L6" s="105">
        <f t="shared" si="8"/>
        <v>457.75</v>
      </c>
      <c r="M6" s="105">
        <f t="shared" si="9"/>
        <v>151973</v>
      </c>
      <c r="N6" s="104">
        <f t="shared" si="10"/>
        <v>828</v>
      </c>
      <c r="O6" s="105">
        <f t="shared" si="11"/>
        <v>453.9</v>
      </c>
      <c r="P6" s="105">
        <f t="shared" si="12"/>
        <v>375829.19999999995</v>
      </c>
      <c r="Q6" s="104">
        <f t="shared" si="13"/>
        <v>778</v>
      </c>
      <c r="R6" s="352">
        <f t="shared" si="14"/>
        <v>486.35</v>
      </c>
      <c r="S6" s="105">
        <f t="shared" si="15"/>
        <v>378380.30000000005</v>
      </c>
    </row>
    <row r="7" spans="1:19" ht="15" customHeight="1" x14ac:dyDescent="0.3">
      <c r="A7" s="103" t="s">
        <v>1658</v>
      </c>
      <c r="B7" s="104">
        <f t="shared" si="0"/>
        <v>1</v>
      </c>
      <c r="C7" s="105">
        <f t="shared" si="1"/>
        <v>570.89</v>
      </c>
      <c r="D7" s="105">
        <f t="shared" si="16"/>
        <v>570.89</v>
      </c>
      <c r="E7" s="104">
        <f t="shared" si="2"/>
        <v>12</v>
      </c>
      <c r="F7" s="105">
        <f t="shared" si="3"/>
        <v>570.89</v>
      </c>
      <c r="G7" s="105">
        <f t="shared" si="17"/>
        <v>6850.68</v>
      </c>
      <c r="H7" s="104">
        <f t="shared" si="4"/>
        <v>0</v>
      </c>
      <c r="I7" s="105">
        <f t="shared" si="5"/>
        <v>562.88</v>
      </c>
      <c r="J7" s="105">
        <f t="shared" si="6"/>
        <v>0</v>
      </c>
      <c r="K7" s="104">
        <f t="shared" si="7"/>
        <v>0</v>
      </c>
      <c r="L7" s="105">
        <f t="shared" si="8"/>
        <v>554.28</v>
      </c>
      <c r="M7" s="105">
        <f t="shared" si="9"/>
        <v>0</v>
      </c>
      <c r="N7" s="104">
        <f t="shared" si="10"/>
        <v>1</v>
      </c>
      <c r="O7" s="105">
        <f t="shared" si="11"/>
        <v>481.49</v>
      </c>
      <c r="P7" s="105">
        <f t="shared" si="12"/>
        <v>481.49</v>
      </c>
      <c r="Q7" s="104">
        <f t="shared" si="13"/>
        <v>3</v>
      </c>
      <c r="R7" s="352">
        <f t="shared" si="14"/>
        <v>518.85</v>
      </c>
      <c r="S7" s="105">
        <f t="shared" si="15"/>
        <v>1556.5500000000002</v>
      </c>
    </row>
    <row r="8" spans="1:19" ht="15" customHeight="1" x14ac:dyDescent="0.3">
      <c r="A8" s="103" t="s">
        <v>1659</v>
      </c>
      <c r="B8" s="104">
        <f t="shared" si="0"/>
        <v>5</v>
      </c>
      <c r="C8" s="105">
        <f t="shared" si="1"/>
        <v>594.92999999999995</v>
      </c>
      <c r="D8" s="105">
        <f t="shared" si="16"/>
        <v>2974.6499999999996</v>
      </c>
      <c r="E8" s="104">
        <f t="shared" si="2"/>
        <v>6</v>
      </c>
      <c r="F8" s="105">
        <f t="shared" si="3"/>
        <v>594.92999999999995</v>
      </c>
      <c r="G8" s="105">
        <f t="shared" si="17"/>
        <v>3569.58</v>
      </c>
      <c r="H8" s="104">
        <f t="shared" si="4"/>
        <v>1</v>
      </c>
      <c r="I8" s="105">
        <f t="shared" si="5"/>
        <v>586.91999999999996</v>
      </c>
      <c r="J8" s="105">
        <f t="shared" si="6"/>
        <v>586.91999999999996</v>
      </c>
      <c r="K8" s="104">
        <f t="shared" si="7"/>
        <v>1</v>
      </c>
      <c r="L8" s="105">
        <f t="shared" si="8"/>
        <v>578.30999999999995</v>
      </c>
      <c r="M8" s="105">
        <f t="shared" si="9"/>
        <v>578.30999999999995</v>
      </c>
      <c r="N8" s="104">
        <f t="shared" si="10"/>
        <v>1</v>
      </c>
      <c r="O8" s="105">
        <f t="shared" si="11"/>
        <v>578.30999999999995</v>
      </c>
      <c r="P8" s="105">
        <f t="shared" si="12"/>
        <v>578.30999999999995</v>
      </c>
      <c r="Q8" s="104">
        <f t="shared" si="13"/>
        <v>1</v>
      </c>
      <c r="R8" s="352">
        <f t="shared" si="14"/>
        <v>625.53</v>
      </c>
      <c r="S8" s="105">
        <f t="shared" si="15"/>
        <v>625.53</v>
      </c>
    </row>
    <row r="9" spans="1:19" ht="15" customHeight="1" x14ac:dyDescent="0.3">
      <c r="A9" s="103" t="s">
        <v>1660</v>
      </c>
      <c r="B9" s="104">
        <f t="shared" si="0"/>
        <v>1</v>
      </c>
      <c r="C9" s="105">
        <f t="shared" si="1"/>
        <v>526.96</v>
      </c>
      <c r="D9" s="105">
        <f t="shared" si="16"/>
        <v>526.96</v>
      </c>
      <c r="E9" s="104">
        <f t="shared" si="2"/>
        <v>1</v>
      </c>
      <c r="F9" s="105">
        <f t="shared" si="3"/>
        <v>526.96</v>
      </c>
      <c r="G9" s="105">
        <f t="shared" si="17"/>
        <v>526.96</v>
      </c>
      <c r="H9" s="104">
        <f t="shared" si="4"/>
        <v>7</v>
      </c>
      <c r="I9" s="105">
        <f t="shared" si="5"/>
        <v>514.28</v>
      </c>
      <c r="J9" s="105">
        <f t="shared" si="6"/>
        <v>3599.96</v>
      </c>
      <c r="K9" s="104">
        <f t="shared" si="7"/>
        <v>14</v>
      </c>
      <c r="L9" s="105">
        <f t="shared" si="8"/>
        <v>509.37</v>
      </c>
      <c r="M9" s="105">
        <f t="shared" si="9"/>
        <v>7131.18</v>
      </c>
      <c r="N9" s="104">
        <f t="shared" si="10"/>
        <v>25</v>
      </c>
      <c r="O9" s="105">
        <f t="shared" si="11"/>
        <v>505.53</v>
      </c>
      <c r="P9" s="105">
        <f t="shared" si="12"/>
        <v>12638.25</v>
      </c>
      <c r="Q9" s="104">
        <f t="shared" si="13"/>
        <v>14</v>
      </c>
      <c r="R9" s="352">
        <f t="shared" si="14"/>
        <v>555.74</v>
      </c>
      <c r="S9" s="105">
        <f t="shared" si="15"/>
        <v>7780.3600000000006</v>
      </c>
    </row>
    <row r="10" spans="1:19" ht="15" customHeight="1" x14ac:dyDescent="0.3">
      <c r="A10" s="103" t="s">
        <v>1661</v>
      </c>
      <c r="B10" s="104">
        <f t="shared" si="0"/>
        <v>124</v>
      </c>
      <c r="C10" s="105">
        <f t="shared" si="1"/>
        <v>487.17</v>
      </c>
      <c r="D10" s="105">
        <f t="shared" si="16"/>
        <v>60409.08</v>
      </c>
      <c r="E10" s="104">
        <f t="shared" si="2"/>
        <v>990</v>
      </c>
      <c r="F10" s="105">
        <f t="shared" si="3"/>
        <v>487.17</v>
      </c>
      <c r="G10" s="105">
        <f t="shared" si="17"/>
        <v>482298.3</v>
      </c>
      <c r="H10" s="104">
        <f t="shared" si="4"/>
        <v>145</v>
      </c>
      <c r="I10" s="105">
        <f t="shared" si="5"/>
        <v>479.16</v>
      </c>
      <c r="J10" s="105">
        <f t="shared" si="6"/>
        <v>69478.2</v>
      </c>
      <c r="K10" s="104">
        <f t="shared" si="7"/>
        <v>127</v>
      </c>
      <c r="L10" s="105">
        <f t="shared" si="8"/>
        <v>470.56</v>
      </c>
      <c r="M10" s="105">
        <f t="shared" si="9"/>
        <v>59761.120000000003</v>
      </c>
      <c r="N10" s="104">
        <f t="shared" si="10"/>
        <v>45</v>
      </c>
      <c r="O10" s="105">
        <f t="shared" si="11"/>
        <v>467.02</v>
      </c>
      <c r="P10" s="105">
        <f t="shared" si="12"/>
        <v>21015.899999999998</v>
      </c>
      <c r="Q10" s="104">
        <f t="shared" si="13"/>
        <v>138</v>
      </c>
      <c r="R10" s="352">
        <f t="shared" si="14"/>
        <v>518.85</v>
      </c>
      <c r="S10" s="105">
        <f t="shared" si="15"/>
        <v>71601.3</v>
      </c>
    </row>
    <row r="11" spans="1:19" ht="15" customHeight="1" x14ac:dyDescent="0.3">
      <c r="A11" s="103" t="s">
        <v>1662</v>
      </c>
      <c r="B11" s="104">
        <f t="shared" si="0"/>
        <v>0</v>
      </c>
      <c r="C11" s="105">
        <f t="shared" si="1"/>
        <v>0</v>
      </c>
      <c r="D11" s="105">
        <f t="shared" si="16"/>
        <v>0</v>
      </c>
      <c r="E11" s="104">
        <f t="shared" si="2"/>
        <v>0</v>
      </c>
      <c r="F11" s="105">
        <f t="shared" si="3"/>
        <v>0</v>
      </c>
      <c r="G11" s="105">
        <f t="shared" si="17"/>
        <v>0</v>
      </c>
      <c r="H11" s="104">
        <f t="shared" si="4"/>
        <v>14</v>
      </c>
      <c r="I11" s="105">
        <f t="shared" si="5"/>
        <v>418.3</v>
      </c>
      <c r="J11" s="105">
        <f t="shared" si="6"/>
        <v>5856.2</v>
      </c>
      <c r="K11" s="104">
        <f t="shared" si="7"/>
        <v>202</v>
      </c>
      <c r="L11" s="105">
        <f t="shared" si="8"/>
        <v>418.3</v>
      </c>
      <c r="M11" s="105">
        <f t="shared" si="9"/>
        <v>84496.6</v>
      </c>
      <c r="N11" s="104">
        <f t="shared" si="10"/>
        <v>49</v>
      </c>
      <c r="O11" s="105">
        <f t="shared" si="11"/>
        <v>406.87</v>
      </c>
      <c r="P11" s="105">
        <f t="shared" si="12"/>
        <v>19936.63</v>
      </c>
      <c r="Q11" s="104">
        <f t="shared" si="13"/>
        <v>58</v>
      </c>
      <c r="R11" s="352">
        <f t="shared" si="14"/>
        <v>463.14</v>
      </c>
      <c r="S11" s="105">
        <f t="shared" si="15"/>
        <v>26862.12</v>
      </c>
    </row>
    <row r="12" spans="1:19" ht="15" customHeight="1" x14ac:dyDescent="0.3">
      <c r="A12" s="116"/>
      <c r="B12" s="129">
        <f>SUM(B3:B11)</f>
        <v>1983</v>
      </c>
      <c r="C12" s="130">
        <f>D12/B12</f>
        <v>356.82991427130605</v>
      </c>
      <c r="D12" s="131">
        <f>SUM(D3:D11)</f>
        <v>707593.71999999986</v>
      </c>
      <c r="E12" s="129">
        <f>SUM(E3:E11)</f>
        <v>2426</v>
      </c>
      <c r="F12" s="130">
        <f>G12/E12</f>
        <v>411.63446001648805</v>
      </c>
      <c r="G12" s="131">
        <f>SUM(G3:G11)</f>
        <v>998625.2</v>
      </c>
      <c r="H12" s="129">
        <f>SUM(H3:H11)</f>
        <v>2343</v>
      </c>
      <c r="I12" s="130">
        <f>J12/H12</f>
        <v>366.01485702091327</v>
      </c>
      <c r="J12" s="131">
        <f>SUM(J3:J11)</f>
        <v>857572.80999999982</v>
      </c>
      <c r="K12" s="129">
        <f>SUM(K3:K11)</f>
        <v>1735</v>
      </c>
      <c r="L12" s="130">
        <f>M12/K12</f>
        <v>384.77038616714697</v>
      </c>
      <c r="M12" s="131">
        <f>SUM(M3:M11)</f>
        <v>667576.62</v>
      </c>
      <c r="N12" s="129">
        <f>SUM(N3:N11)</f>
        <v>1384</v>
      </c>
      <c r="O12" s="130">
        <f>P12/N12</f>
        <v>417.58359104046247</v>
      </c>
      <c r="P12" s="131">
        <f>SUM(P3:P11)</f>
        <v>577935.69000000006</v>
      </c>
      <c r="Q12" s="129">
        <f>SUM(Q3:Q11)</f>
        <v>1877</v>
      </c>
      <c r="R12" s="354">
        <f>S12/Q12</f>
        <v>435.28900372935544</v>
      </c>
      <c r="S12" s="131">
        <f>SUM(S3:S11)</f>
        <v>817037.4600000002</v>
      </c>
    </row>
    <row r="14" spans="1:19" s="99" customFormat="1" ht="13.95" customHeight="1" x14ac:dyDescent="0.3">
      <c r="A14" s="98" t="s">
        <v>1051</v>
      </c>
      <c r="B14" s="497">
        <v>45931</v>
      </c>
      <c r="C14" s="504"/>
      <c r="D14" s="505"/>
      <c r="E14" s="497">
        <v>45962</v>
      </c>
      <c r="F14" s="504"/>
      <c r="G14" s="505"/>
      <c r="H14" s="497">
        <v>45992</v>
      </c>
      <c r="I14" s="504"/>
      <c r="J14" s="505"/>
      <c r="K14" s="497">
        <v>46023</v>
      </c>
      <c r="L14" s="504"/>
      <c r="M14" s="505"/>
      <c r="N14" s="497">
        <v>46054</v>
      </c>
      <c r="O14" s="504"/>
      <c r="P14" s="505"/>
      <c r="Q14" s="497">
        <v>46082</v>
      </c>
      <c r="R14" s="504"/>
      <c r="S14" s="504"/>
    </row>
    <row r="15" spans="1:19" s="102" customFormat="1" ht="41.4" x14ac:dyDescent="0.3">
      <c r="A15" s="100" t="s">
        <v>1663</v>
      </c>
      <c r="B15" s="101" t="s">
        <v>1653</v>
      </c>
      <c r="C15" s="100" t="s">
        <v>1601</v>
      </c>
      <c r="D15" s="100" t="s">
        <v>1602</v>
      </c>
      <c r="E15" s="101" t="s">
        <v>1653</v>
      </c>
      <c r="F15" s="100" t="s">
        <v>1601</v>
      </c>
      <c r="G15" s="100" t="s">
        <v>1602</v>
      </c>
      <c r="H15" s="101" t="s">
        <v>1653</v>
      </c>
      <c r="I15" s="100" t="s">
        <v>1601</v>
      </c>
      <c r="J15" s="100" t="s">
        <v>1602</v>
      </c>
      <c r="K15" s="101" t="s">
        <v>1653</v>
      </c>
      <c r="L15" s="100" t="s">
        <v>1601</v>
      </c>
      <c r="M15" s="100" t="s">
        <v>1602</v>
      </c>
      <c r="N15" s="101" t="s">
        <v>1653</v>
      </c>
      <c r="O15" s="100" t="s">
        <v>1601</v>
      </c>
      <c r="P15" s="100" t="s">
        <v>1602</v>
      </c>
      <c r="Q15" s="101" t="s">
        <v>1653</v>
      </c>
      <c r="R15" s="358" t="s">
        <v>1601</v>
      </c>
      <c r="S15" s="100" t="s">
        <v>1602</v>
      </c>
    </row>
    <row r="16" spans="1:19" ht="13.8" x14ac:dyDescent="0.3">
      <c r="A16" s="103" t="s">
        <v>1654</v>
      </c>
      <c r="B16" s="175">
        <v>801</v>
      </c>
      <c r="C16" s="103">
        <v>286.51</v>
      </c>
      <c r="D16" s="105">
        <f>B16*C16</f>
        <v>229494.50999999998</v>
      </c>
      <c r="E16" s="177">
        <v>404</v>
      </c>
      <c r="F16" s="103">
        <v>286.51</v>
      </c>
      <c r="G16" s="105">
        <f>E16*F16</f>
        <v>115750.04</v>
      </c>
      <c r="H16" s="177">
        <f>827+17</f>
        <v>844</v>
      </c>
      <c r="I16" s="103">
        <v>291.08</v>
      </c>
      <c r="J16" s="105">
        <f t="shared" ref="J16:J24" si="18">H16*I16</f>
        <v>245671.52</v>
      </c>
      <c r="K16" s="177">
        <v>317</v>
      </c>
      <c r="L16" s="103">
        <v>286.51</v>
      </c>
      <c r="M16" s="105">
        <f t="shared" ref="M16:M24" si="19">K16*L16</f>
        <v>90823.67</v>
      </c>
      <c r="N16" s="177">
        <v>116</v>
      </c>
      <c r="O16" s="105">
        <v>288.60000000000002</v>
      </c>
      <c r="P16" s="105">
        <f t="shared" ref="P16:P24" si="20">N16*O16</f>
        <v>33477.600000000006</v>
      </c>
      <c r="Q16" s="177">
        <v>284</v>
      </c>
      <c r="R16" s="352">
        <v>301.63</v>
      </c>
      <c r="S16" s="105">
        <f t="shared" ref="S16:S24" si="21">Q16*R16</f>
        <v>85662.92</v>
      </c>
    </row>
    <row r="17" spans="1:19" ht="13.8" x14ac:dyDescent="0.3">
      <c r="A17" s="126" t="s">
        <v>1655</v>
      </c>
      <c r="B17" s="176">
        <v>593</v>
      </c>
      <c r="C17" s="126">
        <v>378.34</v>
      </c>
      <c r="D17" s="128">
        <f t="shared" ref="D17:D24" si="22">B17*C17</f>
        <v>224355.62</v>
      </c>
      <c r="E17" s="176">
        <v>684</v>
      </c>
      <c r="F17" s="126">
        <v>378.34</v>
      </c>
      <c r="G17" s="128">
        <f t="shared" ref="G17:G24" si="23">E17*F17</f>
        <v>258784.55999999997</v>
      </c>
      <c r="H17" s="176">
        <f>636+28</f>
        <v>664</v>
      </c>
      <c r="I17" s="126">
        <v>372.37</v>
      </c>
      <c r="J17" s="128">
        <f t="shared" si="18"/>
        <v>247253.68</v>
      </c>
      <c r="K17" s="176">
        <v>625</v>
      </c>
      <c r="L17" s="126">
        <v>373.64</v>
      </c>
      <c r="M17" s="128">
        <f t="shared" si="19"/>
        <v>233525</v>
      </c>
      <c r="N17" s="176">
        <v>261</v>
      </c>
      <c r="O17" s="126">
        <v>369.55</v>
      </c>
      <c r="P17" s="128">
        <f t="shared" si="20"/>
        <v>96452.55</v>
      </c>
      <c r="Q17" s="176">
        <v>596</v>
      </c>
      <c r="R17" s="353">
        <v>405.88</v>
      </c>
      <c r="S17" s="128">
        <f t="shared" si="21"/>
        <v>241904.48</v>
      </c>
    </row>
    <row r="18" spans="1:19" ht="13.8" x14ac:dyDescent="0.3">
      <c r="A18" s="103" t="s">
        <v>1664</v>
      </c>
      <c r="B18" s="175">
        <v>7</v>
      </c>
      <c r="C18" s="105">
        <v>502.92</v>
      </c>
      <c r="D18" s="105">
        <f t="shared" si="22"/>
        <v>3520.44</v>
      </c>
      <c r="E18" s="177">
        <v>153</v>
      </c>
      <c r="F18" s="105">
        <v>502.92</v>
      </c>
      <c r="G18" s="105">
        <f t="shared" si="23"/>
        <v>76946.760000000009</v>
      </c>
      <c r="H18" s="177">
        <v>23</v>
      </c>
      <c r="I18" s="105">
        <v>514.28</v>
      </c>
      <c r="J18" s="105">
        <f t="shared" si="18"/>
        <v>11828.439999999999</v>
      </c>
      <c r="K18" s="177">
        <v>29</v>
      </c>
      <c r="L18" s="105">
        <v>485.34</v>
      </c>
      <c r="M18" s="105">
        <f t="shared" si="19"/>
        <v>14074.859999999999</v>
      </c>
      <c r="N18" s="177">
        <v>4</v>
      </c>
      <c r="O18" s="105">
        <v>485.34</v>
      </c>
      <c r="P18" s="105">
        <f t="shared" si="20"/>
        <v>1941.36</v>
      </c>
      <c r="Q18" s="177">
        <v>5</v>
      </c>
      <c r="R18" s="352">
        <v>532.78</v>
      </c>
      <c r="S18" s="105">
        <f t="shared" si="21"/>
        <v>2663.8999999999996</v>
      </c>
    </row>
    <row r="19" spans="1:19" ht="13.8" x14ac:dyDescent="0.3">
      <c r="A19" s="103" t="s">
        <v>1657</v>
      </c>
      <c r="B19" s="175">
        <v>293</v>
      </c>
      <c r="C19" s="105">
        <v>479.43</v>
      </c>
      <c r="D19" s="105">
        <f t="shared" si="22"/>
        <v>140472.99</v>
      </c>
      <c r="E19" s="177">
        <v>18</v>
      </c>
      <c r="F19" s="105">
        <v>479.43</v>
      </c>
      <c r="G19" s="105">
        <f t="shared" si="23"/>
        <v>8629.74</v>
      </c>
      <c r="H19" s="177">
        <f>459+28</f>
        <v>487</v>
      </c>
      <c r="I19" s="105">
        <v>466.75</v>
      </c>
      <c r="J19" s="105">
        <f t="shared" si="18"/>
        <v>227307.25</v>
      </c>
      <c r="K19" s="177">
        <v>332</v>
      </c>
      <c r="L19" s="105">
        <v>457.75</v>
      </c>
      <c r="M19" s="105">
        <f t="shared" si="19"/>
        <v>151973</v>
      </c>
      <c r="N19" s="177">
        <v>828</v>
      </c>
      <c r="O19" s="105">
        <v>453.9</v>
      </c>
      <c r="P19" s="105">
        <f t="shared" si="20"/>
        <v>375829.19999999995</v>
      </c>
      <c r="Q19" s="177">
        <f>751+27</f>
        <v>778</v>
      </c>
      <c r="R19" s="352">
        <v>486.35</v>
      </c>
      <c r="S19" s="105">
        <f t="shared" si="21"/>
        <v>378380.30000000005</v>
      </c>
    </row>
    <row r="20" spans="1:19" ht="13.8" x14ac:dyDescent="0.3">
      <c r="A20" s="103" t="s">
        <v>1658</v>
      </c>
      <c r="B20" s="175">
        <v>1</v>
      </c>
      <c r="C20" s="105">
        <v>570.89</v>
      </c>
      <c r="D20" s="105">
        <f t="shared" si="22"/>
        <v>570.89</v>
      </c>
      <c r="E20" s="177">
        <v>12</v>
      </c>
      <c r="F20" s="105">
        <v>570.89</v>
      </c>
      <c r="G20" s="105">
        <f t="shared" si="23"/>
        <v>6850.68</v>
      </c>
      <c r="H20" s="177">
        <v>0</v>
      </c>
      <c r="I20" s="105">
        <v>562.88</v>
      </c>
      <c r="J20" s="105">
        <f t="shared" si="18"/>
        <v>0</v>
      </c>
      <c r="K20" s="177">
        <v>0</v>
      </c>
      <c r="L20" s="105">
        <v>554.28</v>
      </c>
      <c r="M20" s="105">
        <f t="shared" si="19"/>
        <v>0</v>
      </c>
      <c r="N20" s="177">
        <v>1</v>
      </c>
      <c r="O20" s="105">
        <v>481.49</v>
      </c>
      <c r="P20" s="105">
        <f t="shared" si="20"/>
        <v>481.49</v>
      </c>
      <c r="Q20" s="177">
        <v>3</v>
      </c>
      <c r="R20" s="352">
        <v>518.85</v>
      </c>
      <c r="S20" s="105">
        <f t="shared" si="21"/>
        <v>1556.5500000000002</v>
      </c>
    </row>
    <row r="21" spans="1:19" ht="13.8" x14ac:dyDescent="0.3">
      <c r="A21" s="103" t="s">
        <v>1659</v>
      </c>
      <c r="B21" s="175">
        <v>5</v>
      </c>
      <c r="C21" s="105">
        <v>594.92999999999995</v>
      </c>
      <c r="D21" s="105">
        <f t="shared" si="22"/>
        <v>2974.6499999999996</v>
      </c>
      <c r="E21" s="177">
        <v>6</v>
      </c>
      <c r="F21" s="105">
        <v>594.92999999999995</v>
      </c>
      <c r="G21" s="105">
        <f t="shared" si="23"/>
        <v>3569.58</v>
      </c>
      <c r="H21" s="177">
        <v>1</v>
      </c>
      <c r="I21" s="105">
        <v>586.91999999999996</v>
      </c>
      <c r="J21" s="105">
        <f t="shared" si="18"/>
        <v>586.91999999999996</v>
      </c>
      <c r="K21" s="177">
        <v>1</v>
      </c>
      <c r="L21" s="105">
        <v>578.30999999999995</v>
      </c>
      <c r="M21" s="105">
        <f t="shared" si="19"/>
        <v>578.30999999999995</v>
      </c>
      <c r="N21" s="177">
        <v>1</v>
      </c>
      <c r="O21" s="105">
        <v>578.30999999999995</v>
      </c>
      <c r="P21" s="105">
        <f t="shared" si="20"/>
        <v>578.30999999999995</v>
      </c>
      <c r="Q21" s="177">
        <v>1</v>
      </c>
      <c r="R21" s="352">
        <v>625.53</v>
      </c>
      <c r="S21" s="105">
        <f t="shared" si="21"/>
        <v>625.53</v>
      </c>
    </row>
    <row r="22" spans="1:19" ht="13.8" x14ac:dyDescent="0.3">
      <c r="A22" s="103" t="s">
        <v>1660</v>
      </c>
      <c r="B22" s="175">
        <v>1</v>
      </c>
      <c r="C22" s="105">
        <v>526.96</v>
      </c>
      <c r="D22" s="105">
        <f t="shared" si="22"/>
        <v>526.96</v>
      </c>
      <c r="E22" s="177">
        <v>1</v>
      </c>
      <c r="F22" s="105">
        <v>526.96</v>
      </c>
      <c r="G22" s="105">
        <f t="shared" si="23"/>
        <v>526.96</v>
      </c>
      <c r="H22" s="177">
        <v>7</v>
      </c>
      <c r="I22" s="105">
        <v>514.28</v>
      </c>
      <c r="J22" s="105">
        <f t="shared" si="18"/>
        <v>3599.96</v>
      </c>
      <c r="K22" s="177">
        <v>14</v>
      </c>
      <c r="L22" s="105">
        <v>509.37</v>
      </c>
      <c r="M22" s="105">
        <f t="shared" si="19"/>
        <v>7131.18</v>
      </c>
      <c r="N22" s="177">
        <v>25</v>
      </c>
      <c r="O22" s="105">
        <v>505.53</v>
      </c>
      <c r="P22" s="105">
        <f t="shared" si="20"/>
        <v>12638.25</v>
      </c>
      <c r="Q22" s="177">
        <v>14</v>
      </c>
      <c r="R22" s="352">
        <v>555.74</v>
      </c>
      <c r="S22" s="105">
        <f t="shared" si="21"/>
        <v>7780.3600000000006</v>
      </c>
    </row>
    <row r="23" spans="1:19" ht="13.8" x14ac:dyDescent="0.3">
      <c r="A23" s="103" t="s">
        <v>1665</v>
      </c>
      <c r="B23" s="175">
        <v>124</v>
      </c>
      <c r="C23" s="105">
        <v>487.17</v>
      </c>
      <c r="D23" s="105">
        <f t="shared" si="22"/>
        <v>60409.08</v>
      </c>
      <c r="E23" s="177">
        <v>990</v>
      </c>
      <c r="F23" s="105">
        <v>487.17</v>
      </c>
      <c r="G23" s="105">
        <f t="shared" si="23"/>
        <v>482298.3</v>
      </c>
      <c r="H23" s="177">
        <f>129+16</f>
        <v>145</v>
      </c>
      <c r="I23" s="105">
        <v>479.16</v>
      </c>
      <c r="J23" s="105">
        <f t="shared" si="18"/>
        <v>69478.2</v>
      </c>
      <c r="K23" s="177">
        <v>127</v>
      </c>
      <c r="L23" s="105">
        <v>470.56</v>
      </c>
      <c r="M23" s="105">
        <f t="shared" si="19"/>
        <v>59761.120000000003</v>
      </c>
      <c r="N23" s="177">
        <v>45</v>
      </c>
      <c r="O23" s="105">
        <v>467.02</v>
      </c>
      <c r="P23" s="105">
        <f t="shared" si="20"/>
        <v>21015.899999999998</v>
      </c>
      <c r="Q23" s="177">
        <v>138</v>
      </c>
      <c r="R23" s="352">
        <v>518.85</v>
      </c>
      <c r="S23" s="105">
        <f t="shared" si="21"/>
        <v>71601.3</v>
      </c>
    </row>
    <row r="24" spans="1:19" ht="13.8" x14ac:dyDescent="0.3">
      <c r="A24" s="103" t="s">
        <v>1662</v>
      </c>
      <c r="B24" s="175">
        <v>0</v>
      </c>
      <c r="C24" s="105">
        <v>0</v>
      </c>
      <c r="D24" s="105">
        <f t="shared" si="22"/>
        <v>0</v>
      </c>
      <c r="E24" s="177">
        <v>0</v>
      </c>
      <c r="F24" s="105">
        <v>0</v>
      </c>
      <c r="G24" s="105">
        <f t="shared" si="23"/>
        <v>0</v>
      </c>
      <c r="H24" s="177">
        <f>11+3</f>
        <v>14</v>
      </c>
      <c r="I24" s="105">
        <v>418.3</v>
      </c>
      <c r="J24" s="105">
        <f t="shared" si="18"/>
        <v>5856.2</v>
      </c>
      <c r="K24" s="177">
        <v>202</v>
      </c>
      <c r="L24" s="105">
        <v>418.3</v>
      </c>
      <c r="M24" s="105">
        <f t="shared" si="19"/>
        <v>84496.6</v>
      </c>
      <c r="N24" s="177">
        <v>49</v>
      </c>
      <c r="O24" s="105">
        <v>406.87</v>
      </c>
      <c r="P24" s="105">
        <f t="shared" si="20"/>
        <v>19936.63</v>
      </c>
      <c r="Q24" s="177">
        <v>58</v>
      </c>
      <c r="R24" s="352">
        <v>463.14</v>
      </c>
      <c r="S24" s="105">
        <f t="shared" si="21"/>
        <v>26862.12</v>
      </c>
    </row>
    <row r="25" spans="1:19" ht="13.8" x14ac:dyDescent="0.3">
      <c r="A25" s="116"/>
      <c r="B25" s="129">
        <f>SUM(B16:B24)</f>
        <v>1825</v>
      </c>
      <c r="C25" s="130">
        <f>D25/B25</f>
        <v>362.91788493150688</v>
      </c>
      <c r="D25" s="131">
        <f>SUM(D16:D24)</f>
        <v>662325.14</v>
      </c>
      <c r="E25" s="129">
        <f>SUM(E16:E24)</f>
        <v>2268</v>
      </c>
      <c r="F25" s="130">
        <f>G25/E25</f>
        <v>420.35124338624337</v>
      </c>
      <c r="G25" s="131">
        <f>SUM(G16:G24)</f>
        <v>953356.62</v>
      </c>
      <c r="H25" s="129">
        <f>SUM(H16:H24)</f>
        <v>2185</v>
      </c>
      <c r="I25" s="130">
        <f>J25/H25</f>
        <v>371.43348741418754</v>
      </c>
      <c r="J25" s="131">
        <f>SUM(J16:J24)</f>
        <v>811582.16999999981</v>
      </c>
      <c r="K25" s="129">
        <f>SUM(K16:K24)</f>
        <v>1647</v>
      </c>
      <c r="L25" s="130">
        <f>M25/K25</f>
        <v>390.02048573163324</v>
      </c>
      <c r="M25" s="131">
        <f>SUM(M16:M24)</f>
        <v>642363.74</v>
      </c>
      <c r="N25" s="129">
        <f>SUM(N16:N24)</f>
        <v>1330</v>
      </c>
      <c r="O25" s="130">
        <f>P25/N25</f>
        <v>422.82051879699242</v>
      </c>
      <c r="P25" s="131">
        <f>SUM(P16:P24)</f>
        <v>562351.28999999992</v>
      </c>
      <c r="Q25" s="129">
        <f>SUM(Q16:Q24)</f>
        <v>1877</v>
      </c>
      <c r="R25" s="354">
        <f>S25/Q25</f>
        <v>435.28900372935544</v>
      </c>
      <c r="S25" s="131">
        <f>SUM(S16:S24)</f>
        <v>817037.4600000002</v>
      </c>
    </row>
    <row r="26" spans="1:19" ht="13.8" x14ac:dyDescent="0.3">
      <c r="D26" s="108"/>
      <c r="E26" s="109"/>
      <c r="H26" s="109"/>
      <c r="K26" s="109"/>
      <c r="N26" s="109"/>
      <c r="Q26" s="109"/>
    </row>
    <row r="27" spans="1:19" ht="15" customHeight="1" x14ac:dyDescent="0.3">
      <c r="A27" s="98" t="s">
        <v>1051</v>
      </c>
      <c r="B27" s="497">
        <f>B14</f>
        <v>45931</v>
      </c>
      <c r="C27" s="504"/>
      <c r="D27" s="505"/>
      <c r="E27" s="497">
        <f t="shared" ref="E27:Q27" si="24">E14</f>
        <v>45962</v>
      </c>
      <c r="F27" s="504"/>
      <c r="G27" s="505"/>
      <c r="H27" s="497">
        <f t="shared" si="24"/>
        <v>45992</v>
      </c>
      <c r="I27" s="504"/>
      <c r="J27" s="505"/>
      <c r="K27" s="497">
        <f t="shared" si="24"/>
        <v>46023</v>
      </c>
      <c r="L27" s="504"/>
      <c r="M27" s="505"/>
      <c r="N27" s="497">
        <f t="shared" si="24"/>
        <v>46054</v>
      </c>
      <c r="O27" s="504"/>
      <c r="P27" s="505"/>
      <c r="Q27" s="497">
        <f t="shared" si="24"/>
        <v>46082</v>
      </c>
      <c r="R27" s="504"/>
      <c r="S27" s="504"/>
    </row>
    <row r="28" spans="1:19" ht="41.4" x14ac:dyDescent="0.3">
      <c r="A28" s="100" t="s">
        <v>1666</v>
      </c>
      <c r="B28" s="101" t="s">
        <v>1653</v>
      </c>
      <c r="C28" s="100" t="s">
        <v>1601</v>
      </c>
      <c r="D28" s="100" t="s">
        <v>1602</v>
      </c>
      <c r="E28" s="101" t="s">
        <v>1653</v>
      </c>
      <c r="F28" s="100" t="s">
        <v>1601</v>
      </c>
      <c r="G28" s="100" t="s">
        <v>1602</v>
      </c>
      <c r="H28" s="101" t="s">
        <v>1653</v>
      </c>
      <c r="I28" s="100" t="s">
        <v>1601</v>
      </c>
      <c r="J28" s="100" t="s">
        <v>1602</v>
      </c>
      <c r="K28" s="101" t="s">
        <v>1653</v>
      </c>
      <c r="L28" s="100" t="s">
        <v>1601</v>
      </c>
      <c r="M28" s="100" t="s">
        <v>1602</v>
      </c>
      <c r="N28" s="101" t="s">
        <v>1653</v>
      </c>
      <c r="O28" s="100" t="s">
        <v>1601</v>
      </c>
      <c r="P28" s="100" t="s">
        <v>1602</v>
      </c>
      <c r="Q28" s="101" t="s">
        <v>1653</v>
      </c>
      <c r="R28" s="358" t="s">
        <v>1601</v>
      </c>
      <c r="S28" s="100" t="s">
        <v>1602</v>
      </c>
    </row>
    <row r="29" spans="1:19" ht="15" customHeight="1" x14ac:dyDescent="0.3">
      <c r="A29" s="103" t="str">
        <f t="shared" ref="A29:A37" si="25">A16</f>
        <v>BMX</v>
      </c>
      <c r="B29" s="104">
        <v>158</v>
      </c>
      <c r="C29" s="103">
        <f t="shared" ref="C29:C37" si="26">C16</f>
        <v>286.51</v>
      </c>
      <c r="D29" s="105">
        <f>B29*C29</f>
        <v>45268.58</v>
      </c>
      <c r="E29" s="106">
        <v>158</v>
      </c>
      <c r="F29" s="103">
        <f t="shared" ref="F29:F37" si="27">F16</f>
        <v>286.51</v>
      </c>
      <c r="G29" s="105">
        <f>E29*F29</f>
        <v>45268.58</v>
      </c>
      <c r="H29" s="106">
        <v>158</v>
      </c>
      <c r="I29" s="103">
        <f t="shared" ref="I29:I37" si="28">I16</f>
        <v>291.08</v>
      </c>
      <c r="J29" s="105">
        <f t="shared" ref="J29:J37" si="29">H29*I29</f>
        <v>45990.64</v>
      </c>
      <c r="K29" s="106">
        <v>88</v>
      </c>
      <c r="L29" s="103">
        <v>286.51</v>
      </c>
      <c r="M29" s="105">
        <f t="shared" ref="M29:M37" si="30">K29*L29</f>
        <v>25212.879999999997</v>
      </c>
      <c r="N29" s="106">
        <v>54</v>
      </c>
      <c r="O29" s="105">
        <f t="shared" ref="O29:O37" si="31">O16</f>
        <v>288.60000000000002</v>
      </c>
      <c r="P29" s="105">
        <f t="shared" ref="P29:P37" si="32">N29*O29</f>
        <v>15584.400000000001</v>
      </c>
      <c r="Q29" s="106"/>
      <c r="R29" s="352">
        <f t="shared" ref="R29:R37" si="33">R16</f>
        <v>301.63</v>
      </c>
      <c r="S29" s="105">
        <f t="shared" ref="S29:S37" si="34">Q29*R29</f>
        <v>0</v>
      </c>
    </row>
    <row r="30" spans="1:19" ht="13.8" x14ac:dyDescent="0.3">
      <c r="A30" s="126" t="str">
        <f t="shared" si="25"/>
        <v>Aro 29 aço 21 Imp (referência)</v>
      </c>
      <c r="B30" s="127">
        <v>0</v>
      </c>
      <c r="C30" s="126">
        <f t="shared" si="26"/>
        <v>378.34</v>
      </c>
      <c r="D30" s="128">
        <f t="shared" ref="D30:D37" si="35">B30*C30</f>
        <v>0</v>
      </c>
      <c r="E30" s="127">
        <v>0</v>
      </c>
      <c r="F30" s="126">
        <f t="shared" si="27"/>
        <v>378.34</v>
      </c>
      <c r="G30" s="128">
        <f t="shared" ref="G30:G37" si="36">E30*F30</f>
        <v>0</v>
      </c>
      <c r="H30" s="127">
        <v>0</v>
      </c>
      <c r="I30" s="126">
        <f t="shared" si="28"/>
        <v>372.37</v>
      </c>
      <c r="J30" s="128">
        <f t="shared" si="29"/>
        <v>0</v>
      </c>
      <c r="K30" s="127"/>
      <c r="L30" s="126">
        <v>373.64</v>
      </c>
      <c r="M30" s="128">
        <f t="shared" si="30"/>
        <v>0</v>
      </c>
      <c r="N30" s="127"/>
      <c r="O30" s="126">
        <f t="shared" si="31"/>
        <v>369.55</v>
      </c>
      <c r="P30" s="128">
        <f t="shared" si="32"/>
        <v>0</v>
      </c>
      <c r="Q30" s="127"/>
      <c r="R30" s="353">
        <f t="shared" si="33"/>
        <v>405.88</v>
      </c>
      <c r="S30" s="128">
        <f t="shared" si="34"/>
        <v>0</v>
      </c>
    </row>
    <row r="31" spans="1:19" ht="15" customHeight="1" x14ac:dyDescent="0.3">
      <c r="A31" s="103" t="str">
        <f t="shared" si="25"/>
        <v>Aro 29 AL 21 Shimano</v>
      </c>
      <c r="B31" s="104">
        <v>0</v>
      </c>
      <c r="C31" s="105">
        <f t="shared" si="26"/>
        <v>502.92</v>
      </c>
      <c r="D31" s="105">
        <f t="shared" si="35"/>
        <v>0</v>
      </c>
      <c r="E31" s="106">
        <v>0</v>
      </c>
      <c r="F31" s="105">
        <f t="shared" si="27"/>
        <v>502.92</v>
      </c>
      <c r="G31" s="105">
        <f t="shared" si="36"/>
        <v>0</v>
      </c>
      <c r="H31" s="106">
        <v>0</v>
      </c>
      <c r="I31" s="105">
        <f t="shared" si="28"/>
        <v>514.28</v>
      </c>
      <c r="J31" s="105">
        <f t="shared" si="29"/>
        <v>0</v>
      </c>
      <c r="K31" s="106"/>
      <c r="L31" s="105">
        <v>485.34</v>
      </c>
      <c r="M31" s="105">
        <f t="shared" si="30"/>
        <v>0</v>
      </c>
      <c r="N31" s="106"/>
      <c r="O31" s="105">
        <f t="shared" si="31"/>
        <v>485.34</v>
      </c>
      <c r="P31" s="105">
        <f t="shared" si="32"/>
        <v>0</v>
      </c>
      <c r="Q31" s="106"/>
      <c r="R31" s="352">
        <f t="shared" si="33"/>
        <v>532.78</v>
      </c>
      <c r="S31" s="105">
        <f t="shared" si="34"/>
        <v>0</v>
      </c>
    </row>
    <row r="32" spans="1:19" ht="15" customHeight="1" x14ac:dyDescent="0.3">
      <c r="A32" s="103" t="str">
        <f t="shared" si="25"/>
        <v>Aro 29 AL 21 Imp</v>
      </c>
      <c r="B32" s="104">
        <v>0</v>
      </c>
      <c r="C32" s="105">
        <f t="shared" si="26"/>
        <v>479.43</v>
      </c>
      <c r="D32" s="105">
        <f t="shared" si="35"/>
        <v>0</v>
      </c>
      <c r="E32" s="106">
        <v>0</v>
      </c>
      <c r="F32" s="105">
        <f t="shared" si="27"/>
        <v>479.43</v>
      </c>
      <c r="G32" s="105">
        <f t="shared" si="36"/>
        <v>0</v>
      </c>
      <c r="H32" s="106">
        <v>0</v>
      </c>
      <c r="I32" s="105">
        <f t="shared" si="28"/>
        <v>466.75</v>
      </c>
      <c r="J32" s="105">
        <f t="shared" si="29"/>
        <v>0</v>
      </c>
      <c r="K32" s="106"/>
      <c r="L32" s="105">
        <v>457.75</v>
      </c>
      <c r="M32" s="105">
        <f t="shared" si="30"/>
        <v>0</v>
      </c>
      <c r="N32" s="106"/>
      <c r="O32" s="105">
        <f t="shared" si="31"/>
        <v>453.9</v>
      </c>
      <c r="P32" s="105">
        <f t="shared" si="32"/>
        <v>0</v>
      </c>
      <c r="Q32" s="106"/>
      <c r="R32" s="352">
        <f t="shared" si="33"/>
        <v>486.35</v>
      </c>
      <c r="S32" s="105">
        <f t="shared" si="34"/>
        <v>0</v>
      </c>
    </row>
    <row r="33" spans="1:19" ht="15" customHeight="1" x14ac:dyDescent="0.3">
      <c r="A33" s="103" t="str">
        <f t="shared" si="25"/>
        <v>Aro 29 AL 24 Shimano Imp</v>
      </c>
      <c r="B33" s="104">
        <v>0</v>
      </c>
      <c r="C33" s="105">
        <f t="shared" si="26"/>
        <v>570.89</v>
      </c>
      <c r="D33" s="105">
        <f t="shared" si="35"/>
        <v>0</v>
      </c>
      <c r="E33" s="106">
        <v>0</v>
      </c>
      <c r="F33" s="105">
        <f t="shared" si="27"/>
        <v>570.89</v>
      </c>
      <c r="G33" s="105">
        <f t="shared" si="36"/>
        <v>0</v>
      </c>
      <c r="H33" s="106">
        <v>0</v>
      </c>
      <c r="I33" s="105">
        <f t="shared" si="28"/>
        <v>562.88</v>
      </c>
      <c r="J33" s="105">
        <f t="shared" si="29"/>
        <v>0</v>
      </c>
      <c r="K33" s="106"/>
      <c r="L33" s="105">
        <v>554.28</v>
      </c>
      <c r="M33" s="105">
        <f t="shared" si="30"/>
        <v>0</v>
      </c>
      <c r="N33" s="106"/>
      <c r="O33" s="105">
        <f t="shared" si="31"/>
        <v>481.49</v>
      </c>
      <c r="P33" s="105">
        <f t="shared" si="32"/>
        <v>0</v>
      </c>
      <c r="Q33" s="106"/>
      <c r="R33" s="352">
        <f t="shared" si="33"/>
        <v>518.85</v>
      </c>
      <c r="S33" s="105">
        <f t="shared" si="34"/>
        <v>0</v>
      </c>
    </row>
    <row r="34" spans="1:19" ht="15" customHeight="1" x14ac:dyDescent="0.3">
      <c r="A34" s="103" t="str">
        <f t="shared" si="25"/>
        <v>Aro 29 AL 24 Shimano DNTTRS</v>
      </c>
      <c r="B34" s="104">
        <v>0</v>
      </c>
      <c r="C34" s="105">
        <f t="shared" si="26"/>
        <v>594.92999999999995</v>
      </c>
      <c r="D34" s="105">
        <f t="shared" si="35"/>
        <v>0</v>
      </c>
      <c r="E34" s="106">
        <v>0</v>
      </c>
      <c r="F34" s="105">
        <f t="shared" si="27"/>
        <v>594.92999999999995</v>
      </c>
      <c r="G34" s="105">
        <f t="shared" si="36"/>
        <v>0</v>
      </c>
      <c r="H34" s="106">
        <v>0</v>
      </c>
      <c r="I34" s="105">
        <f t="shared" si="28"/>
        <v>586.91999999999996</v>
      </c>
      <c r="J34" s="105">
        <f t="shared" si="29"/>
        <v>0</v>
      </c>
      <c r="K34" s="106"/>
      <c r="L34" s="105">
        <v>578.30999999999995</v>
      </c>
      <c r="M34" s="105">
        <f t="shared" si="30"/>
        <v>0</v>
      </c>
      <c r="N34" s="106"/>
      <c r="O34" s="105">
        <f t="shared" si="31"/>
        <v>578.30999999999995</v>
      </c>
      <c r="P34" s="105">
        <f t="shared" si="32"/>
        <v>0</v>
      </c>
      <c r="Q34" s="106"/>
      <c r="R34" s="352">
        <f t="shared" si="33"/>
        <v>625.53</v>
      </c>
      <c r="S34" s="105">
        <f t="shared" si="34"/>
        <v>0</v>
      </c>
    </row>
    <row r="35" spans="1:19" ht="15" customHeight="1" x14ac:dyDescent="0.3">
      <c r="A35" s="103" t="str">
        <f t="shared" si="25"/>
        <v>Aro 29 AL 21 Shimano DNTTRS</v>
      </c>
      <c r="B35" s="104">
        <v>0</v>
      </c>
      <c r="C35" s="105">
        <f t="shared" si="26"/>
        <v>526.96</v>
      </c>
      <c r="D35" s="105">
        <f t="shared" si="35"/>
        <v>0</v>
      </c>
      <c r="E35" s="106">
        <v>0</v>
      </c>
      <c r="F35" s="105">
        <f t="shared" si="27"/>
        <v>526.96</v>
      </c>
      <c r="G35" s="105">
        <f t="shared" si="36"/>
        <v>0</v>
      </c>
      <c r="H35" s="106">
        <v>0</v>
      </c>
      <c r="I35" s="105">
        <f t="shared" si="28"/>
        <v>514.28</v>
      </c>
      <c r="J35" s="105">
        <f t="shared" si="29"/>
        <v>0</v>
      </c>
      <c r="K35" s="106"/>
      <c r="L35" s="105">
        <v>509.37</v>
      </c>
      <c r="M35" s="105">
        <f t="shared" si="30"/>
        <v>0</v>
      </c>
      <c r="N35" s="106"/>
      <c r="O35" s="105">
        <f t="shared" si="31"/>
        <v>505.53</v>
      </c>
      <c r="P35" s="105">
        <f t="shared" si="32"/>
        <v>0</v>
      </c>
      <c r="Q35" s="106"/>
      <c r="R35" s="352">
        <f t="shared" si="33"/>
        <v>555.74</v>
      </c>
      <c r="S35" s="105">
        <f t="shared" si="34"/>
        <v>0</v>
      </c>
    </row>
    <row r="36" spans="1:19" ht="15" customHeight="1" x14ac:dyDescent="0.3">
      <c r="A36" s="103" t="str">
        <f t="shared" si="25"/>
        <v>Aro 29 AL 24 Imp</v>
      </c>
      <c r="B36" s="104">
        <v>0</v>
      </c>
      <c r="C36" s="105">
        <f t="shared" si="26"/>
        <v>487.17</v>
      </c>
      <c r="D36" s="105">
        <f t="shared" si="35"/>
        <v>0</v>
      </c>
      <c r="E36" s="106">
        <v>0</v>
      </c>
      <c r="F36" s="105">
        <f t="shared" si="27"/>
        <v>487.17</v>
      </c>
      <c r="G36" s="105">
        <f t="shared" si="36"/>
        <v>0</v>
      </c>
      <c r="H36" s="106">
        <v>0</v>
      </c>
      <c r="I36" s="105">
        <f t="shared" si="28"/>
        <v>479.16</v>
      </c>
      <c r="J36" s="105">
        <f t="shared" si="29"/>
        <v>0</v>
      </c>
      <c r="K36" s="106"/>
      <c r="L36" s="105">
        <v>470.56</v>
      </c>
      <c r="M36" s="105">
        <f t="shared" si="30"/>
        <v>0</v>
      </c>
      <c r="N36" s="106"/>
      <c r="O36" s="105">
        <f t="shared" si="31"/>
        <v>467.02</v>
      </c>
      <c r="P36" s="105">
        <f t="shared" si="32"/>
        <v>0</v>
      </c>
      <c r="Q36" s="106"/>
      <c r="R36" s="352">
        <f t="shared" si="33"/>
        <v>518.85</v>
      </c>
      <c r="S36" s="105">
        <f t="shared" si="34"/>
        <v>0</v>
      </c>
    </row>
    <row r="37" spans="1:19" ht="15" customHeight="1" x14ac:dyDescent="0.3">
      <c r="A37" s="103" t="str">
        <f t="shared" si="25"/>
        <v>Aro 29 aço 21 Imp c/ Suspensão (Nova)</v>
      </c>
      <c r="B37" s="104">
        <v>0</v>
      </c>
      <c r="C37" s="105">
        <f t="shared" si="26"/>
        <v>0</v>
      </c>
      <c r="D37" s="105">
        <f t="shared" si="35"/>
        <v>0</v>
      </c>
      <c r="E37" s="106">
        <v>0</v>
      </c>
      <c r="F37" s="105">
        <f t="shared" si="27"/>
        <v>0</v>
      </c>
      <c r="G37" s="105">
        <f t="shared" si="36"/>
        <v>0</v>
      </c>
      <c r="H37" s="106">
        <v>0</v>
      </c>
      <c r="I37" s="105">
        <f t="shared" si="28"/>
        <v>418.3</v>
      </c>
      <c r="J37" s="105">
        <f t="shared" si="29"/>
        <v>0</v>
      </c>
      <c r="K37" s="106"/>
      <c r="L37" s="105">
        <v>418.3</v>
      </c>
      <c r="M37" s="105">
        <f t="shared" si="30"/>
        <v>0</v>
      </c>
      <c r="N37" s="106"/>
      <c r="O37" s="105">
        <f t="shared" si="31"/>
        <v>406.87</v>
      </c>
      <c r="P37" s="105">
        <f t="shared" si="32"/>
        <v>0</v>
      </c>
      <c r="Q37" s="106"/>
      <c r="R37" s="352">
        <f t="shared" si="33"/>
        <v>463.14</v>
      </c>
      <c r="S37" s="105">
        <f t="shared" si="34"/>
        <v>0</v>
      </c>
    </row>
    <row r="38" spans="1:19" ht="15" customHeight="1" x14ac:dyDescent="0.3">
      <c r="A38" s="116"/>
      <c r="B38" s="129">
        <f>SUM(B29:B37)</f>
        <v>158</v>
      </c>
      <c r="C38" s="130">
        <f>D38/B38</f>
        <v>286.51</v>
      </c>
      <c r="D38" s="131">
        <f>SUM(D29:D37)</f>
        <v>45268.58</v>
      </c>
      <c r="E38" s="129">
        <f>SUM(E29:E37)</f>
        <v>158</v>
      </c>
      <c r="F38" s="130">
        <f>G38/E38</f>
        <v>286.51</v>
      </c>
      <c r="G38" s="131">
        <f>SUM(G29:G37)</f>
        <v>45268.58</v>
      </c>
      <c r="H38" s="129">
        <f>SUM(H29:H37)</f>
        <v>158</v>
      </c>
      <c r="I38" s="130">
        <f>J38/H38</f>
        <v>291.08</v>
      </c>
      <c r="J38" s="131">
        <f>SUM(J29:J37)</f>
        <v>45990.64</v>
      </c>
      <c r="K38" s="129">
        <f>SUM(K29:K37)</f>
        <v>88</v>
      </c>
      <c r="L38" s="130">
        <f>M38/K38</f>
        <v>286.51</v>
      </c>
      <c r="M38" s="131">
        <f>SUM(M29:M37)</f>
        <v>25212.879999999997</v>
      </c>
      <c r="N38" s="129">
        <f>SUM(N29:N37)</f>
        <v>54</v>
      </c>
      <c r="O38" s="130">
        <f>P38/N38</f>
        <v>288.60000000000002</v>
      </c>
      <c r="P38" s="131">
        <f>SUM(P29:P37)</f>
        <v>15584.400000000001</v>
      </c>
      <c r="Q38" s="129">
        <f>SUM(Q29:Q37)</f>
        <v>0</v>
      </c>
      <c r="R38" s="354" t="e">
        <f>S38/Q38</f>
        <v>#DIV/0!</v>
      </c>
      <c r="S38" s="131">
        <f>SUM(S29:S37)</f>
        <v>0</v>
      </c>
    </row>
  </sheetData>
  <mergeCells count="18">
    <mergeCell ref="B14:D14"/>
    <mergeCell ref="B27:D27"/>
    <mergeCell ref="E27:G27"/>
    <mergeCell ref="H27:J27"/>
    <mergeCell ref="K27:M27"/>
    <mergeCell ref="E14:G14"/>
    <mergeCell ref="H14:J14"/>
    <mergeCell ref="K14:M14"/>
    <mergeCell ref="B1:D1"/>
    <mergeCell ref="E1:G1"/>
    <mergeCell ref="H1:J1"/>
    <mergeCell ref="K1:M1"/>
    <mergeCell ref="N1:P1"/>
    <mergeCell ref="N14:P14"/>
    <mergeCell ref="Q1:S1"/>
    <mergeCell ref="Q27:S27"/>
    <mergeCell ref="Q14:S14"/>
    <mergeCell ref="N27:P27"/>
  </mergeCells>
  <pageMargins left="0.511811024" right="0.511811024" top="0.78740157499999996" bottom="0.78740157499999996" header="0.31496062000000002" footer="0.31496062000000002"/>
  <ignoredErrors>
    <ignoredError sqref="C25 F25 I25 C38:I38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219E-4BD0-44A5-9FE0-397B1C2D0145}">
  <dimension ref="A1:V41"/>
  <sheetViews>
    <sheetView showGridLines="0" topLeftCell="A7" workbookViewId="0">
      <selection activeCell="A3" sqref="A3"/>
    </sheetView>
  </sheetViews>
  <sheetFormatPr defaultColWidth="8.88671875" defaultRowHeight="13.8" x14ac:dyDescent="0.3"/>
  <cols>
    <col min="1" max="1" width="10.6640625" style="6" bestFit="1" customWidth="1"/>
    <col min="2" max="2" width="54.6640625" style="454" bestFit="1" customWidth="1"/>
    <col min="3" max="3" width="12.33203125" style="11" customWidth="1"/>
    <col min="4" max="4" width="7.88671875" style="9" hidden="1" customWidth="1"/>
    <col min="5" max="5" width="11.6640625" style="11" customWidth="1"/>
    <col min="6" max="6" width="7.88671875" style="9" hidden="1" customWidth="1"/>
    <col min="7" max="7" width="8.44140625" style="9" hidden="1" customWidth="1"/>
    <col min="8" max="8" width="11.6640625" style="11" bestFit="1" customWidth="1"/>
    <col min="9" max="9" width="7.88671875" style="9" hidden="1" customWidth="1"/>
    <col min="10" max="10" width="8.6640625" style="9" hidden="1" customWidth="1"/>
    <col min="11" max="11" width="11.6640625" style="11" bestFit="1" customWidth="1"/>
    <col min="12" max="12" width="7.6640625" style="9" hidden="1" customWidth="1"/>
    <col min="13" max="13" width="8.33203125" style="9" hidden="1" customWidth="1"/>
    <col min="14" max="14" width="11.6640625" style="234" bestFit="1" customWidth="1"/>
    <col min="15" max="15" width="7.6640625" style="9" hidden="1" customWidth="1"/>
    <col min="16" max="16" width="8.33203125" style="9" hidden="1" customWidth="1"/>
    <col min="17" max="17" width="11.6640625" style="234" bestFit="1" customWidth="1"/>
    <col min="18" max="18" width="7.6640625" style="9" hidden="1" customWidth="1"/>
    <col min="19" max="19" width="8.33203125" style="9" hidden="1" customWidth="1"/>
    <col min="20" max="16384" width="8.88671875" style="6"/>
  </cols>
  <sheetData>
    <row r="1" spans="1:19" ht="14.4" customHeight="1" x14ac:dyDescent="0.3">
      <c r="B1" s="506" t="s">
        <v>1667</v>
      </c>
      <c r="C1" s="507" t="s">
        <v>1441</v>
      </c>
      <c r="D1" s="507"/>
      <c r="E1" s="507" t="s">
        <v>1442</v>
      </c>
      <c r="F1" s="507"/>
      <c r="G1" s="507"/>
      <c r="H1" s="507" t="s">
        <v>1443</v>
      </c>
      <c r="I1" s="507"/>
      <c r="J1" s="507"/>
      <c r="K1" s="507" t="s">
        <v>1444</v>
      </c>
      <c r="L1" s="507"/>
      <c r="M1" s="507"/>
      <c r="N1" s="507" t="s">
        <v>1668</v>
      </c>
      <c r="O1" s="507"/>
      <c r="P1" s="507"/>
      <c r="Q1" s="507" t="s">
        <v>1669</v>
      </c>
      <c r="R1" s="507"/>
      <c r="S1" s="507"/>
    </row>
    <row r="2" spans="1:19" s="7" customFormat="1" x14ac:dyDescent="0.3">
      <c r="B2" s="506"/>
      <c r="C2" s="452" t="s">
        <v>1445</v>
      </c>
      <c r="D2" s="29" t="s">
        <v>1446</v>
      </c>
      <c r="E2" s="452" t="s">
        <v>1445</v>
      </c>
      <c r="F2" s="29" t="s">
        <v>1446</v>
      </c>
      <c r="G2" s="29" t="s">
        <v>1670</v>
      </c>
      <c r="H2" s="452" t="s">
        <v>1445</v>
      </c>
      <c r="I2" s="29" t="s">
        <v>1446</v>
      </c>
      <c r="J2" s="29" t="s">
        <v>1670</v>
      </c>
      <c r="K2" s="452" t="s">
        <v>1445</v>
      </c>
      <c r="L2" s="29" t="s">
        <v>1446</v>
      </c>
      <c r="M2" s="29" t="s">
        <v>1670</v>
      </c>
      <c r="N2" s="452" t="s">
        <v>1445</v>
      </c>
      <c r="O2" s="29" t="s">
        <v>1446</v>
      </c>
      <c r="P2" s="29" t="s">
        <v>1670</v>
      </c>
      <c r="Q2" s="452" t="s">
        <v>1445</v>
      </c>
      <c r="R2" s="29" t="s">
        <v>1446</v>
      </c>
      <c r="S2" s="29" t="s">
        <v>1670</v>
      </c>
    </row>
    <row r="3" spans="1:19" s="8" customFormat="1" x14ac:dyDescent="0.3">
      <c r="A3" s="6" t="s">
        <v>1592</v>
      </c>
      <c r="B3" s="459" t="s">
        <v>1671</v>
      </c>
      <c r="C3" s="31">
        <v>1207206.99</v>
      </c>
      <c r="D3" s="32">
        <f t="shared" ref="D3:D22" si="0">C3/C$3</f>
        <v>1</v>
      </c>
      <c r="E3" s="31">
        <v>1594226.24</v>
      </c>
      <c r="F3" s="32">
        <f t="shared" ref="F3:F22" si="1">E3/E$3</f>
        <v>1</v>
      </c>
      <c r="G3" s="32">
        <f>IFERROR(E3/C3-1,0)</f>
        <v>0.32059063044358282</v>
      </c>
      <c r="H3" s="31">
        <v>1443037.2</v>
      </c>
      <c r="I3" s="32">
        <f t="shared" ref="I3:I23" si="2">H3/H$3</f>
        <v>1</v>
      </c>
      <c r="J3" s="32">
        <f>IFERROR(H3/E3-1,0)</f>
        <v>-9.4835372926743489E-2</v>
      </c>
      <c r="K3" s="31">
        <v>1101552.02</v>
      </c>
      <c r="L3" s="32">
        <f t="shared" ref="L3:L23" si="3">K3/K$3</f>
        <v>1</v>
      </c>
      <c r="M3" s="32">
        <f>IFERROR(K3/H3-1,0)</f>
        <v>-0.23664336581205248</v>
      </c>
      <c r="N3" s="31">
        <v>936890.74</v>
      </c>
      <c r="O3" s="32">
        <f t="shared" ref="O3:O37" si="4">N3/N$3</f>
        <v>1</v>
      </c>
      <c r="P3" s="32">
        <f t="shared" ref="P3:P37" si="5">IFERROR(N3/K3-1,0)</f>
        <v>-0.14948116567386438</v>
      </c>
      <c r="Q3" s="31">
        <v>1373580.81</v>
      </c>
      <c r="R3" s="32">
        <f t="shared" ref="R3:R37" si="6">Q3/Q$3</f>
        <v>1</v>
      </c>
      <c r="S3" s="32">
        <f t="shared" ref="S3:S37" si="7">IFERROR(Q3/N3-1,0)</f>
        <v>0.46610565283204752</v>
      </c>
    </row>
    <row r="4" spans="1:19" s="8" customFormat="1" x14ac:dyDescent="0.3">
      <c r="A4" s="6" t="s">
        <v>1592</v>
      </c>
      <c r="B4" s="458" t="s">
        <v>1672</v>
      </c>
      <c r="C4" s="95">
        <v>35650.83</v>
      </c>
      <c r="D4" s="36">
        <f t="shared" si="0"/>
        <v>2.9531663000062651E-2</v>
      </c>
      <c r="E4" s="95">
        <v>21104.11</v>
      </c>
      <c r="F4" s="36">
        <f t="shared" si="1"/>
        <v>1.3237838815148345E-2</v>
      </c>
      <c r="G4" s="36">
        <f t="shared" ref="G4:G22" si="8">IFERROR(E4/C4-1,0)</f>
        <v>-0.40803313695641874</v>
      </c>
      <c r="H4" s="95">
        <v>19335</v>
      </c>
      <c r="I4" s="36">
        <f t="shared" si="2"/>
        <v>1.3398822982526022E-2</v>
      </c>
      <c r="J4" s="36">
        <f t="shared" ref="J4:J37" si="9">IFERROR(H4/E4-1,0)</f>
        <v>-8.3827747296616684E-2</v>
      </c>
      <c r="K4" s="95">
        <v>15811.61</v>
      </c>
      <c r="L4" s="36">
        <f t="shared" si="3"/>
        <v>1.4353938545725694E-2</v>
      </c>
      <c r="M4" s="36">
        <f t="shared" ref="M4:M37" si="10">IFERROR(K4/H4-1,0)</f>
        <v>-0.18222860098267391</v>
      </c>
      <c r="N4" s="95">
        <f>1.5%*N3</f>
        <v>14053.3611</v>
      </c>
      <c r="O4" s="36">
        <f t="shared" si="4"/>
        <v>1.4999999999999999E-2</v>
      </c>
      <c r="P4" s="36">
        <f t="shared" si="5"/>
        <v>-0.11119986516237124</v>
      </c>
      <c r="Q4" s="95">
        <v>29702.17</v>
      </c>
      <c r="R4" s="36">
        <f t="shared" si="6"/>
        <v>2.1623897031584183E-2</v>
      </c>
      <c r="S4" s="36">
        <f t="shared" si="7"/>
        <v>1.1135278449509136</v>
      </c>
    </row>
    <row r="5" spans="1:19" x14ac:dyDescent="0.3">
      <c r="B5" s="457" t="s">
        <v>1673</v>
      </c>
      <c r="C5" s="35">
        <v>0</v>
      </c>
      <c r="D5" s="36">
        <f t="shared" si="0"/>
        <v>0</v>
      </c>
      <c r="E5" s="35">
        <v>0</v>
      </c>
      <c r="F5" s="36">
        <f t="shared" si="1"/>
        <v>0</v>
      </c>
      <c r="G5" s="36">
        <f t="shared" si="8"/>
        <v>0</v>
      </c>
      <c r="H5" s="35">
        <v>0</v>
      </c>
      <c r="I5" s="36">
        <f t="shared" si="2"/>
        <v>0</v>
      </c>
      <c r="J5" s="36">
        <f t="shared" si="9"/>
        <v>0</v>
      </c>
      <c r="K5" s="35">
        <v>0</v>
      </c>
      <c r="L5" s="36">
        <f t="shared" si="3"/>
        <v>0</v>
      </c>
      <c r="M5" s="36">
        <f t="shared" si="10"/>
        <v>0</v>
      </c>
      <c r="N5" s="35">
        <v>0</v>
      </c>
      <c r="O5" s="36">
        <f t="shared" si="4"/>
        <v>0</v>
      </c>
      <c r="P5" s="36">
        <f t="shared" si="5"/>
        <v>0</v>
      </c>
      <c r="Q5" s="35">
        <v>0</v>
      </c>
      <c r="R5" s="36">
        <f t="shared" si="6"/>
        <v>0</v>
      </c>
      <c r="S5" s="36">
        <f t="shared" si="7"/>
        <v>0</v>
      </c>
    </row>
    <row r="6" spans="1:19" x14ac:dyDescent="0.3">
      <c r="A6" s="6" t="s">
        <v>1592</v>
      </c>
      <c r="B6" s="456" t="s">
        <v>1674</v>
      </c>
      <c r="C6" s="42">
        <f>SUM(C7:C9)</f>
        <v>9199.86</v>
      </c>
      <c r="D6" s="43">
        <f t="shared" si="0"/>
        <v>7.6207809234106576E-3</v>
      </c>
      <c r="E6" s="42">
        <f>SUM(E7:E9)</f>
        <v>1174.8800000000001</v>
      </c>
      <c r="F6" s="43">
        <f t="shared" si="1"/>
        <v>7.3695939166074705E-4</v>
      </c>
      <c r="G6" s="43">
        <f t="shared" si="8"/>
        <v>-0.87229370881730806</v>
      </c>
      <c r="H6" s="42">
        <f>SUM(H7:H9)</f>
        <v>6687.27</v>
      </c>
      <c r="I6" s="43">
        <f t="shared" si="2"/>
        <v>4.6341632772876548E-3</v>
      </c>
      <c r="J6" s="43">
        <f t="shared" si="9"/>
        <v>4.6918749148849246</v>
      </c>
      <c r="K6" s="42">
        <f>SUM(K7:K9)</f>
        <v>20376.209999999995</v>
      </c>
      <c r="L6" s="43">
        <f t="shared" si="3"/>
        <v>1.849772832335235E-2</v>
      </c>
      <c r="M6" s="43">
        <f t="shared" si="10"/>
        <v>2.0470147010663537</v>
      </c>
      <c r="N6" s="42">
        <f>SUM(N7:N9)</f>
        <v>31195.069999999996</v>
      </c>
      <c r="O6" s="43">
        <f t="shared" si="4"/>
        <v>3.3296379895909736E-2</v>
      </c>
      <c r="P6" s="43">
        <f t="shared" si="5"/>
        <v>0.53095546227684154</v>
      </c>
      <c r="Q6" s="42">
        <f>SUM(Q7:Q9)</f>
        <v>23710.909999999993</v>
      </c>
      <c r="R6" s="43">
        <f t="shared" si="6"/>
        <v>1.7262115069880738E-2</v>
      </c>
      <c r="S6" s="43">
        <f t="shared" si="7"/>
        <v>-0.23991483269632041</v>
      </c>
    </row>
    <row r="7" spans="1:19" x14ac:dyDescent="0.3">
      <c r="B7" s="416" t="s">
        <v>1675</v>
      </c>
      <c r="C7" s="39">
        <v>6905.45</v>
      </c>
      <c r="D7" s="40">
        <f t="shared" si="0"/>
        <v>5.7201872232366712E-3</v>
      </c>
      <c r="E7" s="39">
        <v>0</v>
      </c>
      <c r="F7" s="40">
        <f t="shared" si="1"/>
        <v>0</v>
      </c>
      <c r="G7" s="40">
        <f t="shared" si="8"/>
        <v>-1</v>
      </c>
      <c r="H7" s="39">
        <v>0</v>
      </c>
      <c r="I7" s="40">
        <f t="shared" si="2"/>
        <v>0</v>
      </c>
      <c r="J7" s="40">
        <f t="shared" si="9"/>
        <v>0</v>
      </c>
      <c r="K7" s="39">
        <v>0</v>
      </c>
      <c r="L7" s="40">
        <f t="shared" si="3"/>
        <v>0</v>
      </c>
      <c r="M7" s="40">
        <f t="shared" si="10"/>
        <v>0</v>
      </c>
      <c r="N7" s="39">
        <v>0</v>
      </c>
      <c r="O7" s="40">
        <f t="shared" si="4"/>
        <v>0</v>
      </c>
      <c r="P7" s="40">
        <f t="shared" si="5"/>
        <v>0</v>
      </c>
      <c r="Q7" s="39">
        <v>0</v>
      </c>
      <c r="R7" s="40">
        <f t="shared" si="6"/>
        <v>0</v>
      </c>
      <c r="S7" s="40">
        <f t="shared" si="7"/>
        <v>0</v>
      </c>
    </row>
    <row r="8" spans="1:19" x14ac:dyDescent="0.3">
      <c r="B8" s="416" t="s">
        <v>1676</v>
      </c>
      <c r="C8" s="39">
        <v>310</v>
      </c>
      <c r="D8" s="40">
        <f t="shared" si="0"/>
        <v>2.5679109097935228E-4</v>
      </c>
      <c r="E8" s="39">
        <v>0</v>
      </c>
      <c r="F8" s="40">
        <f t="shared" si="1"/>
        <v>0</v>
      </c>
      <c r="G8" s="40">
        <f t="shared" si="8"/>
        <v>-1</v>
      </c>
      <c r="H8" s="39">
        <v>0</v>
      </c>
      <c r="I8" s="40">
        <f t="shared" si="2"/>
        <v>0</v>
      </c>
      <c r="J8" s="40">
        <f t="shared" si="9"/>
        <v>0</v>
      </c>
      <c r="K8" s="39">
        <v>0</v>
      </c>
      <c r="L8" s="40">
        <f t="shared" si="3"/>
        <v>0</v>
      </c>
      <c r="M8" s="40">
        <f t="shared" si="10"/>
        <v>0</v>
      </c>
      <c r="N8" s="39">
        <v>0</v>
      </c>
      <c r="O8" s="40">
        <f t="shared" si="4"/>
        <v>0</v>
      </c>
      <c r="P8" s="40">
        <f t="shared" si="5"/>
        <v>0</v>
      </c>
      <c r="Q8" s="39">
        <v>0</v>
      </c>
      <c r="R8" s="40">
        <f t="shared" si="6"/>
        <v>0</v>
      </c>
      <c r="S8" s="40">
        <f t="shared" si="7"/>
        <v>0</v>
      </c>
    </row>
    <row r="9" spans="1:19" x14ac:dyDescent="0.3">
      <c r="B9" s="416" t="s">
        <v>1677</v>
      </c>
      <c r="C9" s="39">
        <v>1984.41</v>
      </c>
      <c r="D9" s="40">
        <f t="shared" si="0"/>
        <v>1.6438026091946337E-3</v>
      </c>
      <c r="E9" s="39">
        <v>1174.8800000000001</v>
      </c>
      <c r="F9" s="40">
        <f t="shared" si="1"/>
        <v>7.3695939166074705E-4</v>
      </c>
      <c r="G9" s="40">
        <f t="shared" si="8"/>
        <v>-0.40794493073507987</v>
      </c>
      <c r="H9" s="39">
        <v>6687.27</v>
      </c>
      <c r="I9" s="40">
        <f t="shared" si="2"/>
        <v>4.6341632772876548E-3</v>
      </c>
      <c r="J9" s="40">
        <f t="shared" si="9"/>
        <v>4.6918749148849246</v>
      </c>
      <c r="K9" s="198">
        <v>20376.209999999995</v>
      </c>
      <c r="L9" s="40">
        <f t="shared" si="3"/>
        <v>1.849772832335235E-2</v>
      </c>
      <c r="M9" s="40">
        <f t="shared" si="10"/>
        <v>2.0470147010663537</v>
      </c>
      <c r="N9" s="198">
        <v>31195.069999999996</v>
      </c>
      <c r="O9" s="40">
        <f t="shared" si="4"/>
        <v>3.3296379895909736E-2</v>
      </c>
      <c r="P9" s="40">
        <f t="shared" si="5"/>
        <v>0.53095546227684154</v>
      </c>
      <c r="Q9" s="198">
        <v>23710.909999999993</v>
      </c>
      <c r="R9" s="40">
        <f t="shared" si="6"/>
        <v>1.7262115069880738E-2</v>
      </c>
      <c r="S9" s="40">
        <f t="shared" si="7"/>
        <v>-0.23991483269632041</v>
      </c>
    </row>
    <row r="10" spans="1:19" s="8" customFormat="1" x14ac:dyDescent="0.3">
      <c r="A10" s="6"/>
      <c r="B10" s="459" t="s">
        <v>1678</v>
      </c>
      <c r="C10" s="31">
        <f>C3-C4-C5-C6</f>
        <v>1162356.2999999998</v>
      </c>
      <c r="D10" s="32">
        <f t="shared" si="0"/>
        <v>0.9628475560765265</v>
      </c>
      <c r="E10" s="31">
        <f>E3-E4-E5-E6</f>
        <v>1571947.25</v>
      </c>
      <c r="F10" s="32">
        <f t="shared" si="1"/>
        <v>0.98602520179319086</v>
      </c>
      <c r="G10" s="32">
        <f t="shared" si="8"/>
        <v>0.35237985977277386</v>
      </c>
      <c r="H10" s="31">
        <f>H3-H4-H5-H6</f>
        <v>1417014.93</v>
      </c>
      <c r="I10" s="32">
        <f t="shared" si="2"/>
        <v>0.98196701374018636</v>
      </c>
      <c r="J10" s="32">
        <f t="shared" si="9"/>
        <v>-9.8560762773687305E-2</v>
      </c>
      <c r="K10" s="31">
        <f>K3-K4-K5-K6</f>
        <v>1065364.2</v>
      </c>
      <c r="L10" s="32">
        <f t="shared" si="3"/>
        <v>0.96714833313092186</v>
      </c>
      <c r="M10" s="32">
        <f t="shared" si="10"/>
        <v>-0.24816303805634565</v>
      </c>
      <c r="N10" s="31">
        <f>N3-N4-N5-N6</f>
        <v>891642.30890000006</v>
      </c>
      <c r="O10" s="32">
        <f t="shared" si="4"/>
        <v>0.95170362010409038</v>
      </c>
      <c r="P10" s="32">
        <f t="shared" si="5"/>
        <v>-0.16306338348895133</v>
      </c>
      <c r="Q10" s="31">
        <f>Q3-Q4-Q5-Q6</f>
        <v>1320167.7300000002</v>
      </c>
      <c r="R10" s="32">
        <f t="shared" si="6"/>
        <v>0.96111398789853519</v>
      </c>
      <c r="S10" s="32">
        <f t="shared" si="7"/>
        <v>0.48060238598218019</v>
      </c>
    </row>
    <row r="11" spans="1:19" x14ac:dyDescent="0.3">
      <c r="A11" s="6" t="s">
        <v>1592</v>
      </c>
      <c r="B11" s="457" t="s">
        <v>1679</v>
      </c>
      <c r="C11" s="35">
        <f>C12+C13</f>
        <v>923317.34324999992</v>
      </c>
      <c r="D11" s="36">
        <f t="shared" si="0"/>
        <v>0.76483763836556307</v>
      </c>
      <c r="E11" s="35">
        <f>E12+E13</f>
        <v>1282104.0919999999</v>
      </c>
      <c r="F11" s="36">
        <f t="shared" si="1"/>
        <v>0.80421715552743622</v>
      </c>
      <c r="G11" s="36">
        <f t="shared" si="8"/>
        <v>0.38858443564712064</v>
      </c>
      <c r="H11" s="35">
        <f>H12+H13</f>
        <v>1119132.4299999997</v>
      </c>
      <c r="I11" s="36">
        <f t="shared" si="2"/>
        <v>0.77553955643000727</v>
      </c>
      <c r="J11" s="36">
        <f t="shared" si="9"/>
        <v>-0.12711266036580149</v>
      </c>
      <c r="K11" s="35">
        <f>K12+K13</f>
        <v>865095.17350000003</v>
      </c>
      <c r="L11" s="36">
        <f t="shared" si="3"/>
        <v>0.7853420971439915</v>
      </c>
      <c r="M11" s="36">
        <f t="shared" si="10"/>
        <v>-0.22699481284801992</v>
      </c>
      <c r="N11" s="35">
        <f>N12+N13</f>
        <v>755745.50950000004</v>
      </c>
      <c r="O11" s="36">
        <f t="shared" si="4"/>
        <v>0.80665276881699144</v>
      </c>
      <c r="P11" s="36">
        <f t="shared" si="5"/>
        <v>-0.12640188888997428</v>
      </c>
      <c r="Q11" s="35">
        <f>Q12+Q13</f>
        <v>1074369.7217500003</v>
      </c>
      <c r="R11" s="36">
        <f t="shared" si="6"/>
        <v>0.78216710216707253</v>
      </c>
      <c r="S11" s="36">
        <f t="shared" si="7"/>
        <v>0.42160252127836184</v>
      </c>
    </row>
    <row r="12" spans="1:19" x14ac:dyDescent="0.3">
      <c r="A12" s="6" t="s">
        <v>1592</v>
      </c>
      <c r="B12" s="455" t="s">
        <v>1680</v>
      </c>
      <c r="C12" s="45">
        <f>662325.14+45268.58</f>
        <v>707593.72</v>
      </c>
      <c r="D12" s="46">
        <f t="shared" si="0"/>
        <v>0.5861411720288332</v>
      </c>
      <c r="E12" s="42">
        <f>953356.62+45268.58</f>
        <v>998625.2</v>
      </c>
      <c r="F12" s="43">
        <f t="shared" si="1"/>
        <v>0.62640118130284939</v>
      </c>
      <c r="G12" s="43">
        <f t="shared" si="8"/>
        <v>0.41129743209139846</v>
      </c>
      <c r="H12" s="42">
        <v>857572.80999999982</v>
      </c>
      <c r="I12" s="43">
        <f t="shared" si="2"/>
        <v>0.59428323122924331</v>
      </c>
      <c r="J12" s="43">
        <f t="shared" si="9"/>
        <v>-0.14124657579239952</v>
      </c>
      <c r="K12" s="241">
        <v>667576.62</v>
      </c>
      <c r="L12" s="43">
        <f t="shared" si="3"/>
        <v>0.6060327682028126</v>
      </c>
      <c r="M12" s="43">
        <f t="shared" si="10"/>
        <v>-0.22155108905563348</v>
      </c>
      <c r="N12" s="241">
        <v>577935.69000000006</v>
      </c>
      <c r="O12" s="43">
        <f t="shared" si="4"/>
        <v>0.61686562298609127</v>
      </c>
      <c r="P12" s="43">
        <f t="shared" si="5"/>
        <v>-0.13427811477280305</v>
      </c>
      <c r="Q12" s="241">
        <v>817037.4600000002</v>
      </c>
      <c r="R12" s="43">
        <f t="shared" si="6"/>
        <v>0.59482300134929822</v>
      </c>
      <c r="S12" s="43">
        <f t="shared" si="7"/>
        <v>0.41371691372789265</v>
      </c>
    </row>
    <row r="13" spans="1:19" x14ac:dyDescent="0.3">
      <c r="A13" s="6" t="s">
        <v>1592</v>
      </c>
      <c r="B13" s="455" t="s">
        <v>1681</v>
      </c>
      <c r="C13" s="45">
        <f>SUM(C14:C20)</f>
        <v>215723.62325</v>
      </c>
      <c r="D13" s="46">
        <f t="shared" si="0"/>
        <v>0.17869646633672989</v>
      </c>
      <c r="E13" s="45">
        <f>SUM(E14:E20)</f>
        <v>283478.89199999999</v>
      </c>
      <c r="F13" s="43">
        <f t="shared" si="1"/>
        <v>0.17781597422458684</v>
      </c>
      <c r="G13" s="43">
        <f t="shared" si="8"/>
        <v>0.31408367673983983</v>
      </c>
      <c r="H13" s="45">
        <f>SUM(H14:H20)</f>
        <v>261559.61999999997</v>
      </c>
      <c r="I13" s="43">
        <f t="shared" si="2"/>
        <v>0.18125632520076404</v>
      </c>
      <c r="J13" s="43">
        <f t="shared" si="9"/>
        <v>-7.7322413126971079E-2</v>
      </c>
      <c r="K13" s="45">
        <f>SUM(K14:K20)</f>
        <v>197518.55350000001</v>
      </c>
      <c r="L13" s="43">
        <f t="shared" si="3"/>
        <v>0.17930932894117885</v>
      </c>
      <c r="M13" s="43">
        <f t="shared" si="10"/>
        <v>-0.24484309351726374</v>
      </c>
      <c r="N13" s="45">
        <f>SUM(N14:N20)</f>
        <v>177809.81950000001</v>
      </c>
      <c r="O13" s="43">
        <f t="shared" si="4"/>
        <v>0.1897871458309002</v>
      </c>
      <c r="P13" s="43">
        <f t="shared" si="5"/>
        <v>-9.9781684559572259E-2</v>
      </c>
      <c r="Q13" s="45">
        <f>SUM(Q14:Q20)</f>
        <v>257332.26175000001</v>
      </c>
      <c r="R13" s="43">
        <f t="shared" si="6"/>
        <v>0.18734410081777422</v>
      </c>
      <c r="S13" s="43">
        <f t="shared" si="7"/>
        <v>0.44723313073269266</v>
      </c>
    </row>
    <row r="14" spans="1:19" x14ac:dyDescent="0.3">
      <c r="B14" s="416" t="s">
        <v>1682</v>
      </c>
      <c r="C14" s="39">
        <f>1.5%*C3</f>
        <v>18108.10485</v>
      </c>
      <c r="D14" s="40">
        <f t="shared" ref="D14:D20" si="11">C14/C$3</f>
        <v>1.4999999999999999E-2</v>
      </c>
      <c r="E14" s="39">
        <f>1.5%*E3</f>
        <v>23913.393599999999</v>
      </c>
      <c r="F14" s="40">
        <f t="shared" ref="F14:F20" si="12">E14/E$3</f>
        <v>1.4999999999999999E-2</v>
      </c>
      <c r="G14" s="40">
        <f>IFERROR(E14/C14-1,0)</f>
        <v>0.32059063044358282</v>
      </c>
      <c r="H14" s="39">
        <f>1.5%*H3</f>
        <v>21645.557999999997</v>
      </c>
      <c r="I14" s="40">
        <f t="shared" ref="I14:I20" si="13">H14/H$3</f>
        <v>1.4999999999999999E-2</v>
      </c>
      <c r="J14" s="40">
        <f t="shared" ref="J14:J20" si="14">IFERROR(H14/E14-1,0)</f>
        <v>-9.4835372926743489E-2</v>
      </c>
      <c r="K14" s="39">
        <f>1.5%*K3</f>
        <v>16523.280299999999</v>
      </c>
      <c r="L14" s="40">
        <f t="shared" ref="L14:L20" si="15">K14/K$3</f>
        <v>1.4999999999999998E-2</v>
      </c>
      <c r="M14" s="40">
        <f t="shared" ref="M14:M20" si="16">IFERROR(K14/H14-1,0)</f>
        <v>-0.23664336581205248</v>
      </c>
      <c r="N14" s="39">
        <f>1.5%*N3</f>
        <v>14053.3611</v>
      </c>
      <c r="O14" s="40">
        <f t="shared" ref="O14:O20" si="17">N14/N$3</f>
        <v>1.4999999999999999E-2</v>
      </c>
      <c r="P14" s="40">
        <f t="shared" ref="P14:P20" si="18">IFERROR(N14/K14-1,0)</f>
        <v>-0.14948116567386438</v>
      </c>
      <c r="Q14" s="39">
        <f>1.5%*Q3</f>
        <v>20603.712149999999</v>
      </c>
      <c r="R14" s="40">
        <f t="shared" ref="R14:R20" si="19">Q14/Q$3</f>
        <v>1.4999999999999999E-2</v>
      </c>
      <c r="S14" s="40">
        <f t="shared" ref="S14:S20" si="20">IFERROR(Q14/N14-1,0)</f>
        <v>0.4661056528320473</v>
      </c>
    </row>
    <row r="15" spans="1:19" x14ac:dyDescent="0.3">
      <c r="B15" s="416" t="s">
        <v>967</v>
      </c>
      <c r="C15" s="39">
        <f>16%*C3</f>
        <v>193153.11840000001</v>
      </c>
      <c r="D15" s="40">
        <f t="shared" si="11"/>
        <v>0.16</v>
      </c>
      <c r="E15" s="39">
        <f>16%*E3</f>
        <v>255076.19839999999</v>
      </c>
      <c r="F15" s="40">
        <f t="shared" si="12"/>
        <v>0.16</v>
      </c>
      <c r="G15" s="40">
        <f>IFERROR(E15/C15-1,0)</f>
        <v>0.32059063044358282</v>
      </c>
      <c r="H15" s="39">
        <f>16%*H3</f>
        <v>230885.95199999999</v>
      </c>
      <c r="I15" s="40">
        <f t="shared" si="13"/>
        <v>0.16</v>
      </c>
      <c r="J15" s="40">
        <f t="shared" si="14"/>
        <v>-9.4835372926743489E-2</v>
      </c>
      <c r="K15" s="39">
        <f>16%*K3</f>
        <v>176248.32320000001</v>
      </c>
      <c r="L15" s="40">
        <f t="shared" si="15"/>
        <v>0.16</v>
      </c>
      <c r="M15" s="40">
        <f t="shared" si="16"/>
        <v>-0.23664336581205248</v>
      </c>
      <c r="N15" s="39">
        <f>16%*N3</f>
        <v>149902.5184</v>
      </c>
      <c r="O15" s="40">
        <f t="shared" si="17"/>
        <v>0.16</v>
      </c>
      <c r="P15" s="40">
        <f t="shared" si="18"/>
        <v>-0.14948116567386449</v>
      </c>
      <c r="Q15" s="39">
        <f>16%*Q3</f>
        <v>219772.9296</v>
      </c>
      <c r="R15" s="40">
        <f t="shared" si="19"/>
        <v>0.16</v>
      </c>
      <c r="S15" s="40">
        <f t="shared" si="20"/>
        <v>0.46610565283204752</v>
      </c>
    </row>
    <row r="16" spans="1:19" x14ac:dyDescent="0.3">
      <c r="B16" s="416" t="s">
        <v>1683</v>
      </c>
      <c r="C16" s="39">
        <v>4053.4</v>
      </c>
      <c r="D16" s="40">
        <f t="shared" si="11"/>
        <v>3.3576677683087308E-3</v>
      </c>
      <c r="E16" s="39">
        <v>4449.3</v>
      </c>
      <c r="F16" s="40">
        <f t="shared" si="12"/>
        <v>2.7908836828579612E-3</v>
      </c>
      <c r="G16" s="40">
        <f>IFERROR(E16/C16-1,0)</f>
        <v>9.7671090936004346E-2</v>
      </c>
      <c r="H16" s="39">
        <v>4329.1099999999997</v>
      </c>
      <c r="I16" s="40">
        <f t="shared" si="13"/>
        <v>2.9999988912274749E-3</v>
      </c>
      <c r="J16" s="40">
        <f t="shared" si="14"/>
        <v>-2.7013238037444154E-2</v>
      </c>
      <c r="K16" s="39">
        <v>4422.55</v>
      </c>
      <c r="L16" s="40">
        <f t="shared" si="15"/>
        <v>4.0148353592960595E-3</v>
      </c>
      <c r="M16" s="40">
        <f t="shared" si="16"/>
        <v>2.1584113131798643E-2</v>
      </c>
      <c r="N16" s="39">
        <v>4178.9399999999996</v>
      </c>
      <c r="O16" s="40">
        <f t="shared" si="17"/>
        <v>4.4604347354313695E-3</v>
      </c>
      <c r="P16" s="40">
        <f t="shared" si="18"/>
        <v>-5.508360561214698E-2</v>
      </c>
      <c r="Q16" s="39">
        <v>3460.62</v>
      </c>
      <c r="R16" s="40">
        <f t="shared" si="19"/>
        <v>2.5194149297994338E-3</v>
      </c>
      <c r="S16" s="40">
        <f t="shared" si="20"/>
        <v>-0.17189047940386792</v>
      </c>
    </row>
    <row r="17" spans="1:22" x14ac:dyDescent="0.3">
      <c r="B17" s="416" t="s">
        <v>1684</v>
      </c>
      <c r="C17" s="39">
        <v>0</v>
      </c>
      <c r="D17" s="40">
        <f t="shared" si="11"/>
        <v>0</v>
      </c>
      <c r="E17" s="39">
        <v>0</v>
      </c>
      <c r="F17" s="40">
        <f t="shared" si="12"/>
        <v>0</v>
      </c>
      <c r="G17" s="40">
        <f t="shared" ref="G17:G20" si="21">IFERROR(E17/C17-1,0)</f>
        <v>0</v>
      </c>
      <c r="H17" s="39">
        <v>4000</v>
      </c>
      <c r="I17" s="40">
        <f t="shared" si="13"/>
        <v>2.7719313126508449E-3</v>
      </c>
      <c r="J17" s="40">
        <f t="shared" si="14"/>
        <v>0</v>
      </c>
      <c r="K17" s="39">
        <v>0</v>
      </c>
      <c r="L17" s="40">
        <f t="shared" si="15"/>
        <v>0</v>
      </c>
      <c r="M17" s="40">
        <f t="shared" si="16"/>
        <v>-1</v>
      </c>
      <c r="N17" s="39">
        <v>0</v>
      </c>
      <c r="O17" s="40">
        <f t="shared" si="17"/>
        <v>0</v>
      </c>
      <c r="P17" s="40">
        <f t="shared" si="18"/>
        <v>0</v>
      </c>
      <c r="Q17" s="39">
        <v>1200</v>
      </c>
      <c r="R17" s="40">
        <f t="shared" si="19"/>
        <v>8.7362897855277981E-4</v>
      </c>
      <c r="S17" s="40">
        <f t="shared" si="20"/>
        <v>0</v>
      </c>
    </row>
    <row r="18" spans="1:22" x14ac:dyDescent="0.3">
      <c r="B18" s="416" t="s">
        <v>1685</v>
      </c>
      <c r="C18" s="39">
        <v>0</v>
      </c>
      <c r="D18" s="40">
        <f t="shared" si="11"/>
        <v>0</v>
      </c>
      <c r="E18" s="39">
        <v>0</v>
      </c>
      <c r="F18" s="40">
        <f t="shared" si="12"/>
        <v>0</v>
      </c>
      <c r="G18" s="40">
        <f t="shared" si="21"/>
        <v>0</v>
      </c>
      <c r="H18" s="39">
        <v>0</v>
      </c>
      <c r="I18" s="40">
        <f t="shared" si="13"/>
        <v>0</v>
      </c>
      <c r="J18" s="40">
        <f t="shared" si="14"/>
        <v>0</v>
      </c>
      <c r="K18" s="39">
        <v>0</v>
      </c>
      <c r="L18" s="40">
        <f t="shared" si="15"/>
        <v>0</v>
      </c>
      <c r="M18" s="40">
        <f t="shared" si="16"/>
        <v>0</v>
      </c>
      <c r="N18" s="39">
        <v>6600</v>
      </c>
      <c r="O18" s="40">
        <f t="shared" si="17"/>
        <v>7.0445781116376498E-3</v>
      </c>
      <c r="P18" s="40">
        <f t="shared" si="18"/>
        <v>0</v>
      </c>
      <c r="Q18" s="39">
        <v>10000</v>
      </c>
      <c r="R18" s="40">
        <f t="shared" si="19"/>
        <v>7.2802414879398316E-3</v>
      </c>
      <c r="S18" s="40">
        <f t="shared" si="20"/>
        <v>0.51515151515151514</v>
      </c>
    </row>
    <row r="19" spans="1:22" x14ac:dyDescent="0.3">
      <c r="B19" s="416" t="s">
        <v>1686</v>
      </c>
      <c r="C19" s="39">
        <v>0</v>
      </c>
      <c r="D19" s="40">
        <f t="shared" ref="D19" si="22">C19/C$3</f>
        <v>0</v>
      </c>
      <c r="E19" s="39">
        <v>0</v>
      </c>
      <c r="F19" s="40">
        <f t="shared" ref="F19" si="23">E19/E$3</f>
        <v>0</v>
      </c>
      <c r="G19" s="40">
        <f t="shared" ref="G19" si="24">IFERROR(E19/C19-1,0)</f>
        <v>0</v>
      </c>
      <c r="H19" s="39">
        <v>0</v>
      </c>
      <c r="I19" s="40">
        <f t="shared" ref="I19" si="25">H19/H$3</f>
        <v>0</v>
      </c>
      <c r="J19" s="40">
        <f t="shared" ref="J19" si="26">IFERROR(H19/E19-1,0)</f>
        <v>0</v>
      </c>
      <c r="K19" s="39">
        <v>0</v>
      </c>
      <c r="L19" s="40">
        <f t="shared" ref="L19" si="27">K19/K$3</f>
        <v>0</v>
      </c>
      <c r="M19" s="40">
        <f t="shared" ref="M19" si="28">IFERROR(K19/H19-1,0)</f>
        <v>0</v>
      </c>
      <c r="N19" s="39">
        <v>0</v>
      </c>
      <c r="O19" s="40">
        <f t="shared" ref="O19" si="29">N19/N$3</f>
        <v>0</v>
      </c>
      <c r="P19" s="40">
        <f t="shared" ref="P19" si="30">IFERROR(N19/K19-1,0)</f>
        <v>0</v>
      </c>
      <c r="Q19" s="39">
        <v>2000</v>
      </c>
      <c r="R19" s="40">
        <f t="shared" ref="R19" si="31">Q19/Q$3</f>
        <v>1.4560482975879664E-3</v>
      </c>
      <c r="S19" s="40">
        <f t="shared" ref="S19" si="32">IFERROR(Q19/N19-1,0)</f>
        <v>0</v>
      </c>
    </row>
    <row r="20" spans="1:22" x14ac:dyDescent="0.3">
      <c r="B20" s="416" t="s">
        <v>1687</v>
      </c>
      <c r="C20" s="39">
        <v>409</v>
      </c>
      <c r="D20" s="40">
        <f t="shared" si="11"/>
        <v>3.387985684211454E-4</v>
      </c>
      <c r="E20" s="39">
        <v>40</v>
      </c>
      <c r="F20" s="40">
        <f t="shared" si="12"/>
        <v>2.5090541728882848E-5</v>
      </c>
      <c r="G20" s="40">
        <f t="shared" si="21"/>
        <v>-0.90220048899755501</v>
      </c>
      <c r="H20" s="39">
        <v>699</v>
      </c>
      <c r="I20" s="40">
        <f t="shared" si="13"/>
        <v>4.8439499688573517E-4</v>
      </c>
      <c r="J20" s="40">
        <f t="shared" si="14"/>
        <v>16.475000000000001</v>
      </c>
      <c r="K20" s="39">
        <v>324.39999999999998</v>
      </c>
      <c r="L20" s="40">
        <f t="shared" si="15"/>
        <v>2.9449358188276935E-4</v>
      </c>
      <c r="M20" s="40">
        <f t="shared" si="16"/>
        <v>-0.53590844062947074</v>
      </c>
      <c r="N20" s="39">
        <v>3075</v>
      </c>
      <c r="O20" s="40">
        <f t="shared" si="17"/>
        <v>3.2821329838311777E-3</v>
      </c>
      <c r="P20" s="40">
        <f t="shared" si="18"/>
        <v>8.4790382244143032</v>
      </c>
      <c r="Q20" s="39">
        <v>295</v>
      </c>
      <c r="R20" s="40">
        <f t="shared" si="19"/>
        <v>2.1476712389422505E-4</v>
      </c>
      <c r="S20" s="40">
        <f t="shared" si="20"/>
        <v>-0.90406504065040649</v>
      </c>
    </row>
    <row r="21" spans="1:22" s="8" customFormat="1" x14ac:dyDescent="0.3">
      <c r="A21" s="6" t="s">
        <v>1592</v>
      </c>
      <c r="B21" s="459" t="s">
        <v>1688</v>
      </c>
      <c r="C21" s="31">
        <f>C10-C11</f>
        <v>239038.9567499999</v>
      </c>
      <c r="D21" s="32">
        <f t="shared" si="0"/>
        <v>0.19800991771096346</v>
      </c>
      <c r="E21" s="31">
        <f>E10-E11</f>
        <v>289843.15800000005</v>
      </c>
      <c r="F21" s="32">
        <f t="shared" si="1"/>
        <v>0.18180804626575464</v>
      </c>
      <c r="G21" s="32">
        <f t="shared" si="8"/>
        <v>0.21253523668585106</v>
      </c>
      <c r="H21" s="31">
        <f>H10-H11</f>
        <v>297882.50000000023</v>
      </c>
      <c r="I21" s="32">
        <f t="shared" si="2"/>
        <v>0.206427457310179</v>
      </c>
      <c r="J21" s="32">
        <f t="shared" si="9"/>
        <v>2.7736870021269233E-2</v>
      </c>
      <c r="K21" s="31">
        <f>K10-K11</f>
        <v>200269.02649999992</v>
      </c>
      <c r="L21" s="32">
        <f t="shared" si="3"/>
        <v>0.18180623598693044</v>
      </c>
      <c r="M21" s="32">
        <f t="shared" si="10"/>
        <v>-0.32769119871090191</v>
      </c>
      <c r="N21" s="31">
        <f>N10-N11</f>
        <v>135896.79940000002</v>
      </c>
      <c r="O21" s="32">
        <f t="shared" si="4"/>
        <v>0.14505085128709888</v>
      </c>
      <c r="P21" s="32">
        <f t="shared" si="5"/>
        <v>-0.32142877121340541</v>
      </c>
      <c r="Q21" s="31">
        <f>Q10-Q11</f>
        <v>245798.00824999996</v>
      </c>
      <c r="R21" s="32">
        <f t="shared" si="6"/>
        <v>0.17894688573146267</v>
      </c>
      <c r="S21" s="32">
        <f t="shared" si="7"/>
        <v>0.8087107962455804</v>
      </c>
      <c r="V21" s="6"/>
    </row>
    <row r="22" spans="1:22" x14ac:dyDescent="0.3">
      <c r="A22" s="6" t="s">
        <v>1592</v>
      </c>
      <c r="B22" s="457" t="s">
        <v>1689</v>
      </c>
      <c r="C22" s="35">
        <v>93406.07</v>
      </c>
      <c r="D22" s="36">
        <f t="shared" si="0"/>
        <v>7.7373698772237903E-2</v>
      </c>
      <c r="E22" s="35">
        <v>104939.41</v>
      </c>
      <c r="F22" s="36">
        <f t="shared" si="1"/>
        <v>6.5824666140233648E-2</v>
      </c>
      <c r="G22" s="36">
        <f t="shared" si="8"/>
        <v>0.12347527307379491</v>
      </c>
      <c r="H22" s="95">
        <v>108655.94</v>
      </c>
      <c r="I22" s="36">
        <f t="shared" si="2"/>
        <v>7.5296700597877866E-2</v>
      </c>
      <c r="J22" s="36">
        <f t="shared" si="9"/>
        <v>3.5415960505209565E-2</v>
      </c>
      <c r="K22" s="95">
        <v>119972.84</v>
      </c>
      <c r="L22" s="36">
        <f t="shared" si="3"/>
        <v>0.10891255049398393</v>
      </c>
      <c r="M22" s="36">
        <f t="shared" si="10"/>
        <v>0.10415353270147953</v>
      </c>
      <c r="N22" s="95">
        <f>104587.45+14938.92</f>
        <v>119526.37</v>
      </c>
      <c r="O22" s="36">
        <f t="shared" si="4"/>
        <v>0.12757770452507622</v>
      </c>
      <c r="P22" s="36">
        <f t="shared" si="5"/>
        <v>-3.7214256159977532E-3</v>
      </c>
      <c r="Q22" s="95">
        <f>152982.51-14938.92</f>
        <v>138043.59</v>
      </c>
      <c r="R22" s="36">
        <f t="shared" si="6"/>
        <v>0.1004990671062156</v>
      </c>
      <c r="S22" s="36">
        <f t="shared" si="7"/>
        <v>0.15492162942788279</v>
      </c>
    </row>
    <row r="23" spans="1:22" s="8" customFormat="1" x14ac:dyDescent="0.3">
      <c r="A23" s="6" t="s">
        <v>1592</v>
      </c>
      <c r="B23" s="459" t="s">
        <v>1690</v>
      </c>
      <c r="C23" s="31">
        <f>C21-C22</f>
        <v>145632.88674999989</v>
      </c>
      <c r="D23" s="32">
        <f t="shared" ref="D23:D37" si="33">C23/C$3</f>
        <v>0.12063621893872557</v>
      </c>
      <c r="E23" s="31">
        <f>E21-E22</f>
        <v>184903.74800000005</v>
      </c>
      <c r="F23" s="32">
        <f t="shared" ref="F23:F37" si="34">E23/E$3</f>
        <v>0.11598338012552099</v>
      </c>
      <c r="G23" s="32">
        <f t="shared" ref="G23:G37" si="35">IFERROR(E23/C23-1,0)</f>
        <v>0.26965654617156853</v>
      </c>
      <c r="H23" s="31">
        <f>H21-H22</f>
        <v>189226.56000000023</v>
      </c>
      <c r="I23" s="32">
        <f t="shared" si="2"/>
        <v>0.13113075671230112</v>
      </c>
      <c r="J23" s="32">
        <f t="shared" si="9"/>
        <v>2.3378714854391136E-2</v>
      </c>
      <c r="K23" s="31">
        <f>K21-K22</f>
        <v>80296.186499999923</v>
      </c>
      <c r="L23" s="32">
        <f t="shared" si="3"/>
        <v>7.2893685492946503E-2</v>
      </c>
      <c r="M23" s="32">
        <f t="shared" si="10"/>
        <v>-0.57566112019369897</v>
      </c>
      <c r="N23" s="31">
        <f>N21-N22</f>
        <v>16370.429400000023</v>
      </c>
      <c r="O23" s="32">
        <f t="shared" si="4"/>
        <v>1.7473146762022669E-2</v>
      </c>
      <c r="P23" s="32">
        <f t="shared" si="5"/>
        <v>-0.79612444732976151</v>
      </c>
      <c r="Q23" s="31">
        <f>Q21-Q22</f>
        <v>107754.41824999996</v>
      </c>
      <c r="R23" s="32">
        <f t="shared" si="6"/>
        <v>7.8447818625247065E-2</v>
      </c>
      <c r="S23" s="32">
        <f t="shared" si="7"/>
        <v>5.582259732905956</v>
      </c>
    </row>
    <row r="24" spans="1:22" s="8" customFormat="1" x14ac:dyDescent="0.3">
      <c r="A24" s="6" t="s">
        <v>1592</v>
      </c>
      <c r="B24" s="457" t="s">
        <v>1691</v>
      </c>
      <c r="C24" s="35">
        <v>0</v>
      </c>
      <c r="D24" s="36">
        <f>C24/C$3</f>
        <v>0</v>
      </c>
      <c r="E24" s="35">
        <v>0</v>
      </c>
      <c r="F24" s="36">
        <f>E24/E$3</f>
        <v>0</v>
      </c>
      <c r="G24" s="36">
        <f>IFERROR(E24/C24-1,0)</f>
        <v>0</v>
      </c>
      <c r="H24" s="35">
        <v>0</v>
      </c>
      <c r="I24" s="36">
        <f>H24/H$3</f>
        <v>0</v>
      </c>
      <c r="J24" s="36">
        <f t="shared" si="9"/>
        <v>0</v>
      </c>
      <c r="K24" s="35">
        <v>0</v>
      </c>
      <c r="L24" s="36">
        <f>K24/K$3</f>
        <v>0</v>
      </c>
      <c r="M24" s="36">
        <f t="shared" si="10"/>
        <v>0</v>
      </c>
      <c r="N24" s="35">
        <v>0</v>
      </c>
      <c r="O24" s="36">
        <f t="shared" si="4"/>
        <v>0</v>
      </c>
      <c r="P24" s="36">
        <f t="shared" si="5"/>
        <v>0</v>
      </c>
      <c r="Q24" s="35">
        <v>0</v>
      </c>
      <c r="R24" s="36">
        <f t="shared" si="6"/>
        <v>0</v>
      </c>
      <c r="S24" s="36">
        <f t="shared" si="7"/>
        <v>0</v>
      </c>
    </row>
    <row r="25" spans="1:22" s="8" customFormat="1" x14ac:dyDescent="0.3">
      <c r="A25" s="6"/>
      <c r="B25" s="459" t="s">
        <v>1692</v>
      </c>
      <c r="C25" s="31">
        <f>C23-C24</f>
        <v>145632.88674999989</v>
      </c>
      <c r="D25" s="32">
        <f>C25/C$3</f>
        <v>0.12063621893872557</v>
      </c>
      <c r="E25" s="31">
        <f>E23-E24</f>
        <v>184903.74800000005</v>
      </c>
      <c r="F25" s="32">
        <f>E25/E$3</f>
        <v>0.11598338012552099</v>
      </c>
      <c r="G25" s="32">
        <f>IFERROR(E25/C25-1,0)</f>
        <v>0.26965654617156853</v>
      </c>
      <c r="H25" s="31">
        <f>H23-H24</f>
        <v>189226.56000000023</v>
      </c>
      <c r="I25" s="32">
        <f>H25/H$3</f>
        <v>0.13113075671230112</v>
      </c>
      <c r="J25" s="32">
        <f t="shared" si="9"/>
        <v>2.3378714854391136E-2</v>
      </c>
      <c r="K25" s="31">
        <f>K23-K24</f>
        <v>80296.186499999923</v>
      </c>
      <c r="L25" s="32">
        <f>K25/K$3</f>
        <v>7.2893685492946503E-2</v>
      </c>
      <c r="M25" s="32">
        <f t="shared" si="10"/>
        <v>-0.57566112019369897</v>
      </c>
      <c r="N25" s="31">
        <f>N23-N24</f>
        <v>16370.429400000023</v>
      </c>
      <c r="O25" s="32">
        <f t="shared" si="4"/>
        <v>1.7473146762022669E-2</v>
      </c>
      <c r="P25" s="32">
        <f t="shared" si="5"/>
        <v>-0.79612444732976151</v>
      </c>
      <c r="Q25" s="31">
        <f>Q23-Q24</f>
        <v>107754.41824999996</v>
      </c>
      <c r="R25" s="32">
        <f t="shared" si="6"/>
        <v>7.8447818625247065E-2</v>
      </c>
      <c r="S25" s="32">
        <f t="shared" si="7"/>
        <v>5.582259732905956</v>
      </c>
    </row>
    <row r="26" spans="1:22" x14ac:dyDescent="0.3">
      <c r="A26" s="6" t="s">
        <v>1592</v>
      </c>
      <c r="B26" s="457" t="s">
        <v>1693</v>
      </c>
      <c r="C26" s="35">
        <v>0</v>
      </c>
      <c r="D26" s="36">
        <f t="shared" si="33"/>
        <v>0</v>
      </c>
      <c r="E26" s="35">
        <v>0</v>
      </c>
      <c r="F26" s="36">
        <f t="shared" si="34"/>
        <v>0</v>
      </c>
      <c r="G26" s="36">
        <f t="shared" si="35"/>
        <v>0</v>
      </c>
      <c r="H26" s="35">
        <v>0</v>
      </c>
      <c r="I26" s="36">
        <f t="shared" ref="I26:I37" si="36">H26/H$3</f>
        <v>0</v>
      </c>
      <c r="J26" s="36">
        <f t="shared" si="9"/>
        <v>0</v>
      </c>
      <c r="K26" s="35">
        <v>0</v>
      </c>
      <c r="L26" s="36">
        <f t="shared" ref="L26:L37" si="37">K26/K$3</f>
        <v>0</v>
      </c>
      <c r="M26" s="36">
        <f t="shared" si="10"/>
        <v>0</v>
      </c>
      <c r="N26" s="35">
        <v>0</v>
      </c>
      <c r="O26" s="36">
        <f t="shared" si="4"/>
        <v>0</v>
      </c>
      <c r="P26" s="36">
        <f t="shared" si="5"/>
        <v>0</v>
      </c>
      <c r="Q26" s="35">
        <v>0</v>
      </c>
      <c r="R26" s="36">
        <f t="shared" si="6"/>
        <v>0</v>
      </c>
      <c r="S26" s="36">
        <f t="shared" si="7"/>
        <v>0</v>
      </c>
    </row>
    <row r="27" spans="1:22" x14ac:dyDescent="0.3">
      <c r="A27" s="6" t="s">
        <v>1592</v>
      </c>
      <c r="B27" s="457" t="s">
        <v>1694</v>
      </c>
      <c r="C27" s="35">
        <v>0</v>
      </c>
      <c r="D27" s="36">
        <f t="shared" si="33"/>
        <v>0</v>
      </c>
      <c r="E27" s="35">
        <v>0</v>
      </c>
      <c r="F27" s="36">
        <f t="shared" si="34"/>
        <v>0</v>
      </c>
      <c r="G27" s="36">
        <f t="shared" si="35"/>
        <v>0</v>
      </c>
      <c r="H27" s="35">
        <v>0</v>
      </c>
      <c r="I27" s="36">
        <f t="shared" si="36"/>
        <v>0</v>
      </c>
      <c r="J27" s="36">
        <f t="shared" si="9"/>
        <v>0</v>
      </c>
      <c r="K27" s="35">
        <v>0</v>
      </c>
      <c r="L27" s="36">
        <f t="shared" si="37"/>
        <v>0</v>
      </c>
      <c r="M27" s="36">
        <f t="shared" si="10"/>
        <v>0</v>
      </c>
      <c r="N27" s="35">
        <v>0</v>
      </c>
      <c r="O27" s="36">
        <f t="shared" si="4"/>
        <v>0</v>
      </c>
      <c r="P27" s="36">
        <f t="shared" si="5"/>
        <v>0</v>
      </c>
      <c r="Q27" s="35">
        <v>0</v>
      </c>
      <c r="R27" s="36">
        <f t="shared" si="6"/>
        <v>0</v>
      </c>
      <c r="S27" s="36">
        <f t="shared" si="7"/>
        <v>0</v>
      </c>
    </row>
    <row r="28" spans="1:22" s="8" customFormat="1" x14ac:dyDescent="0.3">
      <c r="A28" s="6"/>
      <c r="B28" s="459" t="s">
        <v>1695</v>
      </c>
      <c r="C28" s="31">
        <f>C25-C26+C27</f>
        <v>145632.88674999989</v>
      </c>
      <c r="D28" s="32">
        <f t="shared" si="33"/>
        <v>0.12063621893872557</v>
      </c>
      <c r="E28" s="31">
        <f>E25-E26+E27</f>
        <v>184903.74800000005</v>
      </c>
      <c r="F28" s="32">
        <f t="shared" si="34"/>
        <v>0.11598338012552099</v>
      </c>
      <c r="G28" s="32">
        <f t="shared" si="35"/>
        <v>0.26965654617156853</v>
      </c>
      <c r="H28" s="31">
        <f>H25-H26+H27</f>
        <v>189226.56000000023</v>
      </c>
      <c r="I28" s="32">
        <f t="shared" si="36"/>
        <v>0.13113075671230112</v>
      </c>
      <c r="J28" s="32">
        <f t="shared" si="9"/>
        <v>2.3378714854391136E-2</v>
      </c>
      <c r="K28" s="31">
        <f>K25-K26+K27</f>
        <v>80296.186499999923</v>
      </c>
      <c r="L28" s="32">
        <f t="shared" si="37"/>
        <v>7.2893685492946503E-2</v>
      </c>
      <c r="M28" s="32">
        <f t="shared" si="10"/>
        <v>-0.57566112019369897</v>
      </c>
      <c r="N28" s="31">
        <f>N25-N26+N27</f>
        <v>16370.429400000023</v>
      </c>
      <c r="O28" s="32">
        <f t="shared" si="4"/>
        <v>1.7473146762022669E-2</v>
      </c>
      <c r="P28" s="32">
        <f t="shared" si="5"/>
        <v>-0.79612444732976151</v>
      </c>
      <c r="Q28" s="31">
        <f>Q25-Q26+Q27</f>
        <v>107754.41824999996</v>
      </c>
      <c r="R28" s="32">
        <f t="shared" si="6"/>
        <v>7.8447818625247065E-2</v>
      </c>
      <c r="S28" s="32">
        <f t="shared" si="7"/>
        <v>5.582259732905956</v>
      </c>
    </row>
    <row r="29" spans="1:22" x14ac:dyDescent="0.3">
      <c r="A29" s="6" t="s">
        <v>1592</v>
      </c>
      <c r="B29" s="457" t="s">
        <v>1696</v>
      </c>
      <c r="C29" s="35">
        <v>21070.83</v>
      </c>
      <c r="D29" s="36">
        <f t="shared" si="33"/>
        <v>1.7454198140453115E-2</v>
      </c>
      <c r="E29" s="35">
        <v>15970.83</v>
      </c>
      <c r="F29" s="36">
        <f t="shared" si="34"/>
        <v>1.001791941399735E-2</v>
      </c>
      <c r="G29" s="36">
        <f t="shared" si="35"/>
        <v>-0.24204077390401812</v>
      </c>
      <c r="H29" s="35">
        <v>16822.599999999999</v>
      </c>
      <c r="I29" s="36">
        <f t="shared" si="36"/>
        <v>1.1657772925050026E-2</v>
      </c>
      <c r="J29" s="36">
        <f t="shared" si="9"/>
        <v>5.3332857465767214E-2</v>
      </c>
      <c r="K29" s="35">
        <v>0</v>
      </c>
      <c r="L29" s="36">
        <f t="shared" si="37"/>
        <v>0</v>
      </c>
      <c r="M29" s="36">
        <f t="shared" si="10"/>
        <v>-1</v>
      </c>
      <c r="N29" s="35">
        <f>184.12+15970.84</f>
        <v>16154.960000000001</v>
      </c>
      <c r="O29" s="36">
        <f t="shared" si="4"/>
        <v>1.7243163274300269E-2</v>
      </c>
      <c r="P29" s="36">
        <f t="shared" si="5"/>
        <v>0</v>
      </c>
      <c r="Q29" s="35">
        <v>32125.8</v>
      </c>
      <c r="R29" s="36">
        <f t="shared" si="6"/>
        <v>2.3388358199325745E-2</v>
      </c>
      <c r="S29" s="36">
        <f t="shared" si="7"/>
        <v>0.98860288109657946</v>
      </c>
    </row>
    <row r="30" spans="1:22" x14ac:dyDescent="0.3">
      <c r="A30" s="6" t="s">
        <v>1592</v>
      </c>
      <c r="B30" s="457" t="s">
        <v>1697</v>
      </c>
      <c r="C30" s="35">
        <v>11652.6</v>
      </c>
      <c r="D30" s="36">
        <f t="shared" si="33"/>
        <v>9.6525286024064533E-3</v>
      </c>
      <c r="E30" s="35">
        <v>0</v>
      </c>
      <c r="F30" s="36">
        <f t="shared" si="34"/>
        <v>0</v>
      </c>
      <c r="G30" s="36">
        <f t="shared" si="35"/>
        <v>-1</v>
      </c>
      <c r="H30" s="95">
        <v>18274</v>
      </c>
      <c r="I30" s="36">
        <f t="shared" si="36"/>
        <v>1.2663568201845386E-2</v>
      </c>
      <c r="J30" s="36">
        <f t="shared" si="9"/>
        <v>0</v>
      </c>
      <c r="K30" s="95">
        <v>32000</v>
      </c>
      <c r="L30" s="36">
        <f t="shared" si="37"/>
        <v>2.9049921764021637E-2</v>
      </c>
      <c r="M30" s="36">
        <f t="shared" si="10"/>
        <v>0.7511218124110759</v>
      </c>
      <c r="N30" s="95">
        <v>13000</v>
      </c>
      <c r="O30" s="36">
        <f t="shared" si="4"/>
        <v>1.387568415928628E-2</v>
      </c>
      <c r="P30" s="36">
        <f t="shared" si="5"/>
        <v>-0.59375</v>
      </c>
      <c r="Q30" s="95">
        <v>17747.62</v>
      </c>
      <c r="R30" s="36">
        <f t="shared" si="6"/>
        <v>1.2920695943619071E-2</v>
      </c>
      <c r="S30" s="36">
        <f t="shared" si="7"/>
        <v>0.36520153846153836</v>
      </c>
    </row>
    <row r="31" spans="1:22" s="8" customFormat="1" x14ac:dyDescent="0.3">
      <c r="A31" s="6" t="s">
        <v>1592</v>
      </c>
      <c r="B31" s="459" t="s">
        <v>1698</v>
      </c>
      <c r="C31" s="31">
        <f>C28-C29-C30</f>
        <v>112909.45674999988</v>
      </c>
      <c r="D31" s="32">
        <f t="shared" si="33"/>
        <v>9.3529492195865996E-2</v>
      </c>
      <c r="E31" s="31">
        <f>E28-E29-E30</f>
        <v>168932.91800000006</v>
      </c>
      <c r="F31" s="32">
        <f t="shared" si="34"/>
        <v>0.10596546071152364</v>
      </c>
      <c r="G31" s="32">
        <f t="shared" si="35"/>
        <v>0.49618041626083942</v>
      </c>
      <c r="H31" s="31">
        <f>H28-H29-H30</f>
        <v>154129.96000000022</v>
      </c>
      <c r="I31" s="32">
        <f t="shared" si="36"/>
        <v>0.10680941558540571</v>
      </c>
      <c r="J31" s="32">
        <f t="shared" si="9"/>
        <v>-8.7626249373137788E-2</v>
      </c>
      <c r="K31" s="200">
        <f>K28-K29-K30</f>
        <v>48296.186499999923</v>
      </c>
      <c r="L31" s="32">
        <f t="shared" si="37"/>
        <v>4.3843763728924873E-2</v>
      </c>
      <c r="M31" s="32">
        <f t="shared" si="10"/>
        <v>-0.68665283180505687</v>
      </c>
      <c r="N31" s="200">
        <f>N28-N29-N30</f>
        <v>-12784.530599999978</v>
      </c>
      <c r="O31" s="32">
        <f t="shared" si="4"/>
        <v>-1.3645700671563878E-2</v>
      </c>
      <c r="P31" s="32">
        <f t="shared" si="5"/>
        <v>-1.2647109746439296</v>
      </c>
      <c r="Q31" s="200">
        <f>Q28-Q29-Q30</f>
        <v>57880.998249999961</v>
      </c>
      <c r="R31" s="32">
        <f t="shared" si="6"/>
        <v>4.2138764482302249E-2</v>
      </c>
      <c r="S31" s="32">
        <f t="shared" si="7"/>
        <v>-5.5274245931250743</v>
      </c>
    </row>
    <row r="32" spans="1:22" x14ac:dyDescent="0.3">
      <c r="A32" s="6" t="s">
        <v>1592</v>
      </c>
      <c r="B32" s="457" t="s">
        <v>1699</v>
      </c>
      <c r="C32" s="35">
        <f>SUM(C33:C36)</f>
        <v>21445.72</v>
      </c>
      <c r="D32" s="36">
        <f t="shared" si="33"/>
        <v>1.776474140528295E-2</v>
      </c>
      <c r="E32" s="35">
        <f>SUM(E33:E36)</f>
        <v>2067.41</v>
      </c>
      <c r="F32" s="36">
        <f t="shared" si="34"/>
        <v>1.2968109218927421E-3</v>
      </c>
      <c r="G32" s="36">
        <f t="shared" si="35"/>
        <v>-0.90359801396269279</v>
      </c>
      <c r="H32" s="35">
        <f>SUM(H33:H36)</f>
        <v>4407.37</v>
      </c>
      <c r="I32" s="36">
        <f t="shared" si="36"/>
        <v>3.0542317273594887E-3</v>
      </c>
      <c r="J32" s="36">
        <f t="shared" si="9"/>
        <v>1.1318316154028469</v>
      </c>
      <c r="K32" s="35">
        <f>SUM(K33:K36)</f>
        <v>2067.37</v>
      </c>
      <c r="L32" s="36">
        <f t="shared" si="37"/>
        <v>1.8767792736651692E-3</v>
      </c>
      <c r="M32" s="36">
        <f t="shared" si="10"/>
        <v>-0.53092887595096394</v>
      </c>
      <c r="N32" s="35">
        <f>SUM(N33:N36)</f>
        <v>2110.7800000000002</v>
      </c>
      <c r="O32" s="36">
        <f t="shared" si="4"/>
        <v>2.2529628161337151E-3</v>
      </c>
      <c r="P32" s="36">
        <f t="shared" si="5"/>
        <v>2.0997692720703176E-2</v>
      </c>
      <c r="Q32" s="35">
        <f>SUM(Q33:Q36)</f>
        <v>5577.37</v>
      </c>
      <c r="R32" s="36">
        <f t="shared" si="6"/>
        <v>4.0604600467590976E-3</v>
      </c>
      <c r="S32" s="36">
        <f t="shared" si="7"/>
        <v>1.6423265333194359</v>
      </c>
    </row>
    <row r="33" spans="1:19" ht="13.2" customHeight="1" x14ac:dyDescent="0.3">
      <c r="B33" s="416" t="s">
        <v>1700</v>
      </c>
      <c r="C33" s="39">
        <v>0</v>
      </c>
      <c r="D33" s="40">
        <f t="shared" si="33"/>
        <v>0</v>
      </c>
      <c r="E33" s="39">
        <v>0</v>
      </c>
      <c r="F33" s="40">
        <f t="shared" si="34"/>
        <v>0</v>
      </c>
      <c r="G33" s="40">
        <f t="shared" si="35"/>
        <v>0</v>
      </c>
      <c r="H33" s="39">
        <v>0</v>
      </c>
      <c r="I33" s="40">
        <f t="shared" si="36"/>
        <v>0</v>
      </c>
      <c r="J33" s="40">
        <f t="shared" si="9"/>
        <v>0</v>
      </c>
      <c r="K33" s="39">
        <v>0</v>
      </c>
      <c r="L33" s="40">
        <f t="shared" si="37"/>
        <v>0</v>
      </c>
      <c r="M33" s="40">
        <f t="shared" si="10"/>
        <v>0</v>
      </c>
      <c r="N33" s="39">
        <v>0</v>
      </c>
      <c r="O33" s="40">
        <f t="shared" si="4"/>
        <v>0</v>
      </c>
      <c r="P33" s="40">
        <f t="shared" si="5"/>
        <v>0</v>
      </c>
      <c r="Q33" s="39">
        <v>0</v>
      </c>
      <c r="R33" s="40">
        <f t="shared" si="6"/>
        <v>0</v>
      </c>
      <c r="S33" s="40">
        <f t="shared" si="7"/>
        <v>0</v>
      </c>
    </row>
    <row r="34" spans="1:19" ht="13.2" customHeight="1" x14ac:dyDescent="0.3">
      <c r="B34" s="416" t="s">
        <v>1701</v>
      </c>
      <c r="C34" s="39">
        <v>11025.97</v>
      </c>
      <c r="D34" s="40">
        <f t="shared" si="33"/>
        <v>9.1334544045342213E-3</v>
      </c>
      <c r="E34" s="39">
        <v>2067.41</v>
      </c>
      <c r="F34" s="40">
        <f t="shared" si="34"/>
        <v>1.2968109218927421E-3</v>
      </c>
      <c r="G34" s="40">
        <f t="shared" si="35"/>
        <v>-0.81249631551691137</v>
      </c>
      <c r="H34" s="39">
        <v>2067.37</v>
      </c>
      <c r="I34" s="40">
        <f t="shared" si="36"/>
        <v>1.4326519094587443E-3</v>
      </c>
      <c r="J34" s="40">
        <f t="shared" si="9"/>
        <v>-1.9347879714248784E-5</v>
      </c>
      <c r="K34" s="39">
        <v>2067.37</v>
      </c>
      <c r="L34" s="40">
        <f t="shared" si="37"/>
        <v>1.8767792736651692E-3</v>
      </c>
      <c r="M34" s="40">
        <f t="shared" si="10"/>
        <v>0</v>
      </c>
      <c r="N34" s="39">
        <v>2110.7800000000002</v>
      </c>
      <c r="O34" s="40">
        <f t="shared" si="4"/>
        <v>2.2529628161337151E-3</v>
      </c>
      <c r="P34" s="40">
        <f t="shared" si="5"/>
        <v>2.0997692720703176E-2</v>
      </c>
      <c r="Q34" s="39">
        <v>2067.37</v>
      </c>
      <c r="R34" s="40">
        <f t="shared" si="6"/>
        <v>1.505095284492217E-3</v>
      </c>
      <c r="S34" s="40">
        <f t="shared" si="7"/>
        <v>-2.0565857171282786E-2</v>
      </c>
    </row>
    <row r="35" spans="1:19" ht="13.2" customHeight="1" x14ac:dyDescent="0.3">
      <c r="B35" s="416" t="s">
        <v>1702</v>
      </c>
      <c r="C35" s="39">
        <v>8079.75</v>
      </c>
      <c r="D35" s="40">
        <f t="shared" ref="D35" si="38">C35/C$3</f>
        <v>6.6929284430336175E-3</v>
      </c>
      <c r="E35" s="39">
        <v>0</v>
      </c>
      <c r="F35" s="40">
        <f t="shared" ref="F35" si="39">E35/E$3</f>
        <v>0</v>
      </c>
      <c r="G35" s="40">
        <f t="shared" ref="G35" si="40">IFERROR(E35/C35-1,0)</f>
        <v>-1</v>
      </c>
      <c r="H35" s="39">
        <v>0</v>
      </c>
      <c r="I35" s="40">
        <f t="shared" si="36"/>
        <v>0</v>
      </c>
      <c r="J35" s="40">
        <f t="shared" si="9"/>
        <v>0</v>
      </c>
      <c r="K35" s="39">
        <v>0</v>
      </c>
      <c r="L35" s="40">
        <f t="shared" si="37"/>
        <v>0</v>
      </c>
      <c r="M35" s="40">
        <f t="shared" si="10"/>
        <v>0</v>
      </c>
      <c r="N35" s="39">
        <v>0</v>
      </c>
      <c r="O35" s="40">
        <f t="shared" si="4"/>
        <v>0</v>
      </c>
      <c r="P35" s="40">
        <f t="shared" si="5"/>
        <v>0</v>
      </c>
      <c r="Q35" s="39">
        <v>0</v>
      </c>
      <c r="R35" s="40">
        <f t="shared" si="6"/>
        <v>0</v>
      </c>
      <c r="S35" s="40">
        <f t="shared" si="7"/>
        <v>0</v>
      </c>
    </row>
    <row r="36" spans="1:19" ht="13.2" customHeight="1" x14ac:dyDescent="0.3">
      <c r="B36" s="416" t="s">
        <v>1703</v>
      </c>
      <c r="C36" s="39">
        <v>2340</v>
      </c>
      <c r="D36" s="40">
        <f t="shared" si="33"/>
        <v>1.9383585577151107E-3</v>
      </c>
      <c r="E36" s="39">
        <v>0</v>
      </c>
      <c r="F36" s="40">
        <f t="shared" si="34"/>
        <v>0</v>
      </c>
      <c r="G36" s="40">
        <f t="shared" si="35"/>
        <v>-1</v>
      </c>
      <c r="H36" s="39">
        <v>2340</v>
      </c>
      <c r="I36" s="40">
        <f t="shared" si="36"/>
        <v>1.6215798179007445E-3</v>
      </c>
      <c r="J36" s="40">
        <f t="shared" si="9"/>
        <v>0</v>
      </c>
      <c r="K36" s="39">
        <v>0</v>
      </c>
      <c r="L36" s="40">
        <f t="shared" si="37"/>
        <v>0</v>
      </c>
      <c r="M36" s="40">
        <f t="shared" si="10"/>
        <v>-1</v>
      </c>
      <c r="N36" s="39">
        <v>0</v>
      </c>
      <c r="O36" s="40">
        <f t="shared" si="4"/>
        <v>0</v>
      </c>
      <c r="P36" s="40">
        <f t="shared" si="5"/>
        <v>0</v>
      </c>
      <c r="Q36" s="39">
        <v>3510</v>
      </c>
      <c r="R36" s="40">
        <f t="shared" si="6"/>
        <v>2.5553647622668812E-3</v>
      </c>
      <c r="S36" s="40">
        <f t="shared" si="7"/>
        <v>0</v>
      </c>
    </row>
    <row r="37" spans="1:19" s="8" customFormat="1" x14ac:dyDescent="0.3">
      <c r="A37" s="6" t="s">
        <v>1592</v>
      </c>
      <c r="B37" s="459" t="s">
        <v>1704</v>
      </c>
      <c r="C37" s="31">
        <f>C31-C32</f>
        <v>91463.73674999988</v>
      </c>
      <c r="D37" s="32">
        <f t="shared" si="33"/>
        <v>7.5764750790583049E-2</v>
      </c>
      <c r="E37" s="31">
        <f>E31-E32</f>
        <v>166865.50800000006</v>
      </c>
      <c r="F37" s="32">
        <f t="shared" si="34"/>
        <v>0.1046686497896309</v>
      </c>
      <c r="G37" s="32">
        <f t="shared" si="35"/>
        <v>0.82438979566402071</v>
      </c>
      <c r="H37" s="31">
        <f>H31-H32</f>
        <v>149722.59000000023</v>
      </c>
      <c r="I37" s="32">
        <f t="shared" si="36"/>
        <v>0.10375518385804623</v>
      </c>
      <c r="J37" s="32">
        <f t="shared" si="9"/>
        <v>-0.10273494028496188</v>
      </c>
      <c r="K37" s="200">
        <f>K31-K32</f>
        <v>46228.816499999921</v>
      </c>
      <c r="L37" s="32">
        <f t="shared" si="37"/>
        <v>4.1966984455259697E-2</v>
      </c>
      <c r="M37" s="32">
        <f t="shared" si="10"/>
        <v>-0.69123686345527524</v>
      </c>
      <c r="N37" s="200">
        <f>N31-N32</f>
        <v>-14895.310599999979</v>
      </c>
      <c r="O37" s="32">
        <f t="shared" si="4"/>
        <v>-1.5898663487697594E-2</v>
      </c>
      <c r="P37" s="32">
        <f t="shared" si="5"/>
        <v>-1.3222083481198357</v>
      </c>
      <c r="Q37" s="200">
        <f>Q31-Q32</f>
        <v>52303.628249999958</v>
      </c>
      <c r="R37" s="32">
        <f t="shared" si="6"/>
        <v>3.807830443554315E-2</v>
      </c>
      <c r="S37" s="32">
        <f t="shared" si="7"/>
        <v>-4.5114157505382959</v>
      </c>
    </row>
    <row r="38" spans="1:19" x14ac:dyDescent="0.3">
      <c r="N38" s="11"/>
      <c r="Q38" s="11"/>
    </row>
    <row r="39" spans="1:19" s="8" customFormat="1" x14ac:dyDescent="0.3">
      <c r="A39" s="6" t="s">
        <v>1592</v>
      </c>
      <c r="B39" s="459" t="s">
        <v>1705</v>
      </c>
      <c r="C39" s="31">
        <f>IFERROR((C22+C24+C26+C29+C30+C32)/D21,0)</f>
        <v>745292.06267039955</v>
      </c>
      <c r="D39" s="32"/>
      <c r="E39" s="31">
        <f>IFERROR((E22+E24+E26+E29+E30+E32)/F21,0)</f>
        <v>676414.78210617614</v>
      </c>
      <c r="F39" s="32"/>
      <c r="G39" s="32"/>
      <c r="H39" s="31">
        <f>IFERROR((H22+H24+H26+H29+H30+H32)/I21,0)</f>
        <v>717733.54150932608</v>
      </c>
      <c r="I39" s="32"/>
      <c r="J39" s="32"/>
      <c r="K39" s="31">
        <f>IFERROR((K22+K24+K26+K29+K30+K32)/L21,0)</f>
        <v>847276.8228427188</v>
      </c>
      <c r="L39" s="32"/>
      <c r="M39" s="32"/>
      <c r="N39" s="31">
        <f>IFERROR((N22+N24+N26+N29+N30+N32)/O21,0)</f>
        <v>1039581.0066742555</v>
      </c>
      <c r="O39" s="32"/>
      <c r="P39" s="32"/>
      <c r="Q39" s="31">
        <f>IFERROR((Q22+Q24+Q26+Q29+Q30+Q32)/R21,0)</f>
        <v>1081295.0401962739</v>
      </c>
      <c r="R39" s="32"/>
      <c r="S39" s="32"/>
    </row>
    <row r="40" spans="1:19" s="8" customFormat="1" x14ac:dyDescent="0.3">
      <c r="A40" s="6" t="s">
        <v>1592</v>
      </c>
      <c r="B40" s="459" t="s">
        <v>1706</v>
      </c>
      <c r="C40" s="31">
        <f>IFERROR((C22)/D21,0)</f>
        <v>471724.19987743004</v>
      </c>
      <c r="D40" s="32"/>
      <c r="E40" s="31">
        <f>IFERROR((E22)/F21,0)</f>
        <v>577198.93126515811</v>
      </c>
      <c r="F40" s="32"/>
      <c r="G40" s="32"/>
      <c r="H40" s="31">
        <f>IFERROR((H22)/I21,0)</f>
        <v>526363.79586235469</v>
      </c>
      <c r="I40" s="32"/>
      <c r="J40" s="32"/>
      <c r="K40" s="31">
        <f>IFERROR((K22)/L21,0)</f>
        <v>659893.97640147235</v>
      </c>
      <c r="L40" s="32"/>
      <c r="M40" s="32"/>
      <c r="N40" s="31">
        <f>IFERROR((N22)/O21,0)</f>
        <v>824030.80670944613</v>
      </c>
      <c r="O40" s="32"/>
      <c r="P40" s="32"/>
      <c r="Q40" s="31">
        <f>IFERROR((Q22)/R21,0)</f>
        <v>771422.14258568117</v>
      </c>
      <c r="R40" s="32"/>
      <c r="S40" s="32"/>
    </row>
    <row r="41" spans="1:19" x14ac:dyDescent="0.3">
      <c r="N41" s="11"/>
      <c r="Q41" s="11"/>
    </row>
  </sheetData>
  <mergeCells count="7">
    <mergeCell ref="B1:B2"/>
    <mergeCell ref="Q1:S1"/>
    <mergeCell ref="N1:P1"/>
    <mergeCell ref="C1:D1"/>
    <mergeCell ref="E1:G1"/>
    <mergeCell ref="H1:J1"/>
    <mergeCell ref="K1:M1"/>
  </mergeCells>
  <pageMargins left="0.511811024" right="0.511811024" top="0.78740157499999996" bottom="0.78740157499999996" header="0.31496062000000002" footer="0.31496062000000002"/>
  <ignoredErrors>
    <ignoredError sqref="C37:D38 C21 C6:C12 C23 E6 E23 E25 E28 E37 E21 E31:E32 C25:D32 D36 D33:D34 D21:D24 D5 D6:D13 E10 E12" formula="1"/>
    <ignoredError sqref="F36:F37 F21:F34 F3:F5 F6:F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0DC6-42A5-495C-B3DE-C48EE8AF7CC0}">
  <sheetPr>
    <pageSetUpPr fitToPage="1"/>
  </sheetPr>
  <dimension ref="A1:U179"/>
  <sheetViews>
    <sheetView showGridLines="0" tabSelected="1" workbookViewId="0">
      <pane xSplit="1" ySplit="3" topLeftCell="B157" activePane="bottomRight" state="frozen"/>
      <selection pane="topRight" activeCell="E1" sqref="E1"/>
      <selection pane="bottomLeft" activeCell="A4" sqref="A4"/>
      <selection pane="bottomRight" activeCell="W120" sqref="W120"/>
    </sheetView>
  </sheetViews>
  <sheetFormatPr defaultColWidth="8.88671875" defaultRowHeight="13.8" x14ac:dyDescent="0.3"/>
  <cols>
    <col min="1" max="1" width="54.6640625" style="6" bestFit="1" customWidth="1"/>
    <col min="2" max="2" width="12.33203125" style="11" customWidth="1"/>
    <col min="3" max="3" width="7.6640625" style="9" hidden="1" customWidth="1"/>
    <col min="4" max="4" width="12.33203125" style="47" customWidth="1"/>
    <col min="5" max="5" width="7.6640625" style="40" hidden="1" customWidth="1"/>
    <col min="6" max="6" width="8.6640625" style="40" hidden="1" customWidth="1"/>
    <col min="7" max="7" width="11.6640625" style="37" customWidth="1"/>
    <col min="8" max="8" width="7.6640625" style="37" hidden="1" customWidth="1"/>
    <col min="9" max="9" width="9.6640625" style="37" hidden="1" customWidth="1"/>
    <col min="10" max="10" width="11.6640625" style="37" customWidth="1"/>
    <col min="11" max="11" width="7.6640625" style="37" hidden="1" customWidth="1"/>
    <col min="12" max="12" width="9.6640625" style="37" hidden="1" customWidth="1"/>
    <col min="13" max="13" width="10.44140625" style="37" customWidth="1"/>
    <col min="14" max="14" width="7.6640625" style="37" hidden="1" customWidth="1"/>
    <col min="15" max="15" width="9.6640625" style="37" hidden="1" customWidth="1"/>
    <col min="16" max="16" width="11.6640625" style="37" bestFit="1" customWidth="1"/>
    <col min="17" max="17" width="7.6640625" style="37" hidden="1" customWidth="1"/>
    <col min="18" max="18" width="9.6640625" style="37" hidden="1" customWidth="1"/>
    <col min="19" max="19" width="11.6640625" style="37" customWidth="1"/>
    <col min="20" max="20" width="7.6640625" style="37" customWidth="1"/>
    <col min="21" max="21" width="9.6640625" style="37" customWidth="1"/>
    <col min="22" max="16384" width="8.88671875" style="6"/>
  </cols>
  <sheetData>
    <row r="1" spans="1:21" ht="14.4" customHeight="1" x14ac:dyDescent="0.3">
      <c r="A1" s="508" t="s">
        <v>1707</v>
      </c>
      <c r="B1" s="507" t="s">
        <v>1441</v>
      </c>
      <c r="C1" s="507"/>
      <c r="D1" s="507" t="s">
        <v>1442</v>
      </c>
      <c r="E1" s="507"/>
      <c r="F1" s="507"/>
      <c r="G1" s="507" t="s">
        <v>1443</v>
      </c>
      <c r="H1" s="507"/>
      <c r="I1" s="507"/>
      <c r="J1" s="507" t="s">
        <v>1444</v>
      </c>
      <c r="K1" s="507"/>
      <c r="L1" s="507"/>
      <c r="M1" s="507" t="s">
        <v>1668</v>
      </c>
      <c r="N1" s="507"/>
      <c r="O1" s="507"/>
      <c r="P1" s="507" t="s">
        <v>1669</v>
      </c>
      <c r="Q1" s="507"/>
      <c r="R1" s="507"/>
      <c r="S1" s="507" t="s">
        <v>1708</v>
      </c>
      <c r="T1" s="507"/>
      <c r="U1" s="507"/>
    </row>
    <row r="2" spans="1:21" s="7" customFormat="1" x14ac:dyDescent="0.3">
      <c r="A2" s="508"/>
      <c r="B2" s="452" t="s">
        <v>1445</v>
      </c>
      <c r="C2" s="68" t="s">
        <v>1446</v>
      </c>
      <c r="D2" s="452" t="s">
        <v>1445</v>
      </c>
      <c r="E2" s="29" t="s">
        <v>1446</v>
      </c>
      <c r="F2" s="29" t="s">
        <v>1670</v>
      </c>
      <c r="G2" s="452" t="s">
        <v>1445</v>
      </c>
      <c r="H2" s="29" t="s">
        <v>1446</v>
      </c>
      <c r="I2" s="29" t="s">
        <v>1670</v>
      </c>
      <c r="J2" s="452" t="s">
        <v>1445</v>
      </c>
      <c r="K2" s="29" t="s">
        <v>1446</v>
      </c>
      <c r="L2" s="29" t="s">
        <v>1670</v>
      </c>
      <c r="M2" s="452" t="s">
        <v>1445</v>
      </c>
      <c r="N2" s="29" t="s">
        <v>1446</v>
      </c>
      <c r="O2" s="29" t="s">
        <v>1670</v>
      </c>
      <c r="P2" s="452" t="s">
        <v>1445</v>
      </c>
      <c r="Q2" s="29" t="s">
        <v>1446</v>
      </c>
      <c r="R2" s="29" t="s">
        <v>1670</v>
      </c>
      <c r="S2" s="452" t="s">
        <v>1445</v>
      </c>
      <c r="T2" s="29" t="s">
        <v>1446</v>
      </c>
      <c r="U2" s="29" t="s">
        <v>1670</v>
      </c>
    </row>
    <row r="3" spans="1:21" s="8" customFormat="1" x14ac:dyDescent="0.3">
      <c r="A3" s="30" t="s">
        <v>1709</v>
      </c>
      <c r="B3" s="31">
        <f>SUM(B4:B4)</f>
        <v>1123115.1399999999</v>
      </c>
      <c r="C3" s="69">
        <f t="shared" ref="C3:C50" si="0">B3/B$3</f>
        <v>1</v>
      </c>
      <c r="D3" s="31">
        <f>SUM(D4:D4)</f>
        <v>988990.42999999993</v>
      </c>
      <c r="E3" s="32">
        <f t="shared" ref="E3:E50" si="1">D3/D$3</f>
        <v>1</v>
      </c>
      <c r="F3" s="32">
        <f>IFERROR(D3/B3-1,0)</f>
        <v>-0.11942204785877963</v>
      </c>
      <c r="G3" s="31">
        <f>SUM(G4:G4)</f>
        <v>1091503.21</v>
      </c>
      <c r="H3" s="32">
        <f t="shared" ref="H3:H50" si="2">G3/G$3</f>
        <v>1</v>
      </c>
      <c r="I3" s="32">
        <f t="shared" ref="I3:I84" si="3">IFERROR(G3/D3-1,0)</f>
        <v>0.10365396558994</v>
      </c>
      <c r="J3" s="31">
        <f>SUM(J4:J4)</f>
        <v>943022.31</v>
      </c>
      <c r="K3" s="32">
        <f t="shared" ref="K3:K4" si="4">J3/J$3</f>
        <v>1</v>
      </c>
      <c r="L3" s="32">
        <f t="shared" ref="L3:L4" si="5">IFERROR(J3/G3-1,0)</f>
        <v>-0.13603340662644492</v>
      </c>
      <c r="M3" s="31">
        <f>SUM(M4:M4)</f>
        <v>691744.49</v>
      </c>
      <c r="N3" s="32">
        <f t="shared" ref="N3:N4" si="6">M3/M$3</f>
        <v>1</v>
      </c>
      <c r="O3" s="32">
        <f t="shared" ref="O3:O4" si="7">IFERROR(M3/J3-1,0)</f>
        <v>-0.26646010103408901</v>
      </c>
      <c r="P3" s="31">
        <f>SUM(P4:P4)</f>
        <v>1036116.52</v>
      </c>
      <c r="Q3" s="32">
        <f t="shared" ref="Q3:Q4" si="8">P3/P$3</f>
        <v>1</v>
      </c>
      <c r="R3" s="32">
        <f t="shared" ref="R3:R4" si="9">IFERROR(P3/M3-1,0)</f>
        <v>0.49783125847522114</v>
      </c>
      <c r="S3" s="31">
        <f>SUM(S4:S4)</f>
        <v>883700.3</v>
      </c>
      <c r="T3" s="32">
        <f t="shared" ref="T3:T8" si="10">S3/S$3</f>
        <v>1</v>
      </c>
      <c r="U3" s="32">
        <f t="shared" ref="U3:U8" si="11">IFERROR(S3/P3-1,0)</f>
        <v>-0.1471033586068099</v>
      </c>
    </row>
    <row r="4" spans="1:21" x14ac:dyDescent="0.3">
      <c r="A4" s="38" t="s">
        <v>1710</v>
      </c>
      <c r="B4" s="39">
        <f>1134115.13-10999.99</f>
        <v>1123115.1399999999</v>
      </c>
      <c r="C4" s="70">
        <f t="shared" si="0"/>
        <v>1</v>
      </c>
      <c r="D4" s="39">
        <f>1164757.48-145000-30767.05</f>
        <v>988990.42999999993</v>
      </c>
      <c r="E4" s="40">
        <f t="shared" si="1"/>
        <v>1</v>
      </c>
      <c r="F4" s="40">
        <f t="shared" ref="F4:F94" si="12">IFERROR(D4/B4-1,0)</f>
        <v>-0.11942204785877963</v>
      </c>
      <c r="G4" s="39">
        <v>1091503.21</v>
      </c>
      <c r="H4" s="40">
        <f t="shared" si="2"/>
        <v>1</v>
      </c>
      <c r="I4" s="40">
        <f t="shared" si="3"/>
        <v>0.10365396558994</v>
      </c>
      <c r="J4" s="198">
        <v>943022.31</v>
      </c>
      <c r="K4" s="40">
        <f t="shared" si="4"/>
        <v>1</v>
      </c>
      <c r="L4" s="40">
        <f t="shared" si="5"/>
        <v>-0.13603340662644492</v>
      </c>
      <c r="M4" s="198">
        <f>680744.49+11000</f>
        <v>691744.49</v>
      </c>
      <c r="N4" s="40">
        <f t="shared" si="6"/>
        <v>1</v>
      </c>
      <c r="O4" s="40">
        <f t="shared" si="7"/>
        <v>-0.26646010103408901</v>
      </c>
      <c r="P4" s="198">
        <v>1036116.52</v>
      </c>
      <c r="Q4" s="40">
        <f t="shared" si="8"/>
        <v>1</v>
      </c>
      <c r="R4" s="40">
        <f t="shared" si="9"/>
        <v>0.49783125847522114</v>
      </c>
      <c r="S4" s="198">
        <v>883700.3</v>
      </c>
      <c r="T4" s="40">
        <f t="shared" si="10"/>
        <v>1</v>
      </c>
      <c r="U4" s="40">
        <f t="shared" si="11"/>
        <v>-0.1471033586068099</v>
      </c>
    </row>
    <row r="5" spans="1:21" s="8" customFormat="1" x14ac:dyDescent="0.3">
      <c r="A5" s="34" t="s">
        <v>1672</v>
      </c>
      <c r="B5" s="35">
        <f>SUM(B6:B14)</f>
        <v>15843.2</v>
      </c>
      <c r="C5" s="71">
        <f t="shared" si="0"/>
        <v>1.4106478878024921E-2</v>
      </c>
      <c r="D5" s="35">
        <f>SUM(D6:D14)</f>
        <v>35650.83</v>
      </c>
      <c r="E5" s="36">
        <f t="shared" si="1"/>
        <v>3.6047699672887637E-2</v>
      </c>
      <c r="F5" s="36">
        <f t="shared" si="12"/>
        <v>1.2502291203797213</v>
      </c>
      <c r="G5" s="35">
        <f>SUM(G6:G14)</f>
        <v>21104.11</v>
      </c>
      <c r="H5" s="36">
        <f t="shared" si="2"/>
        <v>1.9334904200602399E-2</v>
      </c>
      <c r="I5" s="36">
        <f t="shared" si="3"/>
        <v>-0.40803313695641874</v>
      </c>
      <c r="J5" s="35">
        <f>SUM(J6:J14)</f>
        <v>19799.240000000002</v>
      </c>
      <c r="K5" s="36">
        <f t="shared" ref="K5:K23" si="13">J5/J$3</f>
        <v>2.099551600216118E-2</v>
      </c>
      <c r="L5" s="36">
        <f t="shared" ref="L5:L23" si="14">IFERROR(J5/G5-1,0)</f>
        <v>-6.183013640470969E-2</v>
      </c>
      <c r="M5" s="35">
        <f>SUM(M6:M14)</f>
        <v>15811.61</v>
      </c>
      <c r="N5" s="36">
        <f t="shared" ref="N5:N23" si="15">M5/M$3</f>
        <v>2.2857587199574224E-2</v>
      </c>
      <c r="O5" s="36">
        <f t="shared" ref="O5:O23" si="16">IFERROR(M5/J5-1,0)</f>
        <v>-0.20140318517276423</v>
      </c>
      <c r="P5" s="35">
        <f>SUM(P6:P14)</f>
        <v>29702.17</v>
      </c>
      <c r="Q5" s="36">
        <f t="shared" ref="Q5:Q23" si="17">P5/P$3</f>
        <v>2.8666824074960216E-2</v>
      </c>
      <c r="R5" s="36">
        <f t="shared" ref="R5:R23" si="18">IFERROR(P5/M5-1,0)</f>
        <v>0.87850383357545492</v>
      </c>
      <c r="S5" s="35">
        <f>SUM(S6:S14)</f>
        <v>16859.559999999998</v>
      </c>
      <c r="T5" s="36">
        <f t="shared" si="10"/>
        <v>1.9078368537387615E-2</v>
      </c>
      <c r="U5" s="36">
        <f t="shared" si="11"/>
        <v>-0.43237951974552702</v>
      </c>
    </row>
    <row r="6" spans="1:21" x14ac:dyDescent="0.3">
      <c r="A6" s="38" t="s">
        <v>1711</v>
      </c>
      <c r="B6" s="39">
        <f>SUMIFS('C.Pagar'!G$2:G$4509,'C.Pagar'!D$2:D$4509,TRIM(A6),'C.Pagar'!K$2:K$4509,"&gt;=01/10/2025",'C.Pagar'!K$2:K$4509,"&lt;=31/10/2025")</f>
        <v>0</v>
      </c>
      <c r="C6" s="70">
        <f t="shared" ref="C6" si="19">B6/B$3</f>
        <v>0</v>
      </c>
      <c r="D6" s="39">
        <f>SUMIFS('C.Pagar'!G$2:G$4509,'C.Pagar'!D$2:D$4509,TRIM(A6),'C.Pagar'!K$2:K$4509,"&gt;=01/11/2025",'C.Pagar'!K$2:K$4509,"&lt;=30/11/2025")</f>
        <v>0</v>
      </c>
      <c r="E6" s="40">
        <f t="shared" ref="E6" si="20">D6/D$3</f>
        <v>0</v>
      </c>
      <c r="F6" s="40">
        <f t="shared" ref="F6" si="21">IFERROR(D6/B6-1,0)</f>
        <v>0</v>
      </c>
      <c r="G6" s="39">
        <f>SUMIFS('C.Pagar'!G$2:G$4509,'C.Pagar'!D$2:D$4509,TRIM(A6),'C.Pagar'!K$2:K$4509,"&gt;=01/12/2025",'C.Pagar'!K$2:K$4509,"&lt;=31/12/2025")</f>
        <v>0</v>
      </c>
      <c r="H6" s="40">
        <f t="shared" ref="H6" si="22">G6/G$3</f>
        <v>0</v>
      </c>
      <c r="I6" s="40">
        <f t="shared" ref="I6" si="23">IFERROR(G6/D6-1,0)</f>
        <v>0</v>
      </c>
      <c r="J6" s="39">
        <f>SUMIFS('C.Pagar'!G$2:G$4509,'C.Pagar'!D$2:D$4509,TRIM(A6),'C.Pagar'!K$2:K$4509,"&gt;=01/01/2026",'C.Pagar'!K$2:K$4509,"&lt;=31/01/2026")</f>
        <v>0</v>
      </c>
      <c r="K6" s="40">
        <f t="shared" ref="K6" si="24">J6/J$3</f>
        <v>0</v>
      </c>
      <c r="L6" s="40">
        <f t="shared" ref="L6" si="25">IFERROR(J6/G6-1,0)</f>
        <v>0</v>
      </c>
      <c r="M6" s="39">
        <f>SUMIFS('C.Pagar'!$G$2:$G$4509,'C.Pagar'!$D$2:$D$4509,TRIM($A6),'C.Pagar'!$K$2:$K$4509,"&gt;=01/02/2026",'C.Pagar'!$K$2:$K$4509,"&lt;=28/02/2026")</f>
        <v>0</v>
      </c>
      <c r="N6" s="40">
        <f t="shared" ref="N6" si="26">M6/M$3</f>
        <v>0</v>
      </c>
      <c r="O6" s="40">
        <f t="shared" ref="O6" si="27">IFERROR(M6/J6-1,0)</f>
        <v>0</v>
      </c>
      <c r="P6" s="39">
        <f>SUMIFS('C.Pagar'!$G$2:$G$4509,'C.Pagar'!$D$2:$D$4509,TRIM($A6),'C.Pagar'!$K$2:$K$4509,"&gt;=01/03/2026",'C.Pagar'!$K$2:$K$4509,"&lt;=31/03/2026")</f>
        <v>3349.76</v>
      </c>
      <c r="Q6" s="40">
        <f t="shared" ref="Q6" si="28">P6/P$3</f>
        <v>3.2329954549899466E-3</v>
      </c>
      <c r="R6" s="40">
        <f t="shared" ref="R6" si="29">IFERROR(P6/M6-1,0)</f>
        <v>0</v>
      </c>
      <c r="S6" s="39">
        <f>SUMIFS('C.Pagar'!$G$2:$G$4509,'C.Pagar'!$D$2:$D$4509,TRIM($A6),'C.Pagar'!$K$2:$K$4509,"&gt;=01/04/2026",'C.Pagar'!$K$2:$K$4509,"&lt;=30/04/2026")</f>
        <v>5214.6299999999992</v>
      </c>
      <c r="T6" s="40">
        <f t="shared" si="10"/>
        <v>5.9009032813500222E-3</v>
      </c>
      <c r="U6" s="40">
        <f t="shared" si="11"/>
        <v>0.55671749617883037</v>
      </c>
    </row>
    <row r="7" spans="1:21" x14ac:dyDescent="0.3">
      <c r="A7" s="38" t="s">
        <v>1712</v>
      </c>
      <c r="B7" s="39">
        <f>SUMIFS('C.Pagar'!G$2:G$4509,'C.Pagar'!D$2:D$4509,TRIM(A7),'C.Pagar'!K$2:K$4509,"&gt;=01/10/2025",'C.Pagar'!K$2:K$4509,"&lt;=31/10/2025")</f>
        <v>0</v>
      </c>
      <c r="C7" s="70">
        <f t="shared" ref="C7" si="30">B7/B$3</f>
        <v>0</v>
      </c>
      <c r="D7" s="39">
        <f>SUMIFS('C.Pagar'!G$2:G$4509,'C.Pagar'!D$2:D$4509,TRIM(A7),'C.Pagar'!K$2:K$4509,"&gt;=01/11/2025",'C.Pagar'!K$2:K$4509,"&lt;=30/11/2025")</f>
        <v>0</v>
      </c>
      <c r="E7" s="40">
        <f t="shared" ref="E7" si="31">D7/D$3</f>
        <v>0</v>
      </c>
      <c r="F7" s="40">
        <f t="shared" ref="F7" si="32">IFERROR(D7/B7-1,0)</f>
        <v>0</v>
      </c>
      <c r="G7" s="39">
        <f>SUMIFS('C.Pagar'!G$2:G$4509,'C.Pagar'!D$2:D$4509,TRIM(A7),'C.Pagar'!K$2:K$4509,"&gt;=01/12/2025",'C.Pagar'!K$2:K$4509,"&lt;=31/12/2025")</f>
        <v>0</v>
      </c>
      <c r="H7" s="40">
        <f t="shared" ref="H7" si="33">G7/G$3</f>
        <v>0</v>
      </c>
      <c r="I7" s="40">
        <f t="shared" ref="I7" si="34">IFERROR(G7/D7-1,0)</f>
        <v>0</v>
      </c>
      <c r="J7" s="39">
        <f>SUMIFS('C.Pagar'!G$2:G$4509,'C.Pagar'!D$2:D$4509,TRIM(A7),'C.Pagar'!K$2:K$4509,"&gt;=01/01/2026",'C.Pagar'!K$2:K$4509,"&lt;=31/01/2026")</f>
        <v>0</v>
      </c>
      <c r="K7" s="40">
        <f t="shared" ref="K7" si="35">J7/J$3</f>
        <v>0</v>
      </c>
      <c r="L7" s="40">
        <f t="shared" ref="L7" si="36">IFERROR(J7/G7-1,0)</f>
        <v>0</v>
      </c>
      <c r="M7" s="39">
        <f>SUMIFS('C.Pagar'!$G$2:$G$4509,'C.Pagar'!$D$2:$D$4509,TRIM($A7),'C.Pagar'!$K$2:$K$4509,"&gt;=01/02/2026",'C.Pagar'!$K$2:$K$4509,"&lt;=28/02/2026")</f>
        <v>0</v>
      </c>
      <c r="N7" s="40">
        <f t="shared" ref="N7" si="37">M7/M$3</f>
        <v>0</v>
      </c>
      <c r="O7" s="40">
        <f t="shared" ref="O7" si="38">IFERROR(M7/J7-1,0)</f>
        <v>0</v>
      </c>
      <c r="P7" s="39">
        <f>SUMIFS('C.Pagar'!$G$2:$G$4509,'C.Pagar'!$D$2:$D$4509,TRIM($A7),'C.Pagar'!$K$2:$K$4509,"&gt;=01/03/2026",'C.Pagar'!$K$2:$K$4509,"&lt;=31/03/2026")</f>
        <v>8749.4</v>
      </c>
      <c r="Q7" s="40">
        <f t="shared" ref="Q7" si="39">P7/P$3</f>
        <v>8.4444170429789113E-3</v>
      </c>
      <c r="R7" s="40">
        <f t="shared" ref="R7" si="40">IFERROR(P7/M7-1,0)</f>
        <v>0</v>
      </c>
      <c r="S7" s="39">
        <f>SUMIFS('C.Pagar'!$G$2:$G$4509,'C.Pagar'!$D$2:$D$4509,TRIM($A7),'C.Pagar'!$K$2:$K$4509,"&gt;=01/04/2026",'C.Pagar'!$K$2:$K$4509,"&lt;=30/04/2026")</f>
        <v>9757.1299999999992</v>
      </c>
      <c r="T7" s="40">
        <f t="shared" si="10"/>
        <v>1.104122064912731E-2</v>
      </c>
      <c r="U7" s="40">
        <f t="shared" si="11"/>
        <v>0.11517704071136303</v>
      </c>
    </row>
    <row r="8" spans="1:21" x14ac:dyDescent="0.3">
      <c r="A8" s="38" t="s">
        <v>1713</v>
      </c>
      <c r="B8" s="39">
        <f>SUMIFS('C.Pagar'!G$2:G$4509,'C.Pagar'!D$2:D$4509,TRIM(A8),'C.Pagar'!K$2:K$4509,"&gt;=01/10/2025",'C.Pagar'!K$2:K$4509,"&lt;=31/10/2025")</f>
        <v>0</v>
      </c>
      <c r="C8" s="70">
        <f t="shared" si="0"/>
        <v>0</v>
      </c>
      <c r="D8" s="39">
        <f>SUMIFS('C.Pagar'!G$2:G$4509,'C.Pagar'!D$2:D$4509,TRIM(A8),'C.Pagar'!K$2:K$4509,"&gt;=01/11/2025",'C.Pagar'!K$2:K$4509,"&lt;=30/11/2025")</f>
        <v>0</v>
      </c>
      <c r="E8" s="40">
        <f t="shared" si="1"/>
        <v>0</v>
      </c>
      <c r="F8" s="40">
        <f t="shared" si="12"/>
        <v>0</v>
      </c>
      <c r="G8" s="39">
        <f>SUMIFS('C.Pagar'!G$2:G$4509,'C.Pagar'!D$2:D$4509,TRIM(A8),'C.Pagar'!K$2:K$4509,"&gt;=01/12/2025",'C.Pagar'!K$2:K$4509,"&lt;=31/12/2025")</f>
        <v>0</v>
      </c>
      <c r="H8" s="40">
        <f t="shared" si="2"/>
        <v>0</v>
      </c>
      <c r="I8" s="40">
        <f t="shared" si="3"/>
        <v>0</v>
      </c>
      <c r="J8" s="39">
        <f>SUMIFS('C.Pagar'!G$2:G$4509,'C.Pagar'!D$2:D$4509,TRIM(A8),'C.Pagar'!K$2:K$4509,"&gt;=01/01/2026",'C.Pagar'!K$2:K$4509,"&lt;=31/01/2026")</f>
        <v>0</v>
      </c>
      <c r="K8" s="40">
        <f t="shared" si="13"/>
        <v>0</v>
      </c>
      <c r="L8" s="40">
        <f t="shared" si="14"/>
        <v>0</v>
      </c>
      <c r="M8" s="39">
        <f>SUMIFS('C.Pagar'!$G$2:$G$4509,'C.Pagar'!$D$2:$D$4509,TRIM($A8),'C.Pagar'!$K$2:$K$4509,"&gt;=01/02/2026",'C.Pagar'!$K$2:$K$4509,"&lt;=28/02/2026")</f>
        <v>0</v>
      </c>
      <c r="N8" s="40">
        <f t="shared" si="15"/>
        <v>0</v>
      </c>
      <c r="O8" s="40">
        <f t="shared" si="16"/>
        <v>0</v>
      </c>
      <c r="P8" s="39">
        <f>SUMIFS('C.Pagar'!$G$2:$G$4509,'C.Pagar'!$D$2:$D$4509,TRIM($A8),'C.Pagar'!$K$2:$K$4509,"&gt;=01/03/2026",'C.Pagar'!$K$2:$K$4509,"&lt;=31/03/2026")</f>
        <v>1430.61</v>
      </c>
      <c r="Q8" s="40">
        <f t="shared" si="17"/>
        <v>1.3807423898617116E-3</v>
      </c>
      <c r="R8" s="40">
        <f t="shared" si="18"/>
        <v>0</v>
      </c>
      <c r="S8" s="39">
        <f>SUMIFS('C.Pagar'!$G$2:$G$4509,'C.Pagar'!$D$2:$D$4509,TRIM($A8),'C.Pagar'!$K$2:$K$4509,"&gt;=01/04/2026",'C.Pagar'!$K$2:$K$4509,"&lt;=30/04/2026")</f>
        <v>0</v>
      </c>
      <c r="T8" s="40">
        <f t="shared" si="10"/>
        <v>0</v>
      </c>
      <c r="U8" s="40">
        <f t="shared" si="11"/>
        <v>-1</v>
      </c>
    </row>
    <row r="9" spans="1:21" x14ac:dyDescent="0.3">
      <c r="A9" s="38" t="s">
        <v>1714</v>
      </c>
      <c r="B9" s="39">
        <f>SUMIFS('C.Pagar'!G$2:G$4509,'C.Pagar'!D$2:D$4509,TRIM(A9),'C.Pagar'!K$2:K$4509,"&gt;=01/10/2025",'C.Pagar'!K$2:K$4509,"&lt;=31/10/2025")</f>
        <v>0</v>
      </c>
      <c r="C9" s="70">
        <f>B9/B$3</f>
        <v>0</v>
      </c>
      <c r="D9" s="39">
        <f>SUMIFS('C.Pagar'!G$2:G$4509,'C.Pagar'!D$2:D$4509,TRIM(A9),'C.Pagar'!K$2:K$4509,"&gt;=01/11/2025",'C.Pagar'!K$2:K$4509,"&lt;=30/11/2025")</f>
        <v>0</v>
      </c>
      <c r="E9" s="40">
        <f>D9/D$3</f>
        <v>0</v>
      </c>
      <c r="F9" s="40">
        <f>IFERROR(D9/B9-1,0)</f>
        <v>0</v>
      </c>
      <c r="G9" s="39">
        <f>SUMIFS('C.Pagar'!G$2:G$4509,'C.Pagar'!D$2:D$4509,TRIM(A9),'C.Pagar'!K$2:K$4509,"&gt;=01/12/2025",'C.Pagar'!K$2:K$4509,"&lt;=31/12/2025")</f>
        <v>0</v>
      </c>
      <c r="H9" s="40">
        <f>G9/G$3</f>
        <v>0</v>
      </c>
      <c r="I9" s="40">
        <f>IFERROR(G9/D9-1,0)</f>
        <v>0</v>
      </c>
      <c r="J9" s="39">
        <f>SUMIFS('C.Pagar'!$G$2:$G$4509,'C.Pagar'!$D$2:$D$4509,TRIM($A9),'C.Pagar'!$K$2:$K$4509,"&gt;=01/01/2026",'C.Pagar'!$K$2:$K$4509,"&lt;=31/01/2026")</f>
        <v>0</v>
      </c>
      <c r="K9" s="40">
        <f>J9/J$3</f>
        <v>0</v>
      </c>
      <c r="L9" s="40">
        <f>IFERROR(J9/G9-1,0)</f>
        <v>0</v>
      </c>
      <c r="M9" s="39">
        <f>SUMIFS('C.Pagar'!$G$2:$G$4509,'C.Pagar'!$D$2:$D$4509,TRIM($A9),'C.Pagar'!$K$2:$K$4509,"&gt;=01/02/2026",'C.Pagar'!$K$2:$K$4509,"&lt;=28/02/2026")</f>
        <v>0</v>
      </c>
      <c r="N9" s="40">
        <f>M9/M$3</f>
        <v>0</v>
      </c>
      <c r="O9" s="40">
        <f>IFERROR(M9/J9-1,0)</f>
        <v>0</v>
      </c>
      <c r="P9" s="39">
        <f>SUMIFS('C.Pagar'!$G$2:$G$4509,'C.Pagar'!$D$2:$D$4509,TRIM($A9),'C.Pagar'!$K$2:$K$4509,"&gt;=01/03/2026",'C.Pagar'!$K$2:$K$4509,"&lt;=31/03/2026")</f>
        <v>6361.43</v>
      </c>
      <c r="Q9" s="40">
        <f>P9/P$3</f>
        <v>6.1396859110015925E-3</v>
      </c>
      <c r="R9" s="40">
        <f>IFERROR(P9/M9-1,0)</f>
        <v>0</v>
      </c>
      <c r="S9" s="39">
        <f>SUMIFS('C.Pagar'!$G$2:$G$4509,'C.Pagar'!$D$2:$D$4509,TRIM($A9),'C.Pagar'!$K$2:$K$4509,"&gt;=01/04/2026",'C.Pagar'!$K$2:$K$4509,"&lt;=30/04/2026")</f>
        <v>0</v>
      </c>
      <c r="T9" s="40">
        <f>S9/S$3</f>
        <v>0</v>
      </c>
      <c r="U9" s="40">
        <f>IFERROR(S9/P9-1,0)</f>
        <v>-1</v>
      </c>
    </row>
    <row r="10" spans="1:21" x14ac:dyDescent="0.3">
      <c r="A10" s="38" t="s">
        <v>1715</v>
      </c>
      <c r="B10" s="39">
        <f>SUMIFS('C.Pagar'!G$2:G$4509,'C.Pagar'!D$2:D$4509,TRIM(A10),'C.Pagar'!K$2:K$4509,"&gt;=01/10/2025",'C.Pagar'!K$2:K$4509,"&lt;=31/10/2025")</f>
        <v>0</v>
      </c>
      <c r="C10" s="70">
        <f>B10/B$3</f>
        <v>0</v>
      </c>
      <c r="D10" s="39">
        <f>SUMIFS('C.Pagar'!G$2:G$4509,'C.Pagar'!D$2:D$4509,TRIM(A10),'C.Pagar'!K$2:K$4509,"&gt;=01/11/2025",'C.Pagar'!K$2:K$4509,"&lt;=30/11/2025")</f>
        <v>0</v>
      </c>
      <c r="E10" s="40">
        <f>D10/D$3</f>
        <v>0</v>
      </c>
      <c r="F10" s="40">
        <f>IFERROR(D10/B10-1,0)</f>
        <v>0</v>
      </c>
      <c r="G10" s="39">
        <f>SUMIFS('C.Pagar'!G$2:G$4509,'C.Pagar'!D$2:D$4509,TRIM(A10),'C.Pagar'!K$2:K$4509,"&gt;=01/12/2025",'C.Pagar'!K$2:K$4509,"&lt;=31/12/2025")</f>
        <v>0</v>
      </c>
      <c r="H10" s="40">
        <f>G10/G$3</f>
        <v>0</v>
      </c>
      <c r="I10" s="40">
        <f>IFERROR(G10/D10-1,0)</f>
        <v>0</v>
      </c>
      <c r="J10" s="39">
        <f>SUMIFS('C.Pagar'!$G$2:$G$4509,'C.Pagar'!$D$2:$D$4509,TRIM($A10),'C.Pagar'!$K$2:$K$4509,"&gt;=01/01/2026",'C.Pagar'!$K$2:$K$4509,"&lt;=31/01/2026")</f>
        <v>0</v>
      </c>
      <c r="K10" s="40">
        <f>J10/J$3</f>
        <v>0</v>
      </c>
      <c r="L10" s="40">
        <f>IFERROR(J10/G10-1,0)</f>
        <v>0</v>
      </c>
      <c r="M10" s="39">
        <f>SUMIFS('C.Pagar'!$G$2:$G$4509,'C.Pagar'!$D$2:$D$4509,TRIM($A10),'C.Pagar'!$K$2:$K$4509,"&gt;=01/02/2026",'C.Pagar'!$K$2:$K$4509,"&lt;=28/02/2026")</f>
        <v>0</v>
      </c>
      <c r="N10" s="40">
        <f>M10/M$3</f>
        <v>0</v>
      </c>
      <c r="O10" s="40">
        <f>IFERROR(M10/J10-1,0)</f>
        <v>0</v>
      </c>
      <c r="P10" s="39">
        <f>SUMIFS('C.Pagar'!$G$2:$G$4509,'C.Pagar'!$D$2:$D$4509,TRIM($A10),'C.Pagar'!$K$2:$K$4509,"&gt;=01/03/2026",'C.Pagar'!$K$2:$K$4509,"&lt;=31/03/2026")</f>
        <v>852.58999999999992</v>
      </c>
      <c r="Q10" s="40">
        <f>P10/P$3</f>
        <v>8.2287077132984999E-4</v>
      </c>
      <c r="R10" s="40">
        <f>IFERROR(P10/M10-1,0)</f>
        <v>0</v>
      </c>
      <c r="S10" s="39">
        <f>SUMIFS('C.Pagar'!$G$2:$G$4509,'C.Pagar'!$D$2:$D$4509,TRIM($A10),'C.Pagar'!$K$2:$K$4509,"&gt;=01/04/2026",'C.Pagar'!$K$2:$K$4509,"&lt;=30/04/2026")</f>
        <v>829.27</v>
      </c>
      <c r="T10" s="40">
        <f>S10/S$3</f>
        <v>9.3840638053421495E-4</v>
      </c>
      <c r="U10" s="40">
        <f>IFERROR(S10/P10-1,0)</f>
        <v>-2.7351951113665396E-2</v>
      </c>
    </row>
    <row r="11" spans="1:21" x14ac:dyDescent="0.3">
      <c r="A11" s="38" t="s">
        <v>1716</v>
      </c>
      <c r="B11" s="39">
        <f>SUMIFS('C.Pagar'!G$2:G$4509,'C.Pagar'!D$2:D$4509,TRIM(A11),'C.Pagar'!K$2:K$4509,"&gt;=01/10/2025",'C.Pagar'!K$2:K$4509,"&lt;=31/10/2025")</f>
        <v>0</v>
      </c>
      <c r="C11" s="70">
        <f t="shared" ref="C11:C12" si="41">B11/B$3</f>
        <v>0</v>
      </c>
      <c r="D11" s="39">
        <f>SUMIFS('C.Pagar'!G$2:G$4509,'C.Pagar'!D$2:D$4509,TRIM(A11),'C.Pagar'!K$2:K$4509,"&gt;=01/11/2025",'C.Pagar'!K$2:K$4509,"&lt;=30/11/2025")</f>
        <v>0</v>
      </c>
      <c r="E11" s="40">
        <f t="shared" ref="E11:E12" si="42">D11/D$3</f>
        <v>0</v>
      </c>
      <c r="F11" s="40">
        <f t="shared" ref="F11:F12" si="43">IFERROR(D11/B11-1,0)</f>
        <v>0</v>
      </c>
      <c r="G11" s="39">
        <f>SUMIFS('C.Pagar'!G$2:G$4509,'C.Pagar'!D$2:D$4509,TRIM(A11),'C.Pagar'!K$2:K$4509,"&gt;=01/12/2025",'C.Pagar'!K$2:K$4509,"&lt;=31/12/2025")</f>
        <v>0</v>
      </c>
      <c r="H11" s="40">
        <f t="shared" ref="H11:H12" si="44">G11/G$3</f>
        <v>0</v>
      </c>
      <c r="I11" s="40">
        <f t="shared" ref="I11:I12" si="45">IFERROR(G11/D11-1,0)</f>
        <v>0</v>
      </c>
      <c r="J11" s="39">
        <f>SUMIFS('C.Pagar'!$G$2:$G$4509,'C.Pagar'!$D$2:$D$4509,TRIM($A11),'C.Pagar'!$K$2:$K$4509,"&gt;=01/01/2026",'C.Pagar'!$K$2:$K$4509,"&lt;=31/01/2026")</f>
        <v>0</v>
      </c>
      <c r="K11" s="40">
        <f t="shared" ref="K11:K12" si="46">J11/J$3</f>
        <v>0</v>
      </c>
      <c r="L11" s="40">
        <f t="shared" ref="L11:L12" si="47">IFERROR(J11/G11-1,0)</f>
        <v>0</v>
      </c>
      <c r="M11" s="39">
        <f>SUMIFS('C.Pagar'!$G$2:$G$4509,'C.Pagar'!$D$2:$D$4509,TRIM($A11),'C.Pagar'!$K$2:$K$4509,"&gt;=01/02/2026",'C.Pagar'!$K$2:$K$4509,"&lt;=28/02/2026")</f>
        <v>0</v>
      </c>
      <c r="N11" s="40">
        <f t="shared" ref="N11:N12" si="48">M11/M$3</f>
        <v>0</v>
      </c>
      <c r="O11" s="40">
        <f t="shared" ref="O11:O12" si="49">IFERROR(M11/J11-1,0)</f>
        <v>0</v>
      </c>
      <c r="P11" s="39">
        <f>SUMIFS('C.Pagar'!$G$2:$G$4509,'C.Pagar'!$D$2:$D$4509,TRIM($A11),'C.Pagar'!$K$2:$K$4509,"&gt;=01/03/2026",'C.Pagar'!$K$2:$K$4509,"&lt;=31/03/2026")</f>
        <v>153.62</v>
      </c>
      <c r="Q11" s="40">
        <f t="shared" ref="Q11:Q12" si="50">P11/P$3</f>
        <v>1.4826517774275041E-4</v>
      </c>
      <c r="R11" s="40">
        <f t="shared" ref="R11:R12" si="51">IFERROR(P11/M11-1,0)</f>
        <v>0</v>
      </c>
      <c r="S11" s="39">
        <f>SUMIFS('C.Pagar'!$G$2:$G$4509,'C.Pagar'!$D$2:$D$4509,TRIM($A11),'C.Pagar'!$K$2:$K$4509,"&gt;=01/04/2026",'C.Pagar'!$K$2:$K$4509,"&lt;=30/04/2026")</f>
        <v>470.46</v>
      </c>
      <c r="T11" s="40">
        <f t="shared" ref="T11:T12" si="52">S11/S$3</f>
        <v>5.3237505973461816E-4</v>
      </c>
      <c r="U11" s="40">
        <f t="shared" ref="U11:U12" si="53">IFERROR(S11/P11-1,0)</f>
        <v>2.0624918630386668</v>
      </c>
    </row>
    <row r="12" spans="1:21" x14ac:dyDescent="0.3">
      <c r="A12" s="38" t="s">
        <v>1717</v>
      </c>
      <c r="B12" s="39">
        <f>SUMIFS('C.Pagar'!G$2:G$4509,'C.Pagar'!D$2:D$4509,TRIM(A12),'C.Pagar'!K$2:K$4509,"&gt;=01/10/2025",'C.Pagar'!K$2:K$4509,"&lt;=31/10/2025")</f>
        <v>0</v>
      </c>
      <c r="C12" s="70">
        <f t="shared" si="41"/>
        <v>0</v>
      </c>
      <c r="D12" s="39">
        <f>SUMIFS('C.Pagar'!G$2:G$4509,'C.Pagar'!D$2:D$4509,TRIM(A12),'C.Pagar'!K$2:K$4509,"&gt;=01/11/2025",'C.Pagar'!K$2:K$4509,"&lt;=30/11/2025")</f>
        <v>0</v>
      </c>
      <c r="E12" s="40">
        <f t="shared" si="42"/>
        <v>0</v>
      </c>
      <c r="F12" s="40">
        <f t="shared" si="43"/>
        <v>0</v>
      </c>
      <c r="G12" s="39">
        <f>SUMIFS('C.Pagar'!G$2:G$4509,'C.Pagar'!D$2:D$4509,TRIM(A12),'C.Pagar'!K$2:K$4509,"&gt;=01/12/2025",'C.Pagar'!K$2:K$4509,"&lt;=31/12/2025")</f>
        <v>0</v>
      </c>
      <c r="H12" s="40">
        <f t="shared" si="44"/>
        <v>0</v>
      </c>
      <c r="I12" s="40">
        <f t="shared" si="45"/>
        <v>0</v>
      </c>
      <c r="J12" s="39">
        <f>SUMIFS('C.Pagar'!$G$2:$G$4509,'C.Pagar'!$D$2:$D$4509,TRIM($A12),'C.Pagar'!$K$2:$K$4509,"&gt;=01/01/2026",'C.Pagar'!$K$2:$K$4509,"&lt;=31/01/2026")</f>
        <v>0</v>
      </c>
      <c r="K12" s="40">
        <f t="shared" si="46"/>
        <v>0</v>
      </c>
      <c r="L12" s="40">
        <f t="shared" si="47"/>
        <v>0</v>
      </c>
      <c r="M12" s="39">
        <f>SUMIFS('C.Pagar'!$G$2:$G$4509,'C.Pagar'!$D$2:$D$4509,TRIM($A12),'C.Pagar'!$K$2:$K$4509,"&gt;=01/02/2026",'C.Pagar'!$K$2:$K$4509,"&lt;=28/02/2026")</f>
        <v>0</v>
      </c>
      <c r="N12" s="40">
        <f t="shared" si="48"/>
        <v>0</v>
      </c>
      <c r="O12" s="40">
        <f t="shared" si="49"/>
        <v>0</v>
      </c>
      <c r="P12" s="39">
        <f>SUMIFS('C.Pagar'!$G$2:$G$4509,'C.Pagar'!$D$2:$D$4509,TRIM($A12),'C.Pagar'!$K$2:$K$4509,"&gt;=01/03/2026",'C.Pagar'!$K$2:$K$4509,"&lt;=31/03/2026")</f>
        <v>192.03</v>
      </c>
      <c r="Q12" s="40">
        <f t="shared" si="50"/>
        <v>1.8533629789051139E-4</v>
      </c>
      <c r="R12" s="40">
        <f t="shared" si="51"/>
        <v>0</v>
      </c>
      <c r="S12" s="39">
        <f>SUMIFS('C.Pagar'!$G$2:$G$4509,'C.Pagar'!$D$2:$D$4509,TRIM($A12),'C.Pagar'!$K$2:$K$4509,"&gt;=01/04/2026",'C.Pagar'!$K$2:$K$4509,"&lt;=30/04/2026")</f>
        <v>588.07000000000005</v>
      </c>
      <c r="T12" s="40">
        <f t="shared" si="52"/>
        <v>6.6546316664145078E-4</v>
      </c>
      <c r="U12" s="40">
        <f t="shared" si="53"/>
        <v>2.0623860855074732</v>
      </c>
    </row>
    <row r="13" spans="1:21" x14ac:dyDescent="0.3">
      <c r="A13" s="416" t="s">
        <v>1718</v>
      </c>
      <c r="B13" s="404">
        <f>SUMIFS('C.Pagar'!G$2:G$4509,'C.Pagar'!D$2:D$4509,TRIM(A13),'C.Pagar'!K$2:K$4509,"&gt;=01/10/2025",'C.Pagar'!K$2:K$4509,"&lt;=31/10/2025")</f>
        <v>15843.2</v>
      </c>
      <c r="C13" s="405">
        <f>B13/B$3</f>
        <v>1.4106478878024921E-2</v>
      </c>
      <c r="D13" s="404">
        <f>SUMIFS('C.Pagar'!G$2:G$4509,'C.Pagar'!D$2:D$4509,TRIM(A13),'C.Pagar'!K$2:K$4509,"&gt;=01/11/2025",'C.Pagar'!K$2:K$4509,"&lt;=30/11/2025")</f>
        <v>35650.83</v>
      </c>
      <c r="E13" s="406">
        <f>D13/D$3</f>
        <v>3.6047699672887637E-2</v>
      </c>
      <c r="F13" s="406">
        <f>IFERROR(D13/B13-1,0)</f>
        <v>1.2502291203797213</v>
      </c>
      <c r="G13" s="404">
        <f>SUMIFS('C.Pagar'!G$2:G$4509,'C.Pagar'!D$2:D$4509,TRIM(A13),'C.Pagar'!K$2:K$4509,"&gt;=01/12/2025",'C.Pagar'!K$2:K$4509,"&lt;=31/12/2025")</f>
        <v>21104.11</v>
      </c>
      <c r="H13" s="406">
        <f>G13/G$3</f>
        <v>1.9334904200602399E-2</v>
      </c>
      <c r="I13" s="406">
        <f>IFERROR(G13/D13-1,0)</f>
        <v>-0.40803313695641874</v>
      </c>
      <c r="J13" s="404">
        <f>SUMIFS('C.Pagar'!$G$2:$G$4509,'C.Pagar'!$D$2:$D$4509,TRIM($A13),'C.Pagar'!$K$2:$K$4509,"&gt;=01/01/2026",'C.Pagar'!$K$2:$K$4509,"&lt;=31/01/2026")</f>
        <v>19799.240000000002</v>
      </c>
      <c r="K13" s="406">
        <f>J13/J$3</f>
        <v>2.099551600216118E-2</v>
      </c>
      <c r="L13" s="406">
        <f>IFERROR(J13/G13-1,0)</f>
        <v>-6.183013640470969E-2</v>
      </c>
      <c r="M13" s="404">
        <f>SUMIFS('C.Pagar'!$G$2:$G$4509,'C.Pagar'!$D$2:$D$4509,TRIM($A13),'C.Pagar'!$K$2:$K$4509,"&gt;=01/02/2026",'C.Pagar'!$K$2:$K$4509,"&lt;=28/02/2026")</f>
        <v>15811.61</v>
      </c>
      <c r="N13" s="406">
        <f>M13/M$3</f>
        <v>2.2857587199574224E-2</v>
      </c>
      <c r="O13" s="406">
        <f>IFERROR(M13/J13-1,0)</f>
        <v>-0.20140318517276423</v>
      </c>
      <c r="P13" s="404">
        <f>SUMIFS('C.Pagar'!$G$2:$G$4509,'C.Pagar'!$D$2:$D$4509,TRIM($A13),'C.Pagar'!$K$2:$K$4509,"&gt;=01/03/2026",'C.Pagar'!$K$2:$K$4509,"&lt;=31/03/2026")</f>
        <v>0</v>
      </c>
      <c r="Q13" s="406">
        <f>P13/P$3</f>
        <v>0</v>
      </c>
      <c r="R13" s="406">
        <f>IFERROR(P13/M13-1,0)</f>
        <v>-1</v>
      </c>
      <c r="S13" s="404">
        <f>SUMIFS('C.Pagar'!$G$2:$G$4509,'C.Pagar'!$D$2:$D$4509,TRIM($A13),'C.Pagar'!$K$2:$K$4509,"&gt;=01/04/2026",'C.Pagar'!$K$2:$K$4509,"&lt;=30/04/2026")</f>
        <v>0</v>
      </c>
      <c r="T13" s="406">
        <f>S13/S$3</f>
        <v>0</v>
      </c>
      <c r="U13" s="406">
        <f>IFERROR(S13/P13-1,0)</f>
        <v>0</v>
      </c>
    </row>
    <row r="14" spans="1:21" x14ac:dyDescent="0.3">
      <c r="A14" s="38" t="s">
        <v>1719</v>
      </c>
      <c r="B14" s="39">
        <f>SUMIFS('C.Pagar'!G$2:G$4509,'C.Pagar'!D$2:D$4509,TRIM(A14),'C.Pagar'!K$2:K$4509,"&gt;=01/10/2025",'C.Pagar'!K$2:K$4509,"&lt;=31/10/2025")</f>
        <v>0</v>
      </c>
      <c r="C14" s="70">
        <f t="shared" si="0"/>
        <v>0</v>
      </c>
      <c r="D14" s="39">
        <f>SUMIFS('C.Pagar'!G$2:G$4509,'C.Pagar'!D$2:D$4509,TRIM(A14),'C.Pagar'!K$2:K$4509,"&gt;=01/11/2025",'C.Pagar'!K$2:K$4509,"&lt;=30/11/2025")</f>
        <v>0</v>
      </c>
      <c r="E14" s="40">
        <f t="shared" si="1"/>
        <v>0</v>
      </c>
      <c r="F14" s="40">
        <f t="shared" si="12"/>
        <v>0</v>
      </c>
      <c r="G14" s="39">
        <f>SUMIFS('C.Pagar'!G$2:G$4509,'C.Pagar'!D$2:D$4509,TRIM(A14),'C.Pagar'!K$2:K$4509,"&gt;=01/12/2025",'C.Pagar'!K$2:K$4509,"&lt;=31/12/2025")</f>
        <v>0</v>
      </c>
      <c r="H14" s="40">
        <f t="shared" si="2"/>
        <v>0</v>
      </c>
      <c r="I14" s="40">
        <f t="shared" si="3"/>
        <v>0</v>
      </c>
      <c r="J14" s="39">
        <f>SUMIFS('C.Pagar'!$G$2:$G$4509,'C.Pagar'!$D$2:$D$4509,TRIM($A14),'C.Pagar'!$K$2:$K$4509,"&gt;=01/01/2026",'C.Pagar'!$K$2:$K$4509,"&lt;=31/01/2026")</f>
        <v>0</v>
      </c>
      <c r="K14" s="40">
        <f t="shared" si="13"/>
        <v>0</v>
      </c>
      <c r="L14" s="40">
        <f t="shared" si="14"/>
        <v>0</v>
      </c>
      <c r="M14" s="39">
        <f>SUMIFS('C.Pagar'!$G$2:$G$4509,'C.Pagar'!$D$2:$D$4509,TRIM($A14),'C.Pagar'!$K$2:$K$4509,"&gt;=01/02/2026",'C.Pagar'!$K$2:$K$4509,"&lt;=28/02/2026")</f>
        <v>0</v>
      </c>
      <c r="N14" s="40">
        <f t="shared" si="15"/>
        <v>0</v>
      </c>
      <c r="O14" s="40">
        <f t="shared" si="16"/>
        <v>0</v>
      </c>
      <c r="P14" s="39">
        <f>SUMIFS('C.Pagar'!$G$2:$G$4509,'C.Pagar'!$D$2:$D$4509,TRIM($A14),'C.Pagar'!$K$2:$K$4509,"&gt;=01/03/2026",'C.Pagar'!$K$2:$K$4509,"&lt;=31/03/2026")</f>
        <v>8612.73</v>
      </c>
      <c r="Q14" s="40">
        <f t="shared" si="17"/>
        <v>8.3125110291649429E-3</v>
      </c>
      <c r="R14" s="40">
        <f t="shared" si="18"/>
        <v>0</v>
      </c>
      <c r="S14" s="39">
        <f>SUMIFS('C.Pagar'!$G$2:$G$4509,'C.Pagar'!$D$2:$D$4509,TRIM($A14),'C.Pagar'!$K$2:$K$4509,"&gt;=01/04/2026",'C.Pagar'!$K$2:$K$4509,"&lt;=30/04/2026")</f>
        <v>0</v>
      </c>
      <c r="T14" s="40">
        <f t="shared" ref="T14:T23" si="54">S14/S$3</f>
        <v>0</v>
      </c>
      <c r="U14" s="40">
        <f t="shared" ref="U14:U23" si="55">IFERROR(S14/P14-1,0)</f>
        <v>-1</v>
      </c>
    </row>
    <row r="15" spans="1:21" x14ac:dyDescent="0.3">
      <c r="A15" s="33" t="s">
        <v>1673</v>
      </c>
      <c r="B15" s="35">
        <f>SUM(B16:B16)</f>
        <v>0</v>
      </c>
      <c r="C15" s="71">
        <f t="shared" si="0"/>
        <v>0</v>
      </c>
      <c r="D15" s="35">
        <f>SUM(D16:D16)</f>
        <v>0</v>
      </c>
      <c r="E15" s="36">
        <f t="shared" si="1"/>
        <v>0</v>
      </c>
      <c r="F15" s="36">
        <f t="shared" si="12"/>
        <v>0</v>
      </c>
      <c r="G15" s="35">
        <f>SUM(G16:G16)</f>
        <v>0</v>
      </c>
      <c r="H15" s="36">
        <f t="shared" si="2"/>
        <v>0</v>
      </c>
      <c r="I15" s="36">
        <f t="shared" si="3"/>
        <v>0</v>
      </c>
      <c r="J15" s="35">
        <f>SUM(J16:J16)</f>
        <v>0</v>
      </c>
      <c r="K15" s="36">
        <f t="shared" si="13"/>
        <v>0</v>
      </c>
      <c r="L15" s="36">
        <f t="shared" si="14"/>
        <v>0</v>
      </c>
      <c r="M15" s="35">
        <f>SUM(M16:M16)</f>
        <v>0</v>
      </c>
      <c r="N15" s="36">
        <f t="shared" si="15"/>
        <v>0</v>
      </c>
      <c r="O15" s="36">
        <f t="shared" si="16"/>
        <v>0</v>
      </c>
      <c r="P15" s="35">
        <f>SUM(P16:P16)</f>
        <v>0</v>
      </c>
      <c r="Q15" s="36">
        <f t="shared" si="17"/>
        <v>0</v>
      </c>
      <c r="R15" s="36">
        <f t="shared" si="18"/>
        <v>0</v>
      </c>
      <c r="S15" s="35">
        <f>SUM(S16:S16)</f>
        <v>0</v>
      </c>
      <c r="T15" s="36">
        <f t="shared" si="54"/>
        <v>0</v>
      </c>
      <c r="U15" s="36">
        <f t="shared" si="55"/>
        <v>0</v>
      </c>
    </row>
    <row r="16" spans="1:21" x14ac:dyDescent="0.3">
      <c r="A16" s="38" t="s">
        <v>1720</v>
      </c>
      <c r="B16" s="39">
        <f>SUMIFS('C.Pagar'!G$2:G$4509,'C.Pagar'!D$2:D$4509,TRIM(A16),'C.Pagar'!K$2:K$4509,"&gt;=01/10/2025",'C.Pagar'!K$2:K$4509,"&lt;=31/10/2025")</f>
        <v>0</v>
      </c>
      <c r="C16" s="70">
        <f t="shared" si="0"/>
        <v>0</v>
      </c>
      <c r="D16" s="39">
        <f>SUMIFS('C.Pagar'!G$2:G$4509,'C.Pagar'!D$2:D$4509,TRIM(A16),'C.Pagar'!K$2:K$4509,"&gt;=01/11/2025",'C.Pagar'!K$2:K$4509,"&lt;=30/11/2025")</f>
        <v>0</v>
      </c>
      <c r="E16" s="40">
        <f t="shared" si="1"/>
        <v>0</v>
      </c>
      <c r="F16" s="40">
        <f>IFERROR(D16/B16-1,0)</f>
        <v>0</v>
      </c>
      <c r="G16" s="39">
        <f>SUMIFS('C.Pagar'!G$2:G$4509,'C.Pagar'!D$2:D$4509,TRIM(A16),'C.Pagar'!K$2:K$4509,"&gt;=01/12/2025",'C.Pagar'!K$2:K$4509,"&lt;=31/12/2025")</f>
        <v>0</v>
      </c>
      <c r="H16" s="40">
        <f t="shared" si="2"/>
        <v>0</v>
      </c>
      <c r="I16" s="40">
        <f t="shared" si="3"/>
        <v>0</v>
      </c>
      <c r="J16" s="39">
        <f>SUMIFS('C.Pagar'!G$2:G$4509,'C.Pagar'!D$2:D$4509,TRIM(A16),'C.Pagar'!K$2:K$4509,"&gt;=01/01/2026",'C.Pagar'!K$2:K$4509,"&lt;=31/01/2026")</f>
        <v>0</v>
      </c>
      <c r="K16" s="40">
        <f t="shared" si="13"/>
        <v>0</v>
      </c>
      <c r="L16" s="40">
        <f t="shared" si="14"/>
        <v>0</v>
      </c>
      <c r="M16" s="39">
        <f>SUMIFS('C.Pagar'!$G$2:$G$4509,'C.Pagar'!$D$2:$D$4509,TRIM($A16),'C.Pagar'!$K$2:$K$4509,"&gt;=01/02/2026",'C.Pagar'!$K$2:$K$4509,"&lt;=28/02/2026")</f>
        <v>0</v>
      </c>
      <c r="N16" s="40">
        <f t="shared" si="15"/>
        <v>0</v>
      </c>
      <c r="O16" s="40">
        <f t="shared" si="16"/>
        <v>0</v>
      </c>
      <c r="P16" s="39">
        <f>SUMIFS('C.Pagar'!$G$2:$G$4509,'C.Pagar'!$D$2:$D$4509,TRIM($A16),'C.Pagar'!$K$2:$K$4509,"&gt;=01/03/2026",'C.Pagar'!$K$2:$K$4509,"&lt;=31/03/2026")</f>
        <v>0</v>
      </c>
      <c r="Q16" s="40">
        <f t="shared" si="17"/>
        <v>0</v>
      </c>
      <c r="R16" s="40">
        <f t="shared" si="18"/>
        <v>0</v>
      </c>
      <c r="S16" s="39">
        <f>SUMIFS('C.Pagar'!$G$2:$G$4509,'C.Pagar'!$D$2:$D$4509,TRIM($A16),'C.Pagar'!$K$2:$K$4509,"&gt;=01/04/2026",'C.Pagar'!$K$2:$K$4509,"&lt;=30/04/2026")</f>
        <v>0</v>
      </c>
      <c r="T16" s="40">
        <f t="shared" si="54"/>
        <v>0</v>
      </c>
      <c r="U16" s="40">
        <f t="shared" si="55"/>
        <v>0</v>
      </c>
    </row>
    <row r="17" spans="1:21" x14ac:dyDescent="0.3">
      <c r="A17" s="41" t="s">
        <v>1674</v>
      </c>
      <c r="B17" s="42">
        <f>SUM(B18:B20)</f>
        <v>9199.86</v>
      </c>
      <c r="C17" s="72">
        <f t="shared" ref="C17:C20" si="56">B17/B$3</f>
        <v>8.191377421908853E-3</v>
      </c>
      <c r="D17" s="42">
        <f>SUM(D18:D20)</f>
        <v>1174.8800000000001</v>
      </c>
      <c r="E17" s="43">
        <f t="shared" ref="E17:E20" si="57">D17/D$3</f>
        <v>1.1879589168522088E-3</v>
      </c>
      <c r="F17" s="43">
        <f t="shared" ref="F17:F20" si="58">IFERROR(D17/B17-1,0)</f>
        <v>-0.87229370881730806</v>
      </c>
      <c r="G17" s="42">
        <f>SUM(G18:G20)</f>
        <v>6687.27</v>
      </c>
      <c r="H17" s="43">
        <f t="shared" ref="H17:H20" si="59">G17/G$3</f>
        <v>6.1266608643322272E-3</v>
      </c>
      <c r="I17" s="43">
        <f t="shared" ref="I17:I20" si="60">IFERROR(G17/D17-1,0)</f>
        <v>4.6918749148849246</v>
      </c>
      <c r="J17" s="42">
        <f>SUM(J18:J20)</f>
        <v>20966.059999999994</v>
      </c>
      <c r="K17" s="43">
        <f t="shared" si="13"/>
        <v>2.2232835615522174E-2</v>
      </c>
      <c r="L17" s="43">
        <f t="shared" si="14"/>
        <v>2.1352196038144107</v>
      </c>
      <c r="M17" s="42">
        <f>SUM(M18:M20)</f>
        <v>31195.069999999996</v>
      </c>
      <c r="N17" s="43">
        <f t="shared" si="15"/>
        <v>4.5096231991670795E-2</v>
      </c>
      <c r="O17" s="43">
        <f t="shared" si="16"/>
        <v>0.48788422812869969</v>
      </c>
      <c r="P17" s="42">
        <f>SUM(P18:P20)</f>
        <v>23710.909999999993</v>
      </c>
      <c r="Q17" s="43">
        <f t="shared" si="17"/>
        <v>2.288440493159977E-2</v>
      </c>
      <c r="R17" s="43">
        <f t="shared" si="18"/>
        <v>-0.23991483269632041</v>
      </c>
      <c r="S17" s="42">
        <f>SUM(S18:S20)</f>
        <v>16940.68</v>
      </c>
      <c r="T17" s="43">
        <f t="shared" si="54"/>
        <v>1.9170164364547573E-2</v>
      </c>
      <c r="U17" s="43">
        <f t="shared" si="55"/>
        <v>-0.28553227185291474</v>
      </c>
    </row>
    <row r="18" spans="1:21" x14ac:dyDescent="0.3">
      <c r="A18" s="38" t="s">
        <v>1675</v>
      </c>
      <c r="B18" s="39">
        <f>SUMIFS('C.Pagar'!G$2:G$4509,'C.Pagar'!D$2:D$4509,TRIM(A18),'C.Pagar'!K$2:K$4509,"&gt;=01/10/2025",'C.Pagar'!K$2:K$4509,"&lt;=31/10/2025")</f>
        <v>6905.45</v>
      </c>
      <c r="C18" s="70">
        <f t="shared" si="56"/>
        <v>6.1484791309998725E-3</v>
      </c>
      <c r="D18" s="39">
        <f>SUMIFS('C.Pagar'!G$2:G$4509,'C.Pagar'!D$2:D$4509,TRIM(A18),'C.Pagar'!K$2:K$4509,"&gt;=01/11/2025",'C.Pagar'!K$2:K$4509,"&lt;=30/11/2025")</f>
        <v>0</v>
      </c>
      <c r="E18" s="40">
        <f t="shared" si="57"/>
        <v>0</v>
      </c>
      <c r="F18" s="40">
        <f t="shared" si="58"/>
        <v>-1</v>
      </c>
      <c r="G18" s="39">
        <f>SUMIFS('C.Pagar'!G$2:G$4509,'C.Pagar'!D$2:D$4509,TRIM(A18),'C.Pagar'!K$2:K$4509,"&gt;=01/12/2025",'C.Pagar'!K$2:K$4509,"&lt;=31/12/2025")</f>
        <v>0</v>
      </c>
      <c r="H18" s="40">
        <f t="shared" si="59"/>
        <v>0</v>
      </c>
      <c r="I18" s="40">
        <f t="shared" si="60"/>
        <v>0</v>
      </c>
      <c r="J18" s="39">
        <f>SUMIFS('C.Pagar'!G$2:G$4509,'C.Pagar'!D$2:D$4509,TRIM(A18),'C.Pagar'!K$2:K$4509,"&gt;=01/01/2026",'C.Pagar'!K$2:K$4509,"&lt;=31/01/2026")</f>
        <v>0</v>
      </c>
      <c r="K18" s="40">
        <f t="shared" si="13"/>
        <v>0</v>
      </c>
      <c r="L18" s="40">
        <f t="shared" si="14"/>
        <v>0</v>
      </c>
      <c r="M18" s="39">
        <f>SUMIFS('C.Pagar'!$G$2:$G$4509,'C.Pagar'!$D$2:$D$4509,TRIM($A18),'C.Pagar'!$K$2:$K$4509,"&gt;=01/02/2026",'C.Pagar'!$K$2:$K$4509,"&lt;=28/02/2026")</f>
        <v>0</v>
      </c>
      <c r="N18" s="40">
        <f t="shared" si="15"/>
        <v>0</v>
      </c>
      <c r="O18" s="40">
        <f t="shared" si="16"/>
        <v>0</v>
      </c>
      <c r="P18" s="39">
        <f>SUMIFS('C.Pagar'!$G$2:$G$4509,'C.Pagar'!$D$2:$D$4509,TRIM($A18),'C.Pagar'!$K$2:$K$4509,"&gt;=01/03/2026",'C.Pagar'!$K$2:$K$4509,"&lt;=31/03/2026")</f>
        <v>0</v>
      </c>
      <c r="Q18" s="40">
        <f t="shared" si="17"/>
        <v>0</v>
      </c>
      <c r="R18" s="40">
        <f t="shared" si="18"/>
        <v>0</v>
      </c>
      <c r="S18" s="39">
        <f>SUMIFS('C.Pagar'!$G$2:$G$4509,'C.Pagar'!$D$2:$D$4509,TRIM($A18),'C.Pagar'!$K$2:$K$4509,"&gt;=01/04/2026",'C.Pagar'!$K$2:$K$4509,"&lt;=30/04/2026")</f>
        <v>0</v>
      </c>
      <c r="T18" s="40">
        <f t="shared" si="54"/>
        <v>0</v>
      </c>
      <c r="U18" s="40">
        <f t="shared" si="55"/>
        <v>0</v>
      </c>
    </row>
    <row r="19" spans="1:21" x14ac:dyDescent="0.3">
      <c r="A19" s="38" t="s">
        <v>1676</v>
      </c>
      <c r="B19" s="39">
        <f>SUMIFS('C.Pagar'!G$2:G$4509,'C.Pagar'!D$2:D$4509,TRIM(A19),'C.Pagar'!K$2:K$4509,"&gt;=01/10/2025",'C.Pagar'!K$2:K$4509,"&lt;=31/10/2025")</f>
        <v>310</v>
      </c>
      <c r="C19" s="70">
        <f t="shared" si="56"/>
        <v>2.7601800470786994E-4</v>
      </c>
      <c r="D19" s="39">
        <f>SUMIFS('C.Pagar'!G$2:G$4509,'C.Pagar'!D$2:D$4509,TRIM(A19),'C.Pagar'!K$2:K$4509,"&gt;=01/11/2025",'C.Pagar'!K$2:K$4509,"&lt;=30/11/2025")</f>
        <v>0</v>
      </c>
      <c r="E19" s="40">
        <f t="shared" si="57"/>
        <v>0</v>
      </c>
      <c r="F19" s="40">
        <f t="shared" si="58"/>
        <v>-1</v>
      </c>
      <c r="G19" s="39">
        <f>SUMIFS('C.Pagar'!G$2:G$4509,'C.Pagar'!D$2:D$4509,TRIM(A19),'C.Pagar'!K$2:K$4509,"&gt;=01/12/2025",'C.Pagar'!K$2:K$4509,"&lt;=31/12/2025")</f>
        <v>0</v>
      </c>
      <c r="H19" s="40">
        <f t="shared" si="59"/>
        <v>0</v>
      </c>
      <c r="I19" s="40">
        <f t="shared" si="60"/>
        <v>0</v>
      </c>
      <c r="J19" s="39">
        <f>SUMIFS('C.Pagar'!G$2:G$4509,'C.Pagar'!D$2:D$4509,TRIM(A19),'C.Pagar'!K$2:K$4509,"&gt;=01/01/2026",'C.Pagar'!K$2:K$4509,"&lt;=31/01/2026")</f>
        <v>0</v>
      </c>
      <c r="K19" s="40">
        <f t="shared" si="13"/>
        <v>0</v>
      </c>
      <c r="L19" s="40">
        <f t="shared" si="14"/>
        <v>0</v>
      </c>
      <c r="M19" s="39">
        <f>SUMIFS('C.Pagar'!$G$2:$G$4509,'C.Pagar'!$D$2:$D$4509,TRIM($A19),'C.Pagar'!$K$2:$K$4509,"&gt;=01/02/2026",'C.Pagar'!$K$2:$K$4509,"&lt;=28/02/2026")</f>
        <v>0</v>
      </c>
      <c r="N19" s="40">
        <f t="shared" si="15"/>
        <v>0</v>
      </c>
      <c r="O19" s="40">
        <f t="shared" si="16"/>
        <v>0</v>
      </c>
      <c r="P19" s="39">
        <f>SUMIFS('C.Pagar'!$G$2:$G$4509,'C.Pagar'!$D$2:$D$4509,TRIM($A19),'C.Pagar'!$K$2:$K$4509,"&gt;=01/03/2026",'C.Pagar'!$K$2:$K$4509,"&lt;=31/03/2026")</f>
        <v>0</v>
      </c>
      <c r="Q19" s="40">
        <f t="shared" si="17"/>
        <v>0</v>
      </c>
      <c r="R19" s="40">
        <f t="shared" si="18"/>
        <v>0</v>
      </c>
      <c r="S19" s="39">
        <f>SUMIFS('C.Pagar'!$G$2:$G$4509,'C.Pagar'!$D$2:$D$4509,TRIM($A19),'C.Pagar'!$K$2:$K$4509,"&gt;=01/04/2026",'C.Pagar'!$K$2:$K$4509,"&lt;=30/04/2026")</f>
        <v>0</v>
      </c>
      <c r="T19" s="40">
        <f t="shared" si="54"/>
        <v>0</v>
      </c>
      <c r="U19" s="40">
        <f t="shared" si="55"/>
        <v>0</v>
      </c>
    </row>
    <row r="20" spans="1:21" x14ac:dyDescent="0.3">
      <c r="A20" s="38" t="s">
        <v>1677</v>
      </c>
      <c r="B20" s="39">
        <f>SUMIFS('C.Pagar'!G$2:G$4509,'C.Pagar'!D$2:D$4509,TRIM(A20),'C.Pagar'!K$2:K$4509,"&gt;=01/10/2025",'C.Pagar'!K$2:K$4509,"&lt;=31/10/2025")</f>
        <v>1984.41</v>
      </c>
      <c r="C20" s="70">
        <f t="shared" si="56"/>
        <v>1.7668802862011105E-3</v>
      </c>
      <c r="D20" s="39">
        <f>SUMIFS('C.Pagar'!G$2:G$4509,'C.Pagar'!D$2:D$4509,TRIM(A20),'C.Pagar'!K$2:K$4509,"&gt;=01/11/2025",'C.Pagar'!K$2:K$4509,"&lt;=30/11/2025")</f>
        <v>1174.8800000000001</v>
      </c>
      <c r="E20" s="40">
        <f t="shared" si="57"/>
        <v>1.1879589168522088E-3</v>
      </c>
      <c r="F20" s="40">
        <f t="shared" si="58"/>
        <v>-0.40794493073507987</v>
      </c>
      <c r="G20" s="39">
        <f>SUMIFS('C.Pagar'!G$2:G$4509,'C.Pagar'!D$2:D$4509,TRIM(A20),'C.Pagar'!K$2:K$4509,"&gt;=01/12/2025",'C.Pagar'!K$2:K$4509,"&lt;=31/12/2025")</f>
        <v>6687.27</v>
      </c>
      <c r="H20" s="40">
        <f t="shared" si="59"/>
        <v>6.1266608643322272E-3</v>
      </c>
      <c r="I20" s="40">
        <f t="shared" si="60"/>
        <v>4.6918749148849246</v>
      </c>
      <c r="J20" s="39">
        <f>SUMIFS('C.Pagar'!G$2:G$4509,'C.Pagar'!D$2:D$4509,TRIM(A20),'C.Pagar'!K$2:K$4509,"&gt;=01/01/2026",'C.Pagar'!K$2:K$4509,"&lt;=31/01/2026")</f>
        <v>20966.059999999994</v>
      </c>
      <c r="K20" s="40">
        <f t="shared" si="13"/>
        <v>2.2232835615522174E-2</v>
      </c>
      <c r="L20" s="40">
        <f t="shared" si="14"/>
        <v>2.1352196038144107</v>
      </c>
      <c r="M20" s="39">
        <f>SUMIFS('C.Pagar'!$G$2:$G$4509,'C.Pagar'!$D$2:$D$4509,TRIM($A20),'C.Pagar'!$K$2:$K$4509,"&gt;=01/02/2026",'C.Pagar'!$K$2:$K$4509,"&lt;=28/02/2026")</f>
        <v>31195.069999999996</v>
      </c>
      <c r="N20" s="40">
        <f t="shared" si="15"/>
        <v>4.5096231991670795E-2</v>
      </c>
      <c r="O20" s="40">
        <f t="shared" si="16"/>
        <v>0.48788422812869969</v>
      </c>
      <c r="P20" s="39">
        <f>SUMIFS('C.Pagar'!$G$2:$G$4509,'C.Pagar'!$D$2:$D$4509,TRIM($A20),'C.Pagar'!$K$2:$K$4509,"&gt;=01/03/2026",'C.Pagar'!$K$2:$K$4509,"&lt;=31/03/2026")</f>
        <v>23710.909999999993</v>
      </c>
      <c r="Q20" s="40">
        <f t="shared" si="17"/>
        <v>2.288440493159977E-2</v>
      </c>
      <c r="R20" s="40">
        <f t="shared" si="18"/>
        <v>-0.23991483269632041</v>
      </c>
      <c r="S20" s="39">
        <f>SUMIFS('C.Pagar'!$G$2:$G$4509,'C.Pagar'!$D$2:$D$4509,TRIM($A20),'C.Pagar'!$K$2:$K$4509,"&gt;=01/04/2026",'C.Pagar'!$K$2:$K$4509,"&lt;=30/04/2026")</f>
        <v>16940.68</v>
      </c>
      <c r="T20" s="40">
        <f t="shared" si="54"/>
        <v>1.9170164364547573E-2</v>
      </c>
      <c r="U20" s="40">
        <f t="shared" si="55"/>
        <v>-0.28553227185291474</v>
      </c>
    </row>
    <row r="21" spans="1:21" s="8" customFormat="1" x14ac:dyDescent="0.3">
      <c r="A21" s="30" t="s">
        <v>1678</v>
      </c>
      <c r="B21" s="31">
        <f>B3-B5-B15-B17</f>
        <v>1098072.0799999998</v>
      </c>
      <c r="C21" s="69">
        <f t="shared" si="0"/>
        <v>0.97770214370006614</v>
      </c>
      <c r="D21" s="31">
        <f>D3-D5-D15-D17</f>
        <v>952164.72</v>
      </c>
      <c r="E21" s="32">
        <f t="shared" si="1"/>
        <v>0.96276434141026024</v>
      </c>
      <c r="F21" s="32">
        <f t="shared" si="12"/>
        <v>-0.13287594016596782</v>
      </c>
      <c r="G21" s="31">
        <f>G3-G5-G15-G17</f>
        <v>1063711.8299999998</v>
      </c>
      <c r="H21" s="32">
        <f t="shared" si="2"/>
        <v>0.97453843493506531</v>
      </c>
      <c r="I21" s="32">
        <f t="shared" si="3"/>
        <v>0.11715106394616237</v>
      </c>
      <c r="J21" s="31">
        <f>J3-J5-J15-J17</f>
        <v>902257.01000000013</v>
      </c>
      <c r="K21" s="32">
        <f t="shared" si="13"/>
        <v>0.95677164838231676</v>
      </c>
      <c r="L21" s="32">
        <f t="shared" si="14"/>
        <v>-0.15178436061954836</v>
      </c>
      <c r="M21" s="31">
        <f>M3-M5-M15-M17</f>
        <v>644737.81000000006</v>
      </c>
      <c r="N21" s="32">
        <f t="shared" si="15"/>
        <v>0.93204618080875512</v>
      </c>
      <c r="O21" s="32">
        <f t="shared" si="16"/>
        <v>-0.28541667966647333</v>
      </c>
      <c r="P21" s="31">
        <f>P3-P5-P15-P17</f>
        <v>982703.44</v>
      </c>
      <c r="Q21" s="32">
        <f t="shared" si="17"/>
        <v>0.94844877099343994</v>
      </c>
      <c r="R21" s="32">
        <f t="shared" si="18"/>
        <v>0.52419080245968486</v>
      </c>
      <c r="S21" s="200">
        <f>S3-S5-S15-S17</f>
        <v>849900.05999999994</v>
      </c>
      <c r="T21" s="32">
        <f t="shared" si="54"/>
        <v>0.96175146709806469</v>
      </c>
      <c r="U21" s="32">
        <f t="shared" si="55"/>
        <v>-0.13514085185251823</v>
      </c>
    </row>
    <row r="22" spans="1:21" x14ac:dyDescent="0.3">
      <c r="A22" s="33" t="s">
        <v>1721</v>
      </c>
      <c r="B22" s="35">
        <f>B23+B28</f>
        <v>974240.77999999991</v>
      </c>
      <c r="C22" s="71">
        <f t="shared" si="0"/>
        <v>0.86744514903431891</v>
      </c>
      <c r="D22" s="35">
        <f>D23+D28</f>
        <v>962916.63999999966</v>
      </c>
      <c r="E22" s="36">
        <f t="shared" si="1"/>
        <v>0.97363595318106333</v>
      </c>
      <c r="F22" s="36">
        <f t="shared" si="12"/>
        <v>-1.1623553676330611E-2</v>
      </c>
      <c r="G22" s="35">
        <f>G23+G28</f>
        <v>952048.31999999937</v>
      </c>
      <c r="H22" s="36">
        <f t="shared" si="2"/>
        <v>0.87223593231576424</v>
      </c>
      <c r="I22" s="36">
        <f t="shared" si="3"/>
        <v>-1.1286875258485818E-2</v>
      </c>
      <c r="J22" s="35">
        <f>J23+J28</f>
        <v>958184.09</v>
      </c>
      <c r="K22" s="36">
        <f t="shared" si="13"/>
        <v>1.0160778592820354</v>
      </c>
      <c r="L22" s="36">
        <f t="shared" si="14"/>
        <v>6.4448094399247591E-3</v>
      </c>
      <c r="M22" s="35">
        <f>M23+M28</f>
        <v>726904.21999999986</v>
      </c>
      <c r="N22" s="36">
        <f t="shared" si="15"/>
        <v>1.0508276256743294</v>
      </c>
      <c r="O22" s="36">
        <f t="shared" si="16"/>
        <v>-0.24137310608027329</v>
      </c>
      <c r="P22" s="35">
        <f>P23+P28</f>
        <v>729867.19999999972</v>
      </c>
      <c r="Q22" s="36">
        <f t="shared" si="17"/>
        <v>0.70442579180187159</v>
      </c>
      <c r="R22" s="36">
        <f t="shared" si="18"/>
        <v>4.0761628815415563E-3</v>
      </c>
      <c r="S22" s="35">
        <f>S23+S28</f>
        <v>550438.57000000007</v>
      </c>
      <c r="T22" s="36">
        <f t="shared" si="54"/>
        <v>0.62287923858348815</v>
      </c>
      <c r="U22" s="36">
        <f t="shared" si="55"/>
        <v>-0.24583736603042272</v>
      </c>
    </row>
    <row r="23" spans="1:21" x14ac:dyDescent="0.3">
      <c r="A23" s="41" t="s">
        <v>1722</v>
      </c>
      <c r="B23" s="42">
        <f>SUM(B24:B27)</f>
        <v>965385.46</v>
      </c>
      <c r="C23" s="72">
        <f t="shared" si="0"/>
        <v>0.85956054336512644</v>
      </c>
      <c r="D23" s="42">
        <f>SUM(D24:D27)</f>
        <v>956175.12999999966</v>
      </c>
      <c r="E23" s="43">
        <f t="shared" si="1"/>
        <v>0.96681939581558918</v>
      </c>
      <c r="F23" s="43">
        <f t="shared" si="12"/>
        <v>-9.540572529443625E-3</v>
      </c>
      <c r="G23" s="42">
        <f>SUM(G24:G27)</f>
        <v>923865.01999999932</v>
      </c>
      <c r="H23" s="43">
        <f t="shared" si="2"/>
        <v>0.84641530280062061</v>
      </c>
      <c r="I23" s="43">
        <f t="shared" si="3"/>
        <v>-3.3790996007185825E-2</v>
      </c>
      <c r="J23" s="42">
        <f>SUM(J24:J27)</f>
        <v>942086.27999999991</v>
      </c>
      <c r="K23" s="43">
        <f t="shared" si="13"/>
        <v>0.99900741478746125</v>
      </c>
      <c r="L23" s="43">
        <f t="shared" si="14"/>
        <v>1.9722859514694768E-2</v>
      </c>
      <c r="M23" s="42">
        <f>SUM(M24:M27)</f>
        <v>706911.0399999998</v>
      </c>
      <c r="N23" s="43">
        <f t="shared" si="15"/>
        <v>1.0219250752543034</v>
      </c>
      <c r="O23" s="43">
        <f t="shared" si="16"/>
        <v>-0.2496323797433927</v>
      </c>
      <c r="P23" s="42">
        <f>SUM(P24:P27)</f>
        <v>709376.57999999973</v>
      </c>
      <c r="Q23" s="43">
        <f t="shared" si="17"/>
        <v>0.68464942533683348</v>
      </c>
      <c r="R23" s="43">
        <f t="shared" si="18"/>
        <v>3.4877655892882053E-3</v>
      </c>
      <c r="S23" s="42">
        <f>SUM(S24:S27)</f>
        <v>543436.78</v>
      </c>
      <c r="T23" s="43">
        <f t="shared" si="54"/>
        <v>0.61495597545910075</v>
      </c>
      <c r="U23" s="43">
        <f t="shared" si="55"/>
        <v>-0.23392342611592809</v>
      </c>
    </row>
    <row r="24" spans="1:21" x14ac:dyDescent="0.3">
      <c r="A24" s="38" t="s">
        <v>1723</v>
      </c>
      <c r="B24" s="39">
        <f>SUMIFS('C.Pagar'!G$2:G$4509,'C.Pagar'!D$2:D$4509,TRIM(A24),'C.Pagar'!K$2:K$4509,"&gt;=01/10/2025",'C.Pagar'!K$2:K$4509,"&lt;=31/10/2025")</f>
        <v>927006.13</v>
      </c>
      <c r="C24" s="70">
        <f>B24/B$3</f>
        <v>0.82538833017601387</v>
      </c>
      <c r="D24" s="39">
        <f>SUMIFS('C.Pagar'!G$2:G$4509,'C.Pagar'!D$2:D$4509,TRIM(A24),'C.Pagar'!K$2:K$4509,"&gt;=01/11/2025",'C.Pagar'!K$2:K$4509,"&lt;=30/11/2025")</f>
        <v>905795.47999999963</v>
      </c>
      <c r="E24" s="40">
        <f>D24/D$3</f>
        <v>0.91587891300424384</v>
      </c>
      <c r="F24" s="40">
        <f>IFERROR(D24/B24-1,0)</f>
        <v>-2.2880808781707174E-2</v>
      </c>
      <c r="G24" s="39">
        <f>SUMIFS('C.Pagar'!G$2:G$4509,'C.Pagar'!D$2:D$4509,TRIM(A24),'C.Pagar'!K$2:K$4509,"&gt;=01/12/2025",'C.Pagar'!K$2:K$4509,"&lt;=31/12/2025")</f>
        <v>871295.9799999994</v>
      </c>
      <c r="H24" s="40">
        <f>G24/G$3</f>
        <v>0.79825324563177369</v>
      </c>
      <c r="I24" s="40">
        <f>IFERROR(G24/D24-1,0)</f>
        <v>-3.8087516179701186E-2</v>
      </c>
      <c r="J24" s="39">
        <f>SUMIFS('C.Pagar'!G$2:G$4509,'C.Pagar'!D$2:D$4509,TRIM(A24),'C.Pagar'!K$2:K$4509,"&gt;=01/01/2026",'C.Pagar'!K$2:K$4509,"&lt;=31/01/2026")</f>
        <v>890437.47999999986</v>
      </c>
      <c r="K24" s="40">
        <f>J24/J$3</f>
        <v>0.94423797884484817</v>
      </c>
      <c r="L24" s="40">
        <f>IFERROR(J24/G24-1,0)</f>
        <v>2.1968998410850649E-2</v>
      </c>
      <c r="M24" s="39">
        <f>SUMIFS('C.Pagar'!$G$2:$G$4509,'C.Pagar'!$D$2:$D$4509,TRIM($A24),'C.Pagar'!$K$2:$K$4509,"&gt;=01/02/2026",'C.Pagar'!$K$2:$K$4509,"&lt;=28/02/2026")-9945</f>
        <v>653379.95999999985</v>
      </c>
      <c r="N24" s="40">
        <f>M24/M$3</f>
        <v>0.94453944981910853</v>
      </c>
      <c r="O24" s="40">
        <f>IFERROR(M24/J24-1,0)</f>
        <v>-0.26622590055396145</v>
      </c>
      <c r="P24" s="39">
        <f>SUMIFS('C.Pagar'!$G$2:$G$4509,'C.Pagar'!$D$2:$D$4509,TRIM($A24),'C.Pagar'!$K$2:$K$4509,"&gt;=01/03/2026",'C.Pagar'!$K$2:$K$4509,"&lt;=31/03/2026")</f>
        <v>664545.34999999974</v>
      </c>
      <c r="Q24" s="40">
        <f>P24/P$3</f>
        <v>0.64138090376167323</v>
      </c>
      <c r="R24" s="40">
        <f>IFERROR(P24/M24-1,0)</f>
        <v>1.7088663080514266E-2</v>
      </c>
      <c r="S24" s="39">
        <f>SUMIFS('C.Pagar'!$G$2:$G$4509,'C.Pagar'!$D$2:$D$4509,TRIM($A24),'C.Pagar'!$K$2:$K$4509,"&gt;=01/04/2026",'C.Pagar'!$K$2:$K$4509,"&lt;=30/04/2026")</f>
        <v>503459.83000000007</v>
      </c>
      <c r="T24" s="40">
        <f>S24/S$3</f>
        <v>0.5697178443868357</v>
      </c>
      <c r="U24" s="40">
        <f>IFERROR(S24/P24-1,0)</f>
        <v>-0.24239958943358753</v>
      </c>
    </row>
    <row r="25" spans="1:21" x14ac:dyDescent="0.3">
      <c r="A25" s="38" t="s">
        <v>1724</v>
      </c>
      <c r="B25" s="39">
        <f>SUMIFS('C.Pagar'!G$2:G$4509,'C.Pagar'!D$2:D$4509,TRIM(A25),'C.Pagar'!K$2:K$4509,"&gt;=01/10/2025",'C.Pagar'!K$2:K$4509,"&lt;=31/10/2025")</f>
        <v>33789.33</v>
      </c>
      <c r="C25" s="70">
        <f t="shared" ref="C25" si="61">B25/B$3</f>
        <v>3.0085365958115395E-2</v>
      </c>
      <c r="D25" s="39">
        <f>SUMIFS('C.Pagar'!G$2:G$4509,'C.Pagar'!D$2:D$4509,TRIM(A25),'C.Pagar'!K$2:K$4509,"&gt;=01/11/2025",'C.Pagar'!K$2:K$4509,"&lt;=30/11/2025")</f>
        <v>34294.03</v>
      </c>
      <c r="E25" s="40">
        <f t="shared" ref="E25" si="62">D25/D$3</f>
        <v>3.4675795598952362E-2</v>
      </c>
      <c r="F25" s="40">
        <f t="shared" ref="F25" si="63">IFERROR(D25/B25-1,0)</f>
        <v>1.4936667877107901E-2</v>
      </c>
      <c r="G25" s="39">
        <f>SUMIFS('C.Pagar'!G$2:G$4509,'C.Pagar'!D$2:D$4509,TRIM(A25),'C.Pagar'!K$2:K$4509,"&gt;=01/12/2025",'C.Pagar'!K$2:K$4509,"&lt;=31/12/2025")</f>
        <v>35859.96</v>
      </c>
      <c r="H25" s="40">
        <f t="shared" ref="H25" si="64">G25/G$3</f>
        <v>3.2853737553369178E-2</v>
      </c>
      <c r="I25" s="40">
        <f t="shared" ref="I25" si="65">IFERROR(G25/D25-1,0)</f>
        <v>4.5661883424024552E-2</v>
      </c>
      <c r="J25" s="39">
        <f>SUMIFS('C.Pagar'!G$2:G$4509,'C.Pagar'!D$2:D$4509,TRIM(A25),'C.Pagar'!K$2:K$4509,"&gt;=01/01/2026",'C.Pagar'!K$2:K$4509,"&lt;=31/01/2026")</f>
        <v>39246.900000000009</v>
      </c>
      <c r="K25" s="40">
        <f t="shared" ref="K25:K50" si="66">J25/J$3</f>
        <v>4.1618209435575287E-2</v>
      </c>
      <c r="L25" s="40">
        <f t="shared" ref="L25:L99" si="67">IFERROR(J25/G25-1,0)</f>
        <v>9.444907356282628E-2</v>
      </c>
      <c r="M25" s="39">
        <f>SUMIFS('C.Pagar'!$G$2:$G$4509,'C.Pagar'!$D$2:$D$4509,TRIM($A25),'C.Pagar'!$K$2:$K$4509,"&gt;=01/02/2026",'C.Pagar'!$K$2:$K$4509,"&lt;=28/02/2026")</f>
        <v>39493.58</v>
      </c>
      <c r="N25" s="40">
        <f t="shared" ref="N25:N50" si="68">M25/M$3</f>
        <v>5.7092727981107594E-2</v>
      </c>
      <c r="O25" s="40">
        <f t="shared" ref="O25:O99" si="69">IFERROR(M25/J25-1,0)</f>
        <v>6.2853371858666574E-3</v>
      </c>
      <c r="P25" s="39">
        <f>SUMIFS('C.Pagar'!$G$2:$G$4509,'C.Pagar'!$D$2:$D$4509,TRIM($A25),'C.Pagar'!$K$2:$K$4509,"&gt;=01/03/2026",'C.Pagar'!$K$2:$K$4509,"&lt;=31/03/2026")</f>
        <v>36318.729999999996</v>
      </c>
      <c r="Q25" s="40">
        <f t="shared" ref="Q25" si="70">P25/P$3</f>
        <v>3.5052746770218468E-2</v>
      </c>
      <c r="R25" s="40">
        <f t="shared" ref="R25" si="71">IFERROR(P25/M25-1,0)</f>
        <v>-8.0389015126002938E-2</v>
      </c>
      <c r="S25" s="39">
        <f>SUMIFS('C.Pagar'!$G$2:$G$4509,'C.Pagar'!$D$2:$D$4509,TRIM($A25),'C.Pagar'!$K$2:$K$4509,"&gt;=01/04/2026",'C.Pagar'!$K$2:$K$4509,"&lt;=30/04/2026")</f>
        <v>21564.450000000004</v>
      </c>
      <c r="T25" s="40">
        <f t="shared" ref="T25" si="72">S25/S$3</f>
        <v>2.4402447300289478E-2</v>
      </c>
      <c r="U25" s="40">
        <f t="shared" ref="U25" si="73">IFERROR(S25/P25-1,0)</f>
        <v>-0.40624438134262941</v>
      </c>
    </row>
    <row r="26" spans="1:21" x14ac:dyDescent="0.3">
      <c r="A26" s="38" t="s">
        <v>1725</v>
      </c>
      <c r="B26" s="39">
        <f>SUMIFS('C.Pagar'!G$2:G$4509,'C.Pagar'!D$2:D$4509,TRIM(A26),'C.Pagar'!K$2:K$4509,"&gt;=01/10/2025",'C.Pagar'!K$2:K$4509,"&lt;=31/10/2025")</f>
        <v>4590</v>
      </c>
      <c r="C26" s="70">
        <f>B26/B$3</f>
        <v>4.0868472309971713E-3</v>
      </c>
      <c r="D26" s="39">
        <f>SUMIFS('C.Pagar'!G$2:G$4509,'C.Pagar'!D$2:D$4509,TRIM(A26),'C.Pagar'!K$2:K$4509,"&gt;=01/11/2025",'C.Pagar'!K$2:K$4509,"&lt;=30/11/2025")</f>
        <v>13312.5</v>
      </c>
      <c r="E26" s="40">
        <f>D26/D$3</f>
        <v>1.3460696480146932E-2</v>
      </c>
      <c r="F26" s="40">
        <f>IFERROR(D26/B26-1,0)</f>
        <v>1.9003267973856208</v>
      </c>
      <c r="G26" s="39">
        <f>SUMIFS('C.Pagar'!G$2:G$4509,'C.Pagar'!D$2:D$4509,TRIM(A26),'C.Pagar'!K$2:K$4509,"&gt;=01/12/2025",'C.Pagar'!K$2:K$4509,"&lt;=31/12/2025")</f>
        <v>15240</v>
      </c>
      <c r="H26" s="40">
        <f>G26/G$3</f>
        <v>1.3962395951176361E-2</v>
      </c>
      <c r="I26" s="40">
        <f>IFERROR(G26/D26-1,0)</f>
        <v>0.14478873239436618</v>
      </c>
      <c r="J26" s="39">
        <f>SUMIFS('C.Pagar'!G$2:G$4509,'C.Pagar'!D$2:D$4509,TRIM(A26),'C.Pagar'!K$2:K$4509,"&gt;=01/01/2026",'C.Pagar'!K$2:K$4509,"&lt;=31/01/2026")</f>
        <v>12222.5</v>
      </c>
      <c r="K26" s="40">
        <f>J26/J$3</f>
        <v>1.2960987105384601E-2</v>
      </c>
      <c r="L26" s="40">
        <f>IFERROR(J26/G26-1,0)</f>
        <v>-0.19799868766404205</v>
      </c>
      <c r="M26" s="39">
        <f>SUMIFS('C.Pagar'!$G$2:$G$4509,'C.Pagar'!$D$2:$D$4509,TRIM($A26),'C.Pagar'!$K$2:$K$4509,"&gt;=01/02/2026",'C.Pagar'!$K$2:$K$4509,"&lt;=28/02/2026")</f>
        <v>14037.5</v>
      </c>
      <c r="N26" s="40">
        <f>M26/M$3</f>
        <v>2.0292897454087418E-2</v>
      </c>
      <c r="O26" s="40">
        <f>IFERROR(M26/J26-1,0)</f>
        <v>0.1484966250767028</v>
      </c>
      <c r="P26" s="39">
        <f>SUMIFS('C.Pagar'!$G$2:$G$4509,'C.Pagar'!$D$2:$D$4509,TRIM($A26),'C.Pagar'!$K$2:$K$4509,"&gt;=01/03/2026",'C.Pagar'!$K$2:$K$4509,"&lt;=31/03/2026")</f>
        <v>8512.5</v>
      </c>
      <c r="Q26" s="40">
        <f>P26/P$3</f>
        <v>8.2157748049418219E-3</v>
      </c>
      <c r="R26" s="40">
        <f>IFERROR(P26/M26-1,0)</f>
        <v>-0.39358860195903833</v>
      </c>
      <c r="S26" s="39">
        <f>SUMIFS('C.Pagar'!$G$2:$G$4509,'C.Pagar'!$D$2:$D$4509,TRIM($A26),'C.Pagar'!$K$2:$K$4509,"&gt;=01/04/2026",'C.Pagar'!$K$2:$K$4509,"&lt;=30/04/2026")</f>
        <v>18412.5</v>
      </c>
      <c r="T26" s="40">
        <f>S26/S$3</f>
        <v>2.0835683771975633E-2</v>
      </c>
      <c r="U26" s="40">
        <f>IFERROR(S26/P26-1,0)</f>
        <v>1.1629955947136565</v>
      </c>
    </row>
    <row r="27" spans="1:21" x14ac:dyDescent="0.3">
      <c r="A27" s="38" t="s">
        <v>1726</v>
      </c>
      <c r="B27" s="39">
        <f>SUMIFS('C.Pagar'!G$2:G$4509,'C.Pagar'!D$2:D$4509,TRIM(A27),'C.Pagar'!K$2:K$4509,"&gt;=01/10/2025",'C.Pagar'!K$2:K$4509,"&lt;=31/10/2025")</f>
        <v>0</v>
      </c>
      <c r="C27" s="70">
        <f t="shared" si="0"/>
        <v>0</v>
      </c>
      <c r="D27" s="39">
        <f>SUMIFS('C.Pagar'!G$2:G$4509,'C.Pagar'!D$2:D$4509,TRIM(A27),'C.Pagar'!K$2:K$4509,"&gt;=01/11/2025",'C.Pagar'!K$2:K$4509,"&lt;=30/11/2025")</f>
        <v>2773.12</v>
      </c>
      <c r="E27" s="40">
        <f t="shared" si="1"/>
        <v>2.803990732246014E-3</v>
      </c>
      <c r="F27" s="40">
        <f t="shared" si="12"/>
        <v>0</v>
      </c>
      <c r="G27" s="39">
        <f>SUMIFS('C.Pagar'!G$2:G$4509,'C.Pagar'!D$2:D$4509,TRIM(A27),'C.Pagar'!K$2:K$4509,"&gt;=01/12/2025",'C.Pagar'!K$2:K$4509,"&lt;=31/12/2025")</f>
        <v>1469.08</v>
      </c>
      <c r="H27" s="40">
        <f t="shared" si="2"/>
        <v>1.3459236643014545E-3</v>
      </c>
      <c r="I27" s="40">
        <f t="shared" si="3"/>
        <v>-0.47024290330025387</v>
      </c>
      <c r="J27" s="39">
        <f>SUMIFS('C.Pagar'!G$2:G$4509,'C.Pagar'!D$2:D$4509,TRIM(A27),'C.Pagar'!K$2:K$4509,"&gt;=01/01/2026",'C.Pagar'!K$2:K$4509,"&lt;=31/01/2026")</f>
        <v>179.4</v>
      </c>
      <c r="K27" s="40">
        <f t="shared" si="66"/>
        <v>1.9023940165318039E-4</v>
      </c>
      <c r="L27" s="40">
        <f t="shared" si="67"/>
        <v>-0.87788275655512293</v>
      </c>
      <c r="M27" s="39">
        <f>SUMIFS('C.Pagar'!$G$2:$G$4509,'C.Pagar'!$D$2:$D$4509,TRIM($A27),'C.Pagar'!$K$2:$K$4509,"&gt;=01/02/2026",'C.Pagar'!$K$2:$K$4509,"&lt;=28/02/2026")</f>
        <v>0</v>
      </c>
      <c r="N27" s="40">
        <f t="shared" si="68"/>
        <v>0</v>
      </c>
      <c r="O27" s="40">
        <f t="shared" si="69"/>
        <v>-1</v>
      </c>
      <c r="P27" s="39">
        <f>SUMIFS('C.Pagar'!$G$2:$G$4509,'C.Pagar'!$D$2:$D$4509,TRIM($A27),'C.Pagar'!$K$2:$K$4509,"&gt;=01/03/2026",'C.Pagar'!$K$2:$K$4509,"&lt;=31/03/2026")</f>
        <v>0</v>
      </c>
      <c r="Q27" s="40">
        <f t="shared" ref="Q27:Q50" si="74">P27/P$3</f>
        <v>0</v>
      </c>
      <c r="R27" s="40">
        <f t="shared" ref="R27:R88" si="75">IFERROR(P27/M27-1,0)</f>
        <v>0</v>
      </c>
      <c r="S27" s="39">
        <f>SUMIFS('C.Pagar'!$G$2:$G$4509,'C.Pagar'!$D$2:$D$4509,TRIM($A27),'C.Pagar'!$K$2:$K$4509,"&gt;=01/04/2026",'C.Pagar'!$K$2:$K$4509,"&lt;=30/04/2026")</f>
        <v>0</v>
      </c>
      <c r="T27" s="40">
        <f t="shared" ref="T27:T50" si="76">S27/S$3</f>
        <v>0</v>
      </c>
      <c r="U27" s="40">
        <f t="shared" ref="U27:U88" si="77">IFERROR(S27/P27-1,0)</f>
        <v>0</v>
      </c>
    </row>
    <row r="28" spans="1:21" x14ac:dyDescent="0.3">
      <c r="A28" s="41" t="s">
        <v>1681</v>
      </c>
      <c r="B28" s="42">
        <f>SUM(B29:B34)</f>
        <v>8855.32</v>
      </c>
      <c r="C28" s="72">
        <f t="shared" si="0"/>
        <v>7.8846056691925636E-3</v>
      </c>
      <c r="D28" s="42">
        <f>SUM(D29:D34)</f>
        <v>6741.51</v>
      </c>
      <c r="E28" s="43">
        <f t="shared" si="1"/>
        <v>6.8165573654742047E-3</v>
      </c>
      <c r="F28" s="43">
        <f t="shared" si="12"/>
        <v>-0.23870509479047619</v>
      </c>
      <c r="G28" s="42">
        <f>SUM(G29:G34)</f>
        <v>28183.3</v>
      </c>
      <c r="H28" s="43">
        <f t="shared" si="2"/>
        <v>2.5820629515143616E-2</v>
      </c>
      <c r="I28" s="43">
        <f t="shared" si="3"/>
        <v>3.1805619215872998</v>
      </c>
      <c r="J28" s="42">
        <f>SUM(J29:J34)</f>
        <v>16097.81</v>
      </c>
      <c r="K28" s="43">
        <f t="shared" si="66"/>
        <v>1.7070444494574046E-2</v>
      </c>
      <c r="L28" s="43">
        <f t="shared" si="67"/>
        <v>-0.42881742024532254</v>
      </c>
      <c r="M28" s="42">
        <f>SUM(M29:M34)</f>
        <v>19993.18</v>
      </c>
      <c r="N28" s="43">
        <f t="shared" si="68"/>
        <v>2.8902550420025753E-2</v>
      </c>
      <c r="O28" s="43">
        <f t="shared" si="69"/>
        <v>0.24198136268225312</v>
      </c>
      <c r="P28" s="42">
        <f>SUM(P29:P34)</f>
        <v>20490.62</v>
      </c>
      <c r="Q28" s="43">
        <f t="shared" si="74"/>
        <v>1.9776366465038119E-2</v>
      </c>
      <c r="R28" s="43">
        <f t="shared" si="75"/>
        <v>2.4880484245127565E-2</v>
      </c>
      <c r="S28" s="42">
        <f>SUM(S29:S34)</f>
        <v>7001.79</v>
      </c>
      <c r="T28" s="43">
        <f t="shared" si="76"/>
        <v>7.9232631243873058E-3</v>
      </c>
      <c r="U28" s="43">
        <f t="shared" si="77"/>
        <v>-0.65829291646616839</v>
      </c>
    </row>
    <row r="29" spans="1:21" x14ac:dyDescent="0.3">
      <c r="A29" s="38" t="s">
        <v>967</v>
      </c>
      <c r="B29" s="39">
        <f>SUMIFS('C.Pagar'!G$2:G$4509,'C.Pagar'!D$2:D$4509,TRIM(A29),'C.Pagar'!K$2:K$4509,"&gt;=01/10/2025",'C.Pagar'!K$2:K$4509,"&lt;=31/10/2025")</f>
        <v>4496.71</v>
      </c>
      <c r="C29" s="70">
        <f t="shared" ref="C29:C34" si="78">B29/B$3</f>
        <v>4.0037836191933098E-3</v>
      </c>
      <c r="D29" s="39">
        <f>SUMIFS('C.Pagar'!G$2:G$4509,'C.Pagar'!D$2:D$4509,TRIM(A29),'C.Pagar'!K$2:K$4509,"&gt;=01/11/2025",'C.Pagar'!K$2:K$4509,"&lt;=30/11/2025")</f>
        <v>2648.11</v>
      </c>
      <c r="E29" s="40">
        <f t="shared" ref="E29:E34" si="79">D29/D$3</f>
        <v>2.6775891046792034E-3</v>
      </c>
      <c r="F29" s="40">
        <f>IFERROR(D29/B29-1,0)</f>
        <v>-0.41110056018733698</v>
      </c>
      <c r="G29" s="39">
        <f>SUMIFS('C.Pagar'!G$2:G$4509,'C.Pagar'!D$2:D$4509,TRIM(A29),'C.Pagar'!K$2:K$4509,"&gt;=01/12/2025",'C.Pagar'!K$2:K$4509,"&lt;=31/12/2025")</f>
        <v>35</v>
      </c>
      <c r="H29" s="40">
        <f t="shared" ref="H29:H34" si="80">G29/G$3</f>
        <v>3.2065869966612379E-5</v>
      </c>
      <c r="I29" s="40">
        <f t="shared" ref="I29:I34" si="81">IFERROR(G29/D29-1,0)</f>
        <v>-0.9867830263848556</v>
      </c>
      <c r="J29" s="39">
        <f>SUMIFS('C.Pagar'!G$2:G$4509,'C.Pagar'!D$2:D$4509,TRIM(A29),'C.Pagar'!K$2:K$4509,"&gt;=01/01/2026",'C.Pagar'!K$2:K$4509,"&lt;=31/01/2026")</f>
        <v>7050.86</v>
      </c>
      <c r="K29" s="40">
        <f t="shared" si="66"/>
        <v>7.4768750699015802E-3</v>
      </c>
      <c r="L29" s="40">
        <f t="shared" si="67"/>
        <v>200.45314285714284</v>
      </c>
      <c r="M29" s="39">
        <f>SUMIFS('C.Pagar'!$G$2:$G$4509,'C.Pagar'!$D$2:$D$4509,TRIM($A29),'C.Pagar'!$K$2:$K$4509,"&gt;=01/02/2026",'C.Pagar'!$K$2:$K$4509,"&lt;=28/02/2026")</f>
        <v>6139.24</v>
      </c>
      <c r="N29" s="40">
        <f t="shared" si="68"/>
        <v>8.8750110608036784E-3</v>
      </c>
      <c r="O29" s="40">
        <f t="shared" si="69"/>
        <v>-0.12929202962475494</v>
      </c>
      <c r="P29" s="39">
        <f>SUMIFS('C.Pagar'!$G$2:$G$4509,'C.Pagar'!$D$2:$D$4509,TRIM($A29),'C.Pagar'!$K$2:$K$4509,"&gt;=01/03/2026",'C.Pagar'!$K$2:$K$4509,"&lt;=31/03/2026")</f>
        <v>3535</v>
      </c>
      <c r="Q29" s="40">
        <f t="shared" si="74"/>
        <v>3.4117784358847977E-3</v>
      </c>
      <c r="R29" s="40">
        <f t="shared" si="75"/>
        <v>-0.42419582879965601</v>
      </c>
      <c r="S29" s="39">
        <f>SUMIFS('C.Pagar'!$G$2:$G$4509,'C.Pagar'!$D$2:$D$4509,TRIM($A29),'C.Pagar'!$K$2:$K$4509,"&gt;=01/04/2026",'C.Pagar'!$K$2:$K$4509,"&lt;=30/04/2026")</f>
        <v>2620.08</v>
      </c>
      <c r="T29" s="40">
        <f t="shared" si="76"/>
        <v>2.9648965831515503E-3</v>
      </c>
      <c r="U29" s="40">
        <f t="shared" si="77"/>
        <v>-0.25881753889674686</v>
      </c>
    </row>
    <row r="30" spans="1:21" x14ac:dyDescent="0.3">
      <c r="A30" s="38" t="s">
        <v>1683</v>
      </c>
      <c r="B30" s="39">
        <f>SUMIFS('C.Pagar'!G$2:G$4509,'C.Pagar'!D$2:D$4509,TRIM(A30),'C.Pagar'!K$2:K$4509,"&gt;=01/10/2025",'C.Pagar'!K$2:K$4509,"&lt;=31/10/2025")</f>
        <v>3949.6099999999997</v>
      </c>
      <c r="C30" s="70">
        <f t="shared" si="78"/>
        <v>3.516656359916936E-3</v>
      </c>
      <c r="D30" s="39">
        <f>SUMIFS('C.Pagar'!G$2:G$4509,'C.Pagar'!D$2:D$4509,TRIM(A30),'C.Pagar'!K$2:K$4509,"&gt;=01/11/2025",'C.Pagar'!K$2:K$4509,"&lt;=30/11/2025")</f>
        <v>4053.4</v>
      </c>
      <c r="E30" s="40">
        <f t="shared" si="79"/>
        <v>4.0985229755964372E-3</v>
      </c>
      <c r="F30" s="40">
        <f>IFERROR(D30/B30-1,0)</f>
        <v>2.6278543957504841E-2</v>
      </c>
      <c r="G30" s="39">
        <f>SUMIFS('C.Pagar'!G$2:G$4509,'C.Pagar'!D$2:D$4509,TRIM(A30),'C.Pagar'!K$2:K$4509,"&gt;=01/12/2025",'C.Pagar'!K$2:K$4509,"&lt;=31/12/2025")</f>
        <v>4449.3</v>
      </c>
      <c r="H30" s="40">
        <f t="shared" si="80"/>
        <v>4.0763050069270983E-3</v>
      </c>
      <c r="I30" s="40">
        <f t="shared" si="81"/>
        <v>9.7671090936004346E-2</v>
      </c>
      <c r="J30" s="39">
        <f>SUMIFS('C.Pagar'!G$2:G$4509,'C.Pagar'!D$2:D$4509,TRIM(A30),'C.Pagar'!K$2:K$4509,"&gt;=01/01/2026",'C.Pagar'!K$2:K$4509,"&lt;=31/01/2026")</f>
        <v>4422.55</v>
      </c>
      <c r="K30" s="40">
        <f t="shared" si="66"/>
        <v>4.6897617936525809E-3</v>
      </c>
      <c r="L30" s="40">
        <f t="shared" si="67"/>
        <v>-6.0121816915020831E-3</v>
      </c>
      <c r="M30" s="39">
        <f>SUMIFS('C.Pagar'!$G$2:$G$4509,'C.Pagar'!$D$2:$D$4509,TRIM($A30),'C.Pagar'!$K$2:$K$4509,"&gt;=01/02/2026",'C.Pagar'!$K$2:$K$4509,"&lt;=28/02/2026")</f>
        <v>4178.9399999999996</v>
      </c>
      <c r="N30" s="40">
        <f t="shared" si="68"/>
        <v>6.0411612385954817E-3</v>
      </c>
      <c r="O30" s="40">
        <f t="shared" si="69"/>
        <v>-5.508360561214698E-2</v>
      </c>
      <c r="P30" s="39">
        <f>SUMIFS('C.Pagar'!$G$2:$G$4509,'C.Pagar'!$D$2:$D$4509,TRIM($A30),'C.Pagar'!$K$2:$K$4509,"&gt;=01/03/2026",'C.Pagar'!$K$2:$K$4509,"&lt;=31/03/2026")</f>
        <v>3460.62</v>
      </c>
      <c r="Q30" s="40">
        <f t="shared" si="74"/>
        <v>3.3399911430810887E-3</v>
      </c>
      <c r="R30" s="40">
        <f t="shared" si="75"/>
        <v>-0.17189047940386792</v>
      </c>
      <c r="S30" s="39">
        <f>SUMIFS('C.Pagar'!$G$2:$G$4509,'C.Pagar'!$D$2:$D$4509,TRIM($A30),'C.Pagar'!$K$2:$K$4509,"&gt;=01/04/2026",'C.Pagar'!$K$2:$K$4509,"&lt;=30/04/2026")</f>
        <v>4088.71</v>
      </c>
      <c r="T30" s="40">
        <f t="shared" si="76"/>
        <v>4.6268061694671823E-3</v>
      </c>
      <c r="U30" s="40">
        <f t="shared" si="77"/>
        <v>0.18149637926151962</v>
      </c>
    </row>
    <row r="31" spans="1:21" x14ac:dyDescent="0.3">
      <c r="A31" s="38" t="s">
        <v>1684</v>
      </c>
      <c r="B31" s="39">
        <f>SUMIFS('C.Pagar'!G$2:G$4509,'C.Pagar'!D$2:D$4509,TRIM(A31),'C.Pagar'!K$2:K$4509,"&gt;=01/10/2025",'C.Pagar'!K$2:K$4509,"&lt;=31/10/2025")</f>
        <v>0</v>
      </c>
      <c r="C31" s="70">
        <f t="shared" si="78"/>
        <v>0</v>
      </c>
      <c r="D31" s="39">
        <f>SUMIFS('C.Pagar'!G$2:G$4509,'C.Pagar'!D$2:D$4509,TRIM(A31),'C.Pagar'!K$2:K$4509,"&gt;=01/11/2025",'C.Pagar'!K$2:K$4509,"&lt;=30/11/2025")</f>
        <v>0</v>
      </c>
      <c r="E31" s="40">
        <f t="shared" si="79"/>
        <v>0</v>
      </c>
      <c r="F31" s="40">
        <f t="shared" ref="F31:F34" si="82">IFERROR(D31/B31-1,0)</f>
        <v>0</v>
      </c>
      <c r="G31" s="39">
        <f>SUMIFS('C.Pagar'!G$2:G$4509,'C.Pagar'!D$2:D$4509,TRIM(A31),'C.Pagar'!K$2:K$4509,"&gt;=01/12/2025",'C.Pagar'!K$2:K$4509,"&lt;=31/12/2025")</f>
        <v>4000</v>
      </c>
      <c r="H31" s="40">
        <f t="shared" si="80"/>
        <v>3.6646708533271287E-3</v>
      </c>
      <c r="I31" s="40">
        <f t="shared" si="81"/>
        <v>0</v>
      </c>
      <c r="J31" s="39">
        <f>SUMIFS('C.Pagar'!G$2:G$4509,'C.Pagar'!D$2:D$4509,TRIM(A31),'C.Pagar'!K$2:K$4509,"&gt;=01/01/2026",'C.Pagar'!K$2:K$4509,"&lt;=31/01/2026")</f>
        <v>0</v>
      </c>
      <c r="K31" s="40">
        <f t="shared" si="66"/>
        <v>0</v>
      </c>
      <c r="L31" s="40">
        <f t="shared" si="67"/>
        <v>-1</v>
      </c>
      <c r="M31" s="39">
        <f>SUMIFS('C.Pagar'!$G$2:$G$4509,'C.Pagar'!$D$2:$D$4509,TRIM($A31),'C.Pagar'!$K$2:$K$4509,"&gt;=01/02/2026",'C.Pagar'!$K$2:$K$4509,"&lt;=28/02/2026")</f>
        <v>0</v>
      </c>
      <c r="N31" s="40">
        <f t="shared" si="68"/>
        <v>0</v>
      </c>
      <c r="O31" s="40">
        <f t="shared" si="69"/>
        <v>0</v>
      </c>
      <c r="P31" s="39">
        <f>SUMIFS('C.Pagar'!$G$2:$G$4509,'C.Pagar'!$D$2:$D$4509,TRIM($A31),'C.Pagar'!$K$2:$K$4509,"&gt;=01/03/2026",'C.Pagar'!$K$2:$K$4509,"&lt;=31/03/2026")</f>
        <v>1200</v>
      </c>
      <c r="Q31" s="40">
        <f t="shared" si="74"/>
        <v>1.1581708976129441E-3</v>
      </c>
      <c r="R31" s="40">
        <f t="shared" si="75"/>
        <v>0</v>
      </c>
      <c r="S31" s="39">
        <f>SUMIFS('C.Pagar'!$G$2:$G$4509,'C.Pagar'!$D$2:$D$4509,TRIM($A31),'C.Pagar'!$K$2:$K$4509,"&gt;=01/04/2026",'C.Pagar'!$K$2:$K$4509,"&lt;=30/04/2026")</f>
        <v>0</v>
      </c>
      <c r="T31" s="40">
        <f t="shared" si="76"/>
        <v>0</v>
      </c>
      <c r="U31" s="40">
        <f t="shared" si="77"/>
        <v>-1</v>
      </c>
    </row>
    <row r="32" spans="1:21" x14ac:dyDescent="0.3">
      <c r="A32" s="38" t="s">
        <v>1685</v>
      </c>
      <c r="B32" s="39">
        <f>SUMIFS('C.Pagar'!G$2:G$4509,'C.Pagar'!D$2:D$4509,TRIM(A32),'C.Pagar'!K$2:K$4509,"&gt;=01/10/2025",'C.Pagar'!K$2:K$4509,"&lt;=31/10/2025")</f>
        <v>0</v>
      </c>
      <c r="C32" s="70">
        <f t="shared" si="78"/>
        <v>0</v>
      </c>
      <c r="D32" s="39">
        <f>SUMIFS('C.Pagar'!G$2:G$4509,'C.Pagar'!D$2:D$4509,TRIM(A32),'C.Pagar'!K$2:K$4509,"&gt;=01/11/2025",'C.Pagar'!K$2:K$4509,"&lt;=30/11/2025")</f>
        <v>0</v>
      </c>
      <c r="E32" s="40">
        <f t="shared" si="79"/>
        <v>0</v>
      </c>
      <c r="F32" s="40">
        <f t="shared" si="82"/>
        <v>0</v>
      </c>
      <c r="G32" s="39">
        <f>SUMIFS('C.Pagar'!G$2:G$4509,'C.Pagar'!D$2:D$4509,TRIM(A32),'C.Pagar'!K$2:K$4509,"&gt;=01/12/2025",'C.Pagar'!K$2:K$4509,"&lt;=31/12/2025")</f>
        <v>19000</v>
      </c>
      <c r="H32" s="40">
        <f t="shared" si="80"/>
        <v>1.7407186553303863E-2</v>
      </c>
      <c r="I32" s="40">
        <f t="shared" si="81"/>
        <v>0</v>
      </c>
      <c r="J32" s="39">
        <f>SUMIFS('C.Pagar'!G$2:G$4509,'C.Pagar'!D$2:D$4509,TRIM(A32),'C.Pagar'!K$2:K$4509,"&gt;=01/01/2026",'C.Pagar'!K$2:K$4509,"&lt;=31/01/2026")</f>
        <v>4300</v>
      </c>
      <c r="K32" s="40">
        <f t="shared" si="66"/>
        <v>4.5598072860015366E-3</v>
      </c>
      <c r="L32" s="40">
        <f t="shared" si="67"/>
        <v>-0.77368421052631575</v>
      </c>
      <c r="M32" s="39">
        <f>SUMIFS('C.Pagar'!$G$2:$G$4509,'C.Pagar'!$D$2:$D$4509,TRIM($A32),'C.Pagar'!$K$2:$K$4509,"&gt;=01/02/2026",'C.Pagar'!$K$2:$K$4509,"&lt;=28/02/2026")</f>
        <v>6600</v>
      </c>
      <c r="N32" s="40">
        <f t="shared" si="68"/>
        <v>9.5410951520553487E-3</v>
      </c>
      <c r="O32" s="40">
        <f t="shared" si="69"/>
        <v>0.53488372093023262</v>
      </c>
      <c r="P32" s="39">
        <f>SUMIFS('C.Pagar'!$G$2:$G$4509,'C.Pagar'!$D$2:$D$4509,TRIM($A32),'C.Pagar'!$K$2:$K$4509,"&gt;=01/03/2026",'C.Pagar'!$K$2:$K$4509,"&lt;=31/03/2026")</f>
        <v>10000</v>
      </c>
      <c r="Q32" s="40">
        <f t="shared" si="74"/>
        <v>9.651424146774534E-3</v>
      </c>
      <c r="R32" s="40">
        <f t="shared" si="75"/>
        <v>0.51515151515151514</v>
      </c>
      <c r="S32" s="39">
        <f>SUMIFS('C.Pagar'!$G$2:$G$4509,'C.Pagar'!$D$2:$D$4509,TRIM($A32),'C.Pagar'!$K$2:$K$4509,"&gt;=01/04/2026",'C.Pagar'!$K$2:$K$4509,"&lt;=30/04/2026")</f>
        <v>0</v>
      </c>
      <c r="T32" s="40">
        <f t="shared" si="76"/>
        <v>0</v>
      </c>
      <c r="U32" s="40">
        <f t="shared" si="77"/>
        <v>-1</v>
      </c>
    </row>
    <row r="33" spans="1:21" x14ac:dyDescent="0.3">
      <c r="A33" s="38" t="s">
        <v>1686</v>
      </c>
      <c r="B33" s="39">
        <f>SUMIFS('C.Pagar'!G$2:G$4509,'C.Pagar'!D$2:D$4509,TRIM(A33),'C.Pagar'!K$2:K$4509,"&gt;=01/10/2025",'C.Pagar'!K$2:K$4509,"&lt;=31/10/2025")</f>
        <v>0</v>
      </c>
      <c r="C33" s="70">
        <f t="shared" ref="C33" si="83">B33/B$3</f>
        <v>0</v>
      </c>
      <c r="D33" s="39">
        <f>SUMIFS('C.Pagar'!G$2:G$4509,'C.Pagar'!D$2:D$4509,TRIM(A33),'C.Pagar'!K$2:K$4509,"&gt;=01/11/2025",'C.Pagar'!K$2:K$4509,"&lt;=30/11/2025")</f>
        <v>0</v>
      </c>
      <c r="E33" s="40">
        <f t="shared" ref="E33" si="84">D33/D$3</f>
        <v>0</v>
      </c>
      <c r="F33" s="40">
        <f t="shared" ref="F33" si="85">IFERROR(D33/B33-1,0)</f>
        <v>0</v>
      </c>
      <c r="G33" s="39">
        <f>SUMIFS('C.Pagar'!G$2:G$4509,'C.Pagar'!D$2:D$4509,TRIM(A33),'C.Pagar'!K$2:K$4509,"&gt;=01/12/2025",'C.Pagar'!K$2:K$4509,"&lt;=31/12/2025")</f>
        <v>0</v>
      </c>
      <c r="H33" s="40">
        <f t="shared" ref="H33" si="86">G33/G$3</f>
        <v>0</v>
      </c>
      <c r="I33" s="40">
        <f t="shared" ref="I33" si="87">IFERROR(G33/D33-1,0)</f>
        <v>0</v>
      </c>
      <c r="J33" s="39">
        <f>SUMIFS('C.Pagar'!G$2:G$4509,'C.Pagar'!D$2:D$4509,TRIM(A33),'C.Pagar'!K$2:K$4509,"&gt;=01/01/2026",'C.Pagar'!K$2:K$4509,"&lt;=31/01/2026")</f>
        <v>0</v>
      </c>
      <c r="K33" s="40">
        <f t="shared" ref="K33" si="88">J33/J$3</f>
        <v>0</v>
      </c>
      <c r="L33" s="40">
        <f t="shared" ref="L33" si="89">IFERROR(J33/G33-1,0)</f>
        <v>0</v>
      </c>
      <c r="M33" s="39">
        <f>SUMIFS('C.Pagar'!$G$2:$G$4509,'C.Pagar'!$D$2:$D$4509,TRIM($A33),'C.Pagar'!$K$2:$K$4509,"&gt;=01/02/2026",'C.Pagar'!$K$2:$K$4509,"&lt;=28/02/2026")</f>
        <v>0</v>
      </c>
      <c r="N33" s="40">
        <f t="shared" ref="N33" si="90">M33/M$3</f>
        <v>0</v>
      </c>
      <c r="O33" s="40">
        <f t="shared" ref="O33" si="91">IFERROR(M33/J33-1,0)</f>
        <v>0</v>
      </c>
      <c r="P33" s="39">
        <f>SUMIFS('C.Pagar'!$G$2:$G$4509,'C.Pagar'!$D$2:$D$4509,TRIM($A33),'C.Pagar'!$K$2:$K$4509,"&gt;=01/03/2026",'C.Pagar'!$K$2:$K$4509,"&lt;=31/03/2026")</f>
        <v>2000</v>
      </c>
      <c r="Q33" s="40">
        <f t="shared" ref="Q33" si="92">P33/P$3</f>
        <v>1.9302848293549068E-3</v>
      </c>
      <c r="R33" s="40">
        <f t="shared" ref="R33" si="93">IFERROR(P33/M33-1,0)</f>
        <v>0</v>
      </c>
      <c r="S33" s="39">
        <f>SUMIFS('C.Pagar'!$G$2:$G$4509,'C.Pagar'!$D$2:$D$4509,TRIM($A33),'C.Pagar'!$K$2:$K$4509,"&gt;=01/04/2026",'C.Pagar'!$K$2:$K$4509,"&lt;=30/04/2026")</f>
        <v>0</v>
      </c>
      <c r="T33" s="40">
        <f t="shared" si="76"/>
        <v>0</v>
      </c>
      <c r="U33" s="40">
        <f t="shared" si="77"/>
        <v>-1</v>
      </c>
    </row>
    <row r="34" spans="1:21" x14ac:dyDescent="0.3">
      <c r="A34" s="38" t="s">
        <v>1687</v>
      </c>
      <c r="B34" s="39">
        <f>SUMIFS('C.Pagar'!G$2:G$4509,'C.Pagar'!D$2:D$4509,TRIM(A34),'C.Pagar'!K$2:K$4509,"&gt;=01/10/2025",'C.Pagar'!K$2:K$4509,"&lt;=31/10/2025")</f>
        <v>409</v>
      </c>
      <c r="C34" s="70">
        <f t="shared" si="78"/>
        <v>3.6416569008231877E-4</v>
      </c>
      <c r="D34" s="39">
        <f>SUMIFS('C.Pagar'!G$2:G$4509,'C.Pagar'!D$2:D$4509,TRIM(A34),'C.Pagar'!K$2:K$4509,"&gt;=01/11/2025",'C.Pagar'!K$2:K$4509,"&lt;=30/11/2025")</f>
        <v>40</v>
      </c>
      <c r="E34" s="40">
        <f t="shared" si="79"/>
        <v>4.0445285198563553E-5</v>
      </c>
      <c r="F34" s="40">
        <f t="shared" si="82"/>
        <v>-0.90220048899755501</v>
      </c>
      <c r="G34" s="39">
        <f>SUMIFS('C.Pagar'!G$2:G$4509,'C.Pagar'!D$2:D$4509,TRIM(A34),'C.Pagar'!K$2:K$4509,"&gt;=01/12/2025",'C.Pagar'!K$2:K$4509,"&lt;=31/12/2025")</f>
        <v>699</v>
      </c>
      <c r="H34" s="40">
        <f t="shared" si="80"/>
        <v>6.4040123161891575E-4</v>
      </c>
      <c r="I34" s="40">
        <f t="shared" si="81"/>
        <v>16.475000000000001</v>
      </c>
      <c r="J34" s="39">
        <f>SUMIFS('C.Pagar'!G$2:G$4509,'C.Pagar'!D$2:D$4509,TRIM(A34),'C.Pagar'!K$2:K$4509,"&gt;=01/01/2026",'C.Pagar'!K$2:K$4509,"&lt;=31/01/2026")</f>
        <v>324.39999999999998</v>
      </c>
      <c r="K34" s="40">
        <f t="shared" si="66"/>
        <v>3.4400034501834849E-4</v>
      </c>
      <c r="L34" s="40">
        <f t="shared" si="67"/>
        <v>-0.53590844062947074</v>
      </c>
      <c r="M34" s="39">
        <f>SUMIFS('C.Pagar'!$G$2:$G$4509,'C.Pagar'!$D$2:$D$4509,TRIM($A34),'C.Pagar'!$K$2:$K$4509,"&gt;=01/02/2026",'C.Pagar'!$K$2:$K$4509,"&lt;=28/02/2026")</f>
        <v>3075</v>
      </c>
      <c r="N34" s="40">
        <f t="shared" si="68"/>
        <v>4.4452829685712424E-3</v>
      </c>
      <c r="O34" s="40">
        <f t="shared" si="69"/>
        <v>8.4790382244143032</v>
      </c>
      <c r="P34" s="39">
        <f>SUMIFS('C.Pagar'!$G$2:$G$4509,'C.Pagar'!$D$2:$D$4509,TRIM($A34),'C.Pagar'!$K$2:$K$4509,"&gt;=01/03/2026",'C.Pagar'!$K$2:$K$4509,"&lt;=31/03/2026")</f>
        <v>295</v>
      </c>
      <c r="Q34" s="40">
        <f t="shared" si="74"/>
        <v>2.8471701232984876E-4</v>
      </c>
      <c r="R34" s="40">
        <f t="shared" si="75"/>
        <v>-0.90406504065040649</v>
      </c>
      <c r="S34" s="39">
        <f>SUMIFS('C.Pagar'!$G$2:$G$4509,'C.Pagar'!$D$2:$D$4509,TRIM($A34),'C.Pagar'!$K$2:$K$4509,"&gt;=01/04/2026",'C.Pagar'!$K$2:$K$4509,"&lt;=30/04/2026")</f>
        <v>293</v>
      </c>
      <c r="T34" s="40">
        <f t="shared" si="76"/>
        <v>3.3156037176857356E-4</v>
      </c>
      <c r="U34" s="40">
        <f t="shared" si="77"/>
        <v>-6.7796610169491567E-3</v>
      </c>
    </row>
    <row r="35" spans="1:21" s="8" customFormat="1" x14ac:dyDescent="0.3">
      <c r="A35" s="30" t="s">
        <v>1688</v>
      </c>
      <c r="B35" s="31">
        <f>B21-B22</f>
        <v>123831.29999999993</v>
      </c>
      <c r="C35" s="69">
        <f t="shared" si="0"/>
        <v>0.11025699466574722</v>
      </c>
      <c r="D35" s="31">
        <f>D21-D22</f>
        <v>-10751.919999999693</v>
      </c>
      <c r="E35" s="32">
        <f t="shared" si="1"/>
        <v>-1.0871611770803175E-2</v>
      </c>
      <c r="F35" s="32">
        <f t="shared" si="12"/>
        <v>-1.0868271592077261</v>
      </c>
      <c r="G35" s="31">
        <f>G21-G22</f>
        <v>111663.51000000047</v>
      </c>
      <c r="H35" s="32">
        <f t="shared" si="2"/>
        <v>0.10230250261930103</v>
      </c>
      <c r="I35" s="32">
        <f t="shared" si="3"/>
        <v>-11.385448366431639</v>
      </c>
      <c r="J35" s="200">
        <f>J21-J22</f>
        <v>-55927.079999999842</v>
      </c>
      <c r="K35" s="32">
        <f t="shared" si="66"/>
        <v>-5.9306210899718624E-2</v>
      </c>
      <c r="L35" s="32">
        <f t="shared" si="67"/>
        <v>-1.5008536808488251</v>
      </c>
      <c r="M35" s="200">
        <f>M21-M22</f>
        <v>-82166.4099999998</v>
      </c>
      <c r="N35" s="32">
        <f t="shared" si="68"/>
        <v>-0.11878144486557428</v>
      </c>
      <c r="O35" s="32">
        <f t="shared" si="69"/>
        <v>0.46917039115934589</v>
      </c>
      <c r="P35" s="200">
        <f>P21-P22</f>
        <v>252836.24000000022</v>
      </c>
      <c r="Q35" s="32">
        <f t="shared" si="74"/>
        <v>0.24402297919156835</v>
      </c>
      <c r="R35" s="32">
        <f t="shared" si="75"/>
        <v>-4.0771240948704079</v>
      </c>
      <c r="S35" s="200">
        <f>S21-S22</f>
        <v>299461.48999999987</v>
      </c>
      <c r="T35" s="32">
        <f t="shared" si="76"/>
        <v>0.33887222851457655</v>
      </c>
      <c r="U35" s="32">
        <f t="shared" si="77"/>
        <v>0.18440888853591408</v>
      </c>
    </row>
    <row r="36" spans="1:21" x14ac:dyDescent="0.3">
      <c r="A36" s="33" t="s">
        <v>1689</v>
      </c>
      <c r="B36" s="35">
        <f>B37+B42+B45+B69+B108+B113+B121+B123+B127-B129</f>
        <v>94036.07</v>
      </c>
      <c r="C36" s="71">
        <f t="shared" si="0"/>
        <v>8.372789810312771E-2</v>
      </c>
      <c r="D36" s="35">
        <f>D37+D42+D45+D69+D108+D113+D121+D123+D127-D129</f>
        <v>105279.79000000001</v>
      </c>
      <c r="E36" s="36">
        <f t="shared" si="1"/>
        <v>0.10645177830487199</v>
      </c>
      <c r="F36" s="36">
        <f t="shared" si="12"/>
        <v>0.11956816145123894</v>
      </c>
      <c r="G36" s="35">
        <f>G37+G42+G45+G69+G108+G113+G121+G123+G127-G129</f>
        <v>108655.94</v>
      </c>
      <c r="H36" s="36">
        <f t="shared" si="2"/>
        <v>9.9547064089715323E-2</v>
      </c>
      <c r="I36" s="36">
        <f t="shared" si="3"/>
        <v>3.2068358039087919E-2</v>
      </c>
      <c r="J36" s="35">
        <f>J37+J42+J45+J69+J108+J113+J121+J123+J127-J129</f>
        <v>120407.84</v>
      </c>
      <c r="K36" s="36">
        <f t="shared" si="66"/>
        <v>0.12768291770318774</v>
      </c>
      <c r="L36" s="36">
        <f t="shared" si="67"/>
        <v>0.10815699537457402</v>
      </c>
      <c r="M36" s="35">
        <f>M37+M42+M45+M69+M108+M113+M121+M123+M127-M129</f>
        <v>104587.45000000001</v>
      </c>
      <c r="N36" s="36">
        <f t="shared" si="68"/>
        <v>0.15119375941830779</v>
      </c>
      <c r="O36" s="36">
        <f t="shared" si="69"/>
        <v>-0.13139003240984959</v>
      </c>
      <c r="P36" s="35">
        <f>P37+P42+P45+P69+P108+P113+P121+P123+P127-P129</f>
        <v>152982.51</v>
      </c>
      <c r="Q36" s="36">
        <f t="shared" si="74"/>
        <v>0.14764990910481768</v>
      </c>
      <c r="R36" s="36">
        <f t="shared" si="75"/>
        <v>0.46272339558904996</v>
      </c>
      <c r="S36" s="35">
        <f>S37+S42+S45+S69+S108+S113+S121+S123+S127-S129</f>
        <v>177611.11</v>
      </c>
      <c r="T36" s="36">
        <f t="shared" si="76"/>
        <v>0.20098568485265872</v>
      </c>
      <c r="U36" s="36">
        <f t="shared" si="77"/>
        <v>0.16098964515616832</v>
      </c>
    </row>
    <row r="37" spans="1:21" x14ac:dyDescent="0.3">
      <c r="A37" s="41" t="s">
        <v>1727</v>
      </c>
      <c r="B37" s="42">
        <f>B38</f>
        <v>3553.79</v>
      </c>
      <c r="C37" s="72">
        <f t="shared" ref="C37:C41" si="94">B37/B$3</f>
        <v>3.1642258869380036E-3</v>
      </c>
      <c r="D37" s="42">
        <f>D38</f>
        <v>2753.28</v>
      </c>
      <c r="E37" s="43">
        <f t="shared" ref="E37:E41" si="95">D37/D$3</f>
        <v>2.7839298707875268E-3</v>
      </c>
      <c r="F37" s="43">
        <f t="shared" ref="F37:F41" si="96">IFERROR(D37/B37-1,0)</f>
        <v>-0.22525529083035289</v>
      </c>
      <c r="G37" s="42">
        <f>G38</f>
        <v>330</v>
      </c>
      <c r="H37" s="43">
        <f t="shared" ref="H37:H41" si="97">G37/G$3</f>
        <v>3.0233534539948813E-4</v>
      </c>
      <c r="I37" s="43">
        <f t="shared" ref="I37:I41" si="98">IFERROR(G37/D37-1,0)</f>
        <v>-0.88014295676429566</v>
      </c>
      <c r="J37" s="42">
        <f>J38</f>
        <v>250</v>
      </c>
      <c r="K37" s="43">
        <f t="shared" si="66"/>
        <v>2.6510507476753121E-4</v>
      </c>
      <c r="L37" s="43">
        <f t="shared" si="67"/>
        <v>-0.24242424242424243</v>
      </c>
      <c r="M37" s="42">
        <f>M38</f>
        <v>3184</v>
      </c>
      <c r="N37" s="43">
        <f t="shared" si="68"/>
        <v>4.602855600627914E-3</v>
      </c>
      <c r="O37" s="43">
        <f t="shared" si="69"/>
        <v>11.736000000000001</v>
      </c>
      <c r="P37" s="42">
        <f>P38</f>
        <v>2175</v>
      </c>
      <c r="Q37" s="43">
        <f t="shared" si="74"/>
        <v>2.099184751923461E-3</v>
      </c>
      <c r="R37" s="43">
        <f t="shared" si="75"/>
        <v>-0.31689698492462315</v>
      </c>
      <c r="S37" s="42">
        <f>S38</f>
        <v>792.5</v>
      </c>
      <c r="T37" s="43">
        <f t="shared" si="76"/>
        <v>8.9679725128530556E-4</v>
      </c>
      <c r="U37" s="43">
        <f t="shared" si="77"/>
        <v>-0.63563218390804599</v>
      </c>
    </row>
    <row r="38" spans="1:21" x14ac:dyDescent="0.3">
      <c r="A38" s="44" t="s">
        <v>1728</v>
      </c>
      <c r="B38" s="45">
        <f>SUM(B39:B41)</f>
        <v>3553.79</v>
      </c>
      <c r="C38" s="73">
        <f t="shared" si="94"/>
        <v>3.1642258869380036E-3</v>
      </c>
      <c r="D38" s="45">
        <f>SUM(D39:D41)</f>
        <v>2753.28</v>
      </c>
      <c r="E38" s="46">
        <f t="shared" si="95"/>
        <v>2.7839298707875268E-3</v>
      </c>
      <c r="F38" s="46">
        <f t="shared" si="96"/>
        <v>-0.22525529083035289</v>
      </c>
      <c r="G38" s="45">
        <f>SUM(G39:G41)</f>
        <v>330</v>
      </c>
      <c r="H38" s="46">
        <f t="shared" si="97"/>
        <v>3.0233534539948813E-4</v>
      </c>
      <c r="I38" s="46">
        <f t="shared" si="98"/>
        <v>-0.88014295676429566</v>
      </c>
      <c r="J38" s="45">
        <f>SUM(J39:J41)</f>
        <v>250</v>
      </c>
      <c r="K38" s="46">
        <f t="shared" si="66"/>
        <v>2.6510507476753121E-4</v>
      </c>
      <c r="L38" s="46">
        <f t="shared" si="67"/>
        <v>-0.24242424242424243</v>
      </c>
      <c r="M38" s="45">
        <f>SUM(M39:M41)</f>
        <v>3184</v>
      </c>
      <c r="N38" s="46">
        <f t="shared" si="68"/>
        <v>4.602855600627914E-3</v>
      </c>
      <c r="O38" s="46">
        <f t="shared" si="69"/>
        <v>11.736000000000001</v>
      </c>
      <c r="P38" s="45">
        <f>SUM(P39:P41)</f>
        <v>2175</v>
      </c>
      <c r="Q38" s="46">
        <f t="shared" si="74"/>
        <v>2.099184751923461E-3</v>
      </c>
      <c r="R38" s="46">
        <f t="shared" si="75"/>
        <v>-0.31689698492462315</v>
      </c>
      <c r="S38" s="45">
        <f>SUM(S39:S41)</f>
        <v>792.5</v>
      </c>
      <c r="T38" s="46">
        <f t="shared" si="76"/>
        <v>8.9679725128530556E-4</v>
      </c>
      <c r="U38" s="46">
        <f t="shared" si="77"/>
        <v>-0.63563218390804599</v>
      </c>
    </row>
    <row r="39" spans="1:21" x14ac:dyDescent="0.3">
      <c r="A39" s="38" t="s">
        <v>1729</v>
      </c>
      <c r="B39" s="39">
        <f>SUMIFS('C.Pagar'!G$2:G$4509,'C.Pagar'!D$2:D$4509,TRIM(A39),'C.Pagar'!K$2:K$4509,"&gt;=01/10/2025",'C.Pagar'!K$2:K$4509,"&lt;=31/10/2025")</f>
        <v>2713.79</v>
      </c>
      <c r="C39" s="70">
        <f t="shared" ref="C39:C40" si="99">B39/B$3</f>
        <v>2.4163061322457109E-3</v>
      </c>
      <c r="D39" s="39">
        <f>SUMIFS('C.Pagar'!G$2:G$4509,'C.Pagar'!D$2:D$4509,TRIM(A39),'C.Pagar'!K$2:K$4509,"&gt;=01/11/2025",'C.Pagar'!K$2:K$4509,"&lt;=30/11/2025")</f>
        <v>2323.2800000000002</v>
      </c>
      <c r="E39" s="40">
        <f t="shared" ref="E39:E40" si="100">D39/D$3</f>
        <v>2.3491430549029686E-3</v>
      </c>
      <c r="F39" s="40">
        <f t="shared" ref="F39:F40" si="101">IFERROR(D39/B39-1,0)</f>
        <v>-0.14389838565253754</v>
      </c>
      <c r="G39" s="39">
        <f>SUMIFS('C.Pagar'!G$2:G$4509,'C.Pagar'!D$2:D$4509,TRIM(A39),'C.Pagar'!K$2:K$4509,"&gt;=01/12/2025",'C.Pagar'!K$2:K$4509,"&lt;=31/12/2025")</f>
        <v>330</v>
      </c>
      <c r="H39" s="40">
        <f t="shared" ref="H39:H40" si="102">G39/G$3</f>
        <v>3.0233534539948813E-4</v>
      </c>
      <c r="I39" s="40">
        <f t="shared" ref="I39:I40" si="103">IFERROR(G39/D39-1,0)</f>
        <v>-0.85795943665851726</v>
      </c>
      <c r="J39" s="39">
        <f>SUMIFS('C.Pagar'!G$2:G$4509,'C.Pagar'!D$2:D$4509,TRIM(A39),'C.Pagar'!K$2:K$4509,"&gt;=01/01/2026",'C.Pagar'!K$2:K$4509,"&lt;=31/01/2026")</f>
        <v>250</v>
      </c>
      <c r="K39" s="40">
        <f t="shared" si="66"/>
        <v>2.6510507476753121E-4</v>
      </c>
      <c r="L39" s="40">
        <f t="shared" si="67"/>
        <v>-0.24242424242424243</v>
      </c>
      <c r="M39" s="39">
        <f>SUMIFS('C.Pagar'!$G$2:$G$4509,'C.Pagar'!$D$2:$D$4509,TRIM($A39),'C.Pagar'!$K$2:$K$4509,"&gt;=01/02/2026",'C.Pagar'!$K$2:$K$4509,"&lt;=28/02/2026")</f>
        <v>3184</v>
      </c>
      <c r="N39" s="40">
        <f t="shared" si="68"/>
        <v>4.602855600627914E-3</v>
      </c>
      <c r="O39" s="40">
        <f t="shared" si="69"/>
        <v>11.736000000000001</v>
      </c>
      <c r="P39" s="39">
        <f>SUMIFS('C.Pagar'!$G$2:$G$4509,'C.Pagar'!$D$2:$D$4509,TRIM($A39),'C.Pagar'!$K$2:$K$4509,"&gt;=01/03/2026",'C.Pagar'!$K$2:$K$4509,"&lt;=31/03/2026")</f>
        <v>2175</v>
      </c>
      <c r="Q39" s="40">
        <f t="shared" si="74"/>
        <v>2.099184751923461E-3</v>
      </c>
      <c r="R39" s="40">
        <f t="shared" si="75"/>
        <v>-0.31689698492462315</v>
      </c>
      <c r="S39" s="39">
        <f>SUMIFS('C.Pagar'!$G$2:$G$4509,'C.Pagar'!$D$2:$D$4509,TRIM($A39),'C.Pagar'!$K$2:$K$4509,"&gt;=01/04/2026",'C.Pagar'!$K$2:$K$4509,"&lt;=30/04/2026")</f>
        <v>0</v>
      </c>
      <c r="T39" s="40">
        <f t="shared" si="76"/>
        <v>0</v>
      </c>
      <c r="U39" s="40">
        <f t="shared" si="77"/>
        <v>-1</v>
      </c>
    </row>
    <row r="40" spans="1:21" x14ac:dyDescent="0.3">
      <c r="A40" s="38" t="s">
        <v>969</v>
      </c>
      <c r="B40" s="39">
        <f>SUMIFS('C.Pagar'!G$2:G$4509,'C.Pagar'!D$2:D$4509,TRIM(A40),'C.Pagar'!K$2:K$4509,"&gt;=01/10/2025",'C.Pagar'!K$2:K$4509,"&lt;=31/10/2025")</f>
        <v>0</v>
      </c>
      <c r="C40" s="70">
        <f t="shared" si="99"/>
        <v>0</v>
      </c>
      <c r="D40" s="39">
        <f>SUMIFS('C.Pagar'!G$2:G$4509,'C.Pagar'!D$2:D$4509,TRIM(A40),'C.Pagar'!K$2:K$4509,"&gt;=01/11/2025",'C.Pagar'!K$2:K$4509,"&lt;=30/11/2025")</f>
        <v>130</v>
      </c>
      <c r="E40" s="40">
        <f t="shared" si="100"/>
        <v>1.3144717689533156E-4</v>
      </c>
      <c r="F40" s="40">
        <f t="shared" si="101"/>
        <v>0</v>
      </c>
      <c r="G40" s="39">
        <f>SUMIFS('C.Pagar'!G$2:G$4509,'C.Pagar'!D$2:D$4509,TRIM(A40),'C.Pagar'!K$2:K$4509,"&gt;=01/12/2025",'C.Pagar'!K$2:K$4509,"&lt;=31/12/2025")</f>
        <v>0</v>
      </c>
      <c r="H40" s="40">
        <f t="shared" si="102"/>
        <v>0</v>
      </c>
      <c r="I40" s="40">
        <f t="shared" si="103"/>
        <v>-1</v>
      </c>
      <c r="J40" s="39">
        <f>SUMIFS('C.Pagar'!G$2:G$4509,'C.Pagar'!D$2:D$4509,TRIM(A40),'C.Pagar'!K$2:K$4509,"&gt;=01/01/2026",'C.Pagar'!K$2:K$4509,"&lt;=31/01/2026")</f>
        <v>0</v>
      </c>
      <c r="K40" s="40">
        <f t="shared" si="66"/>
        <v>0</v>
      </c>
      <c r="L40" s="40">
        <f t="shared" si="67"/>
        <v>0</v>
      </c>
      <c r="M40" s="39">
        <f>SUMIFS('C.Pagar'!$G$2:$G$4509,'C.Pagar'!$D$2:$D$4509,TRIM($A40),'C.Pagar'!$K$2:$K$4509,"&gt;=01/02/2026",'C.Pagar'!$K$2:$K$4509,"&lt;=28/02/2026")</f>
        <v>0</v>
      </c>
      <c r="N40" s="40">
        <f t="shared" si="68"/>
        <v>0</v>
      </c>
      <c r="O40" s="40">
        <f t="shared" si="69"/>
        <v>0</v>
      </c>
      <c r="P40" s="39">
        <f>SUMIFS('C.Pagar'!$G$2:$G$4509,'C.Pagar'!$D$2:$D$4509,TRIM($A40),'C.Pagar'!$K$2:$K$4509,"&gt;=01/03/2026",'C.Pagar'!$K$2:$K$4509,"&lt;=31/03/2026")</f>
        <v>0</v>
      </c>
      <c r="Q40" s="40">
        <f t="shared" si="74"/>
        <v>0</v>
      </c>
      <c r="R40" s="40">
        <f t="shared" si="75"/>
        <v>0</v>
      </c>
      <c r="S40" s="39">
        <f>SUMIFS('C.Pagar'!$G$2:$G$4509,'C.Pagar'!$D$2:$D$4509,TRIM($A40),'C.Pagar'!$K$2:$K$4509,"&gt;=01/04/2026",'C.Pagar'!$K$2:$K$4509,"&lt;=30/04/2026")</f>
        <v>792.5</v>
      </c>
      <c r="T40" s="40">
        <f t="shared" si="76"/>
        <v>8.9679725128530556E-4</v>
      </c>
      <c r="U40" s="40">
        <f t="shared" si="77"/>
        <v>0</v>
      </c>
    </row>
    <row r="41" spans="1:21" x14ac:dyDescent="0.3">
      <c r="A41" s="38" t="s">
        <v>1730</v>
      </c>
      <c r="B41" s="39">
        <f>SUMIFS('C.Pagar'!G$2:G$4509,'C.Pagar'!D$2:D$4509,TRIM(A41),'C.Pagar'!K$2:K$4509,"&gt;=01/10/2025",'C.Pagar'!K$2:K$4509,"&lt;=31/10/2025")</f>
        <v>840</v>
      </c>
      <c r="C41" s="70">
        <f t="shared" si="94"/>
        <v>7.4791975469229281E-4</v>
      </c>
      <c r="D41" s="39">
        <f>SUMIFS('C.Pagar'!G$2:G$4509,'C.Pagar'!D$2:D$4509,TRIM(A41),'C.Pagar'!K$2:K$4509,"&gt;=01/11/2025",'C.Pagar'!K$2:K$4509,"&lt;=30/11/2025")</f>
        <v>300</v>
      </c>
      <c r="E41" s="40">
        <f t="shared" si="95"/>
        <v>3.0333963898922662E-4</v>
      </c>
      <c r="F41" s="40">
        <f t="shared" si="96"/>
        <v>-0.64285714285714279</v>
      </c>
      <c r="G41" s="39">
        <f>SUMIFS('C.Pagar'!G$2:G$4509,'C.Pagar'!D$2:D$4509,TRIM(A41),'C.Pagar'!K$2:K$4509,"&gt;=01/12/2025",'C.Pagar'!K$2:K$4509,"&lt;=31/12/2025")</f>
        <v>0</v>
      </c>
      <c r="H41" s="40">
        <f t="shared" si="97"/>
        <v>0</v>
      </c>
      <c r="I41" s="40">
        <f t="shared" si="98"/>
        <v>-1</v>
      </c>
      <c r="J41" s="39">
        <f>SUMIFS('C.Pagar'!G$2:G$4509,'C.Pagar'!D$2:D$4509,TRIM(A41),'C.Pagar'!K$2:K$4509,"&gt;=01/01/2026",'C.Pagar'!K$2:K$4509,"&lt;=31/01/2026")</f>
        <v>0</v>
      </c>
      <c r="K41" s="40">
        <f t="shared" si="66"/>
        <v>0</v>
      </c>
      <c r="L41" s="40">
        <f t="shared" si="67"/>
        <v>0</v>
      </c>
      <c r="M41" s="39">
        <f>SUMIFS('C.Pagar'!$G$2:$G$4509,'C.Pagar'!$D$2:$D$4509,TRIM($A41),'C.Pagar'!$K$2:$K$4509,"&gt;=01/02/2026",'C.Pagar'!$K$2:$K$4509,"&lt;=28/02/2026")</f>
        <v>0</v>
      </c>
      <c r="N41" s="40">
        <f t="shared" si="68"/>
        <v>0</v>
      </c>
      <c r="O41" s="40">
        <f t="shared" si="69"/>
        <v>0</v>
      </c>
      <c r="P41" s="39">
        <f>SUMIFS('C.Pagar'!$G$2:$G$4509,'C.Pagar'!$D$2:$D$4509,TRIM($A41),'C.Pagar'!$K$2:$K$4509,"&gt;=01/03/2026",'C.Pagar'!$K$2:$K$4509,"&lt;=31/03/2026")</f>
        <v>0</v>
      </c>
      <c r="Q41" s="40">
        <f t="shared" si="74"/>
        <v>0</v>
      </c>
      <c r="R41" s="40">
        <f t="shared" si="75"/>
        <v>0</v>
      </c>
      <c r="S41" s="39">
        <f>SUMIFS('C.Pagar'!$G$2:$G$4509,'C.Pagar'!$D$2:$D$4509,TRIM($A41),'C.Pagar'!$K$2:$K$4509,"&gt;=01/04/2026",'C.Pagar'!$K$2:$K$4509,"&lt;=30/04/2026")</f>
        <v>0</v>
      </c>
      <c r="T41" s="40">
        <f t="shared" si="76"/>
        <v>0</v>
      </c>
      <c r="U41" s="40">
        <f t="shared" si="77"/>
        <v>0</v>
      </c>
    </row>
    <row r="42" spans="1:21" x14ac:dyDescent="0.3">
      <c r="A42" s="41" t="s">
        <v>1731</v>
      </c>
      <c r="B42" s="42">
        <f>B43</f>
        <v>4586.54</v>
      </c>
      <c r="C42" s="72">
        <f t="shared" si="0"/>
        <v>4.0837665139123675E-3</v>
      </c>
      <c r="D42" s="42">
        <f>D43</f>
        <v>4586.54</v>
      </c>
      <c r="E42" s="43">
        <f t="shared" si="1"/>
        <v>4.6375979593654918E-3</v>
      </c>
      <c r="F42" s="43">
        <f t="shared" si="12"/>
        <v>0</v>
      </c>
      <c r="G42" s="42">
        <f>G43</f>
        <v>4586.54</v>
      </c>
      <c r="H42" s="43">
        <f t="shared" si="2"/>
        <v>4.2020398639047518E-3</v>
      </c>
      <c r="I42" s="43">
        <f t="shared" si="3"/>
        <v>0</v>
      </c>
      <c r="J42" s="42">
        <f>J43</f>
        <v>4586.54</v>
      </c>
      <c r="K42" s="43">
        <f t="shared" si="66"/>
        <v>4.8636601184970903E-3</v>
      </c>
      <c r="L42" s="43">
        <f t="shared" si="67"/>
        <v>0</v>
      </c>
      <c r="M42" s="42">
        <f>M43</f>
        <v>7681.37</v>
      </c>
      <c r="N42" s="43">
        <f t="shared" si="68"/>
        <v>1.1104345767900516E-2</v>
      </c>
      <c r="O42" s="43">
        <f t="shared" si="69"/>
        <v>0.67476354724912468</v>
      </c>
      <c r="P42" s="42">
        <f>P43</f>
        <v>4586.54</v>
      </c>
      <c r="Q42" s="43">
        <f t="shared" si="74"/>
        <v>4.426664290614727E-3</v>
      </c>
      <c r="R42" s="43">
        <f t="shared" si="75"/>
        <v>-0.40290078462565926</v>
      </c>
      <c r="S42" s="42">
        <f>S43</f>
        <v>0</v>
      </c>
      <c r="T42" s="43">
        <f t="shared" si="76"/>
        <v>0</v>
      </c>
      <c r="U42" s="43">
        <f t="shared" si="77"/>
        <v>-1</v>
      </c>
    </row>
    <row r="43" spans="1:21" x14ac:dyDescent="0.3">
      <c r="A43" s="44" t="s">
        <v>1732</v>
      </c>
      <c r="B43" s="45">
        <f>SUM(B44)</f>
        <v>4586.54</v>
      </c>
      <c r="C43" s="73">
        <f t="shared" si="0"/>
        <v>4.0837665139123675E-3</v>
      </c>
      <c r="D43" s="45">
        <f>SUM(D44)</f>
        <v>4586.54</v>
      </c>
      <c r="E43" s="46">
        <f t="shared" si="1"/>
        <v>4.6375979593654918E-3</v>
      </c>
      <c r="F43" s="46">
        <f t="shared" si="12"/>
        <v>0</v>
      </c>
      <c r="G43" s="45">
        <f>SUM(G44)</f>
        <v>4586.54</v>
      </c>
      <c r="H43" s="46">
        <f t="shared" si="2"/>
        <v>4.2020398639047518E-3</v>
      </c>
      <c r="I43" s="46">
        <f t="shared" si="3"/>
        <v>0</v>
      </c>
      <c r="J43" s="45">
        <f>SUM(J44)</f>
        <v>4586.54</v>
      </c>
      <c r="K43" s="46">
        <f t="shared" si="66"/>
        <v>4.8636601184970903E-3</v>
      </c>
      <c r="L43" s="46">
        <f t="shared" si="67"/>
        <v>0</v>
      </c>
      <c r="M43" s="45">
        <f>SUM(M44)</f>
        <v>7681.37</v>
      </c>
      <c r="N43" s="46">
        <f t="shared" si="68"/>
        <v>1.1104345767900516E-2</v>
      </c>
      <c r="O43" s="46">
        <f t="shared" si="69"/>
        <v>0.67476354724912468</v>
      </c>
      <c r="P43" s="45">
        <f>SUM(P44)</f>
        <v>4586.54</v>
      </c>
      <c r="Q43" s="46">
        <f t="shared" si="74"/>
        <v>4.426664290614727E-3</v>
      </c>
      <c r="R43" s="46">
        <f t="shared" si="75"/>
        <v>-0.40290078462565926</v>
      </c>
      <c r="S43" s="45">
        <f>SUM(S44)</f>
        <v>0</v>
      </c>
      <c r="T43" s="46">
        <f t="shared" si="76"/>
        <v>0</v>
      </c>
      <c r="U43" s="46">
        <f t="shared" si="77"/>
        <v>-1</v>
      </c>
    </row>
    <row r="44" spans="1:21" x14ac:dyDescent="0.3">
      <c r="A44" s="38" t="s">
        <v>1733</v>
      </c>
      <c r="B44" s="39">
        <f>SUMIFS('C.Pagar'!G$2:G$4509,'C.Pagar'!D$2:D$4509,TRIM(A44),'C.Pagar'!K$2:K$4509,"&gt;=01/10/2025",'C.Pagar'!K$2:K$4509,"&lt;=31/10/2025")</f>
        <v>4586.54</v>
      </c>
      <c r="C44" s="70">
        <f t="shared" si="0"/>
        <v>4.0837665139123675E-3</v>
      </c>
      <c r="D44" s="39">
        <f>SUMIFS('C.Pagar'!G$2:G$4509,'C.Pagar'!D$2:D$4509,TRIM(A44),'C.Pagar'!K$2:K$4509,"&gt;=01/11/2025",'C.Pagar'!K$2:K$4509,"&lt;=30/11/2025")</f>
        <v>4586.54</v>
      </c>
      <c r="E44" s="40">
        <f t="shared" si="1"/>
        <v>4.6375979593654918E-3</v>
      </c>
      <c r="F44" s="40">
        <f t="shared" si="12"/>
        <v>0</v>
      </c>
      <c r="G44" s="39">
        <f>SUMIFS('C.Pagar'!G$2:G$4509,'C.Pagar'!D$2:D$4509,TRIM(A44),'C.Pagar'!K$2:K$4509,"&gt;=01/12/2025",'C.Pagar'!K$2:K$4509,"&lt;=31/12/2025")</f>
        <v>4586.54</v>
      </c>
      <c r="H44" s="40">
        <f t="shared" si="2"/>
        <v>4.2020398639047518E-3</v>
      </c>
      <c r="I44" s="40">
        <f t="shared" si="3"/>
        <v>0</v>
      </c>
      <c r="J44" s="39">
        <f>SUMIFS('C.Pagar'!G$2:G$4509,'C.Pagar'!D$2:D$4509,TRIM(A44),'C.Pagar'!K$2:K$4509,"&gt;=01/01/2026",'C.Pagar'!K$2:K$4509,"&lt;=31/01/2026")</f>
        <v>4586.54</v>
      </c>
      <c r="K44" s="40">
        <f t="shared" si="66"/>
        <v>4.8636601184970903E-3</v>
      </c>
      <c r="L44" s="40">
        <f t="shared" si="67"/>
        <v>0</v>
      </c>
      <c r="M44" s="39">
        <f>SUMIFS('C.Pagar'!$G$2:$G$4509,'C.Pagar'!$D$2:$D$4509,TRIM($A44),'C.Pagar'!$K$2:$K$4509,"&gt;=01/02/2026",'C.Pagar'!$K$2:$K$4509,"&lt;=28/02/2026")</f>
        <v>7681.37</v>
      </c>
      <c r="N44" s="40">
        <f t="shared" si="68"/>
        <v>1.1104345767900516E-2</v>
      </c>
      <c r="O44" s="40">
        <f t="shared" si="69"/>
        <v>0.67476354724912468</v>
      </c>
      <c r="P44" s="39">
        <f>SUMIFS('C.Pagar'!$G$2:$G$4509,'C.Pagar'!$D$2:$D$4509,TRIM($A44),'C.Pagar'!$K$2:$K$4509,"&gt;=01/03/2026",'C.Pagar'!$K$2:$K$4509,"&lt;=31/03/2026")</f>
        <v>4586.54</v>
      </c>
      <c r="Q44" s="40">
        <f t="shared" si="74"/>
        <v>4.426664290614727E-3</v>
      </c>
      <c r="R44" s="40">
        <f t="shared" si="75"/>
        <v>-0.40290078462565926</v>
      </c>
      <c r="S44" s="39">
        <f>SUMIFS('C.Pagar'!$G$2:$G$4509,'C.Pagar'!$D$2:$D$4509,TRIM($A44),'C.Pagar'!$K$2:$K$4509,"&gt;=01/04/2026",'C.Pagar'!$K$2:$K$4509,"&lt;=30/04/2026")</f>
        <v>0</v>
      </c>
      <c r="T44" s="40">
        <f t="shared" si="76"/>
        <v>0</v>
      </c>
      <c r="U44" s="40">
        <f t="shared" si="77"/>
        <v>-1</v>
      </c>
    </row>
    <row r="45" spans="1:21" x14ac:dyDescent="0.3">
      <c r="A45" s="41" t="s">
        <v>1734</v>
      </c>
      <c r="B45" s="42">
        <f>B46+B56+B60+B65</f>
        <v>52512.850000000006</v>
      </c>
      <c r="C45" s="72">
        <f t="shared" si="0"/>
        <v>4.6756426059753775E-2</v>
      </c>
      <c r="D45" s="42">
        <f>D46+D56+D60+D65</f>
        <v>58108.85</v>
      </c>
      <c r="E45" s="43">
        <f t="shared" si="1"/>
        <v>5.8755725270263737E-2</v>
      </c>
      <c r="F45" s="43">
        <f t="shared" si="12"/>
        <v>0.10656439328659539</v>
      </c>
      <c r="G45" s="42">
        <f>G46+G56+G60+G65</f>
        <v>53354.61</v>
      </c>
      <c r="H45" s="43">
        <f t="shared" si="2"/>
        <v>4.8881771039409036E-2</v>
      </c>
      <c r="I45" s="43">
        <f t="shared" si="3"/>
        <v>-8.1816108905958362E-2</v>
      </c>
      <c r="J45" s="42">
        <f>J46+J56+J60+J65</f>
        <v>67164.210000000006</v>
      </c>
      <c r="K45" s="43">
        <f t="shared" si="66"/>
        <v>7.1222291655008679E-2</v>
      </c>
      <c r="L45" s="43">
        <f t="shared" si="67"/>
        <v>0.25882674430569375</v>
      </c>
      <c r="M45" s="42">
        <f>M46+M56+M60+M65</f>
        <v>35228.390000000007</v>
      </c>
      <c r="N45" s="43">
        <f t="shared" si="68"/>
        <v>5.092688197632049E-2</v>
      </c>
      <c r="O45" s="43">
        <f t="shared" si="69"/>
        <v>-0.47548865683077335</v>
      </c>
      <c r="P45" s="42">
        <f>P46+P56+P60+P65</f>
        <v>58075.249999999993</v>
      </c>
      <c r="Q45" s="43">
        <f t="shared" si="74"/>
        <v>5.6050887017996771E-2</v>
      </c>
      <c r="R45" s="43">
        <f t="shared" si="75"/>
        <v>0.64853545677222213</v>
      </c>
      <c r="S45" s="42">
        <f>S46+S56+S60+S65</f>
        <v>66708.62000000001</v>
      </c>
      <c r="T45" s="43">
        <f t="shared" si="76"/>
        <v>7.5487832243578509E-2</v>
      </c>
      <c r="U45" s="43">
        <f t="shared" si="77"/>
        <v>0.14865833552158647</v>
      </c>
    </row>
    <row r="46" spans="1:21" x14ac:dyDescent="0.3">
      <c r="A46" s="44" t="s">
        <v>1735</v>
      </c>
      <c r="B46" s="45">
        <f>SUM(B47:B55)</f>
        <v>44869.710000000006</v>
      </c>
      <c r="C46" s="73">
        <f t="shared" si="0"/>
        <v>3.995112201942181E-2</v>
      </c>
      <c r="D46" s="45">
        <f>SUM(D47:D55)</f>
        <v>47722.38</v>
      </c>
      <c r="E46" s="46">
        <f t="shared" si="1"/>
        <v>4.8253631736355627E-2</v>
      </c>
      <c r="F46" s="46">
        <f t="shared" si="12"/>
        <v>6.3576742528534069E-2</v>
      </c>
      <c r="G46" s="45">
        <f>SUM(G47:G55)</f>
        <v>49522.720000000001</v>
      </c>
      <c r="H46" s="46">
        <f t="shared" si="2"/>
        <v>4.5371117140370114E-2</v>
      </c>
      <c r="I46" s="46">
        <f t="shared" si="3"/>
        <v>3.7725276903624705E-2</v>
      </c>
      <c r="J46" s="45">
        <f>SUM(J47:J55)</f>
        <v>52273.91</v>
      </c>
      <c r="K46" s="46">
        <f t="shared" si="66"/>
        <v>5.5432315275764789E-2</v>
      </c>
      <c r="L46" s="46">
        <f t="shared" si="67"/>
        <v>5.5554097190138263E-2</v>
      </c>
      <c r="M46" s="45">
        <f>SUM(M47:M55)</f>
        <v>30739.980000000003</v>
      </c>
      <c r="N46" s="46">
        <f t="shared" si="68"/>
        <v>4.4438344568527036E-2</v>
      </c>
      <c r="O46" s="46">
        <f t="shared" si="69"/>
        <v>-0.41194412279471726</v>
      </c>
      <c r="P46" s="45">
        <f>SUM(P47:P55)</f>
        <v>39660.629999999997</v>
      </c>
      <c r="Q46" s="46">
        <f t="shared" si="74"/>
        <v>3.8278156205829049E-2</v>
      </c>
      <c r="R46" s="46">
        <f t="shared" si="75"/>
        <v>0.29019700077879018</v>
      </c>
      <c r="S46" s="45">
        <f>SUM(S47:S55)</f>
        <v>50856.130000000005</v>
      </c>
      <c r="T46" s="46">
        <f t="shared" si="76"/>
        <v>5.7549069520515049E-2</v>
      </c>
      <c r="U46" s="46">
        <f t="shared" si="77"/>
        <v>0.28228245491813952</v>
      </c>
    </row>
    <row r="47" spans="1:21" x14ac:dyDescent="0.3">
      <c r="A47" s="38" t="s">
        <v>1736</v>
      </c>
      <c r="B47" s="39">
        <f>SUMIFS('C.Pagar'!G$2:G$4509,'C.Pagar'!D$2:D$4509,TRIM(A47),'C.Pagar'!K$2:K$4509,"&gt;=01/10/2025",'C.Pagar'!K$2:K$4509,"&lt;=31/10/2025")</f>
        <v>20710.82</v>
      </c>
      <c r="C47" s="70">
        <f t="shared" si="0"/>
        <v>1.8440513587947894E-2</v>
      </c>
      <c r="D47" s="39">
        <f>SUMIFS('C.Pagar'!G$2:G$4509,'C.Pagar'!D$2:D$4509,TRIM(A47),'C.Pagar'!K$2:K$4509,"&gt;=01/11/2025",'C.Pagar'!K$2:K$4509,"&lt;=30/11/2025")</f>
        <v>17675.14</v>
      </c>
      <c r="E47" s="40">
        <f t="shared" si="1"/>
        <v>1.7871901955613462E-2</v>
      </c>
      <c r="F47" s="40">
        <f t="shared" si="12"/>
        <v>-0.14657459241111648</v>
      </c>
      <c r="G47" s="39">
        <f>SUMIFS('C.Pagar'!G$2:G$4509,'C.Pagar'!D$2:D$4509,TRIM(A47),'C.Pagar'!K$2:K$4509,"&gt;=01/12/2025",'C.Pagar'!K$2:K$4509,"&lt;=31/12/2025")</f>
        <v>19797.350000000002</v>
      </c>
      <c r="H47" s="40">
        <f t="shared" si="2"/>
        <v>1.813769287952896E-2</v>
      </c>
      <c r="I47" s="40">
        <f t="shared" si="3"/>
        <v>0.12006750724463866</v>
      </c>
      <c r="J47" s="39">
        <f>SUMIFS('C.Pagar'!G$2:G$4509,'C.Pagar'!D$2:D$4509,TRIM(A47),'C.Pagar'!K$2:K$4509,"&gt;=01/01/2026",'C.Pagar'!K$2:K$4509,"&lt;=31/01/2026")</f>
        <v>17711.91</v>
      </c>
      <c r="K47" s="40">
        <f t="shared" si="66"/>
        <v>1.8782068899303134E-2</v>
      </c>
      <c r="L47" s="40">
        <f t="shared" si="67"/>
        <v>-0.10533935097374159</v>
      </c>
      <c r="M47" s="39">
        <f>SUMIFS('C.Pagar'!$G$2:$G$4509,'C.Pagar'!$D$2:$D$4509,TRIM($A47),'C.Pagar'!$K$2:$K$4509,"&gt;=01/02/2026",'C.Pagar'!$K$2:$K$4509,"&lt;=28/02/2026")</f>
        <v>13049.39</v>
      </c>
      <c r="N47" s="40">
        <f t="shared" si="68"/>
        <v>1.8864465403981751E-2</v>
      </c>
      <c r="O47" s="40">
        <f t="shared" si="69"/>
        <v>-0.26324207835292757</v>
      </c>
      <c r="P47" s="39">
        <f>SUMIFS('C.Pagar'!$G$2:$G$4509,'C.Pagar'!$D$2:$D$4509,TRIM($A47),'C.Pagar'!$K$2:$K$4509,"&gt;=01/03/2026",'C.Pagar'!$K$2:$K$4509,"&lt;=31/03/2026")</f>
        <v>21736.069999999996</v>
      </c>
      <c r="Q47" s="40">
        <f t="shared" si="74"/>
        <v>2.097840308539815E-2</v>
      </c>
      <c r="R47" s="40">
        <f t="shared" si="75"/>
        <v>0.66567709295223731</v>
      </c>
      <c r="S47" s="39">
        <f>SUMIFS('C.Pagar'!$G$2:$G$4509,'C.Pagar'!$D$2:$D$4509,TRIM($A47),'C.Pagar'!$K$2:$K$4509,"&gt;=01/04/2026",'C.Pagar'!$K$2:$K$4509,"&lt;=30/04/2026")</f>
        <v>15195.480000000001</v>
      </c>
      <c r="T47" s="40">
        <f t="shared" si="76"/>
        <v>1.7195286682600425E-2</v>
      </c>
      <c r="U47" s="40">
        <f t="shared" si="77"/>
        <v>-0.30090950203969691</v>
      </c>
    </row>
    <row r="48" spans="1:21" x14ac:dyDescent="0.3">
      <c r="A48" s="38" t="s">
        <v>1737</v>
      </c>
      <c r="B48" s="39">
        <f>SUMIFS('C.Pagar'!G$2:G$4509,'C.Pagar'!D$2:D$4509,TRIM(A48),'C.Pagar'!K$2:K$4509,"&gt;=01/10/2025",'C.Pagar'!K$2:K$4509,"&lt;=31/10/2025")</f>
        <v>12396.09</v>
      </c>
      <c r="C48" s="70">
        <f t="shared" ref="C48" si="104">B48/B$3</f>
        <v>1.1037238799932838E-2</v>
      </c>
      <c r="D48" s="39">
        <f>SUMIFS('C.Pagar'!G$2:G$4509,'C.Pagar'!D$2:D$4509,TRIM(A48),'C.Pagar'!K$2:K$4509,"&gt;=01/11/2025",'C.Pagar'!K$2:K$4509,"&lt;=30/11/2025")</f>
        <v>7470.73</v>
      </c>
      <c r="E48" s="40">
        <f t="shared" ref="E48" si="105">D48/D$3</f>
        <v>7.5538951372866167E-3</v>
      </c>
      <c r="F48" s="40">
        <f t="shared" ref="F48" si="106">IFERROR(D48/B48-1,0)</f>
        <v>-0.39733173928230603</v>
      </c>
      <c r="G48" s="39">
        <f>SUMIFS('C.Pagar'!G$2:G$4509,'C.Pagar'!D$2:D$4509,TRIM(A48),'C.Pagar'!K$2:K$4509,"&gt;=01/12/2025",'C.Pagar'!K$2:K$4509,"&lt;=31/12/2025")</f>
        <v>6938.42</v>
      </c>
      <c r="H48" s="40">
        <f t="shared" ref="H48" si="107">G48/G$3</f>
        <v>6.3567563855355044E-3</v>
      </c>
      <c r="I48" s="40">
        <f t="shared" ref="I48" si="108">IFERROR(G48/D48-1,0)</f>
        <v>-7.1252742369219524E-2</v>
      </c>
      <c r="J48" s="39">
        <f>SUMIFS('C.Pagar'!G$2:G$4509,'C.Pagar'!D$2:D$4509,TRIM(A48),'C.Pagar'!K$2:K$4509,"&gt;=01/01/2026",'C.Pagar'!K$2:K$4509,"&lt;=31/01/2026")</f>
        <v>5846.1399999999994</v>
      </c>
      <c r="K48" s="40">
        <f t="shared" si="66"/>
        <v>6.199365527205819E-3</v>
      </c>
      <c r="L48" s="40">
        <f t="shared" si="67"/>
        <v>-0.15742488923991349</v>
      </c>
      <c r="M48" s="39">
        <f>SUMIFS('C.Pagar'!$G$2:$G$4509,'C.Pagar'!$D$2:$D$4509,TRIM($A48),'C.Pagar'!$K$2:$K$4509,"&gt;=01/02/2026",'C.Pagar'!$K$2:$K$4509,"&lt;=28/02/2026")</f>
        <v>13048.9</v>
      </c>
      <c r="N48" s="40">
        <f t="shared" si="68"/>
        <v>1.8863757049947735E-2</v>
      </c>
      <c r="O48" s="40">
        <f t="shared" si="69"/>
        <v>1.2320539706541411</v>
      </c>
      <c r="P48" s="39">
        <f>SUMIFS('C.Pagar'!$G$2:$G$4509,'C.Pagar'!$D$2:$D$4509,TRIM($A48),'C.Pagar'!$K$2:$K$4509,"&gt;=01/03/2026",'C.Pagar'!$K$2:$K$4509,"&lt;=31/03/2026")</f>
        <v>9162.18</v>
      </c>
      <c r="Q48" s="40">
        <f t="shared" si="74"/>
        <v>8.8428085289094707E-3</v>
      </c>
      <c r="R48" s="40">
        <f t="shared" si="75"/>
        <v>-0.29785805700097323</v>
      </c>
      <c r="S48" s="39">
        <f>SUMIFS('C.Pagar'!$G$2:$G$4509,'C.Pagar'!$D$2:$D$4509,TRIM($A48),'C.Pagar'!$K$2:$K$4509,"&gt;=01/04/2026",'C.Pagar'!$K$2:$K$4509,"&lt;=30/04/2026")</f>
        <v>13331.93</v>
      </c>
      <c r="T48" s="40">
        <f t="shared" si="76"/>
        <v>1.5086483505776788E-2</v>
      </c>
      <c r="U48" s="40">
        <f t="shared" si="77"/>
        <v>0.45510457118284076</v>
      </c>
    </row>
    <row r="49" spans="1:21" x14ac:dyDescent="0.3">
      <c r="A49" s="38" t="s">
        <v>1738</v>
      </c>
      <c r="B49" s="39">
        <f>SUMIFS('C.Pagar'!G$2:G$4509,'C.Pagar'!D$2:D$4509,TRIM(A49),'C.Pagar'!K$2:K$4509,"&gt;=01/10/2025",'C.Pagar'!K$2:K$4509,"&lt;=31/10/2025")</f>
        <v>200</v>
      </c>
      <c r="C49" s="70">
        <f t="shared" si="0"/>
        <v>1.7807613206959351E-4</v>
      </c>
      <c r="D49" s="39">
        <f>SUMIFS('C.Pagar'!G$2:G$4509,'C.Pagar'!D$2:D$4509,TRIM(A49),'C.Pagar'!K$2:K$4509,"&gt;=01/11/2025",'C.Pagar'!K$2:K$4509,"&lt;=30/11/2025")</f>
        <v>1800</v>
      </c>
      <c r="E49" s="40">
        <f t="shared" si="1"/>
        <v>1.8200378339353598E-3</v>
      </c>
      <c r="F49" s="40">
        <f t="shared" si="12"/>
        <v>8</v>
      </c>
      <c r="G49" s="39">
        <f>SUMIFS('C.Pagar'!G$2:G$4509,'C.Pagar'!D$2:D$4509,TRIM(A49),'C.Pagar'!K$2:K$4509,"&gt;=01/12/2025",'C.Pagar'!K$2:K$4509,"&lt;=31/12/2025")</f>
        <v>0</v>
      </c>
      <c r="H49" s="40">
        <f t="shared" si="2"/>
        <v>0</v>
      </c>
      <c r="I49" s="40">
        <f t="shared" si="3"/>
        <v>-1</v>
      </c>
      <c r="J49" s="39">
        <f>SUMIFS('C.Pagar'!G$2:G$4509,'C.Pagar'!D$2:D$4509,TRIM(A49),'C.Pagar'!K$2:K$4509,"&gt;=01/01/2026",'C.Pagar'!K$2:K$4509,"&lt;=31/01/2026")</f>
        <v>0</v>
      </c>
      <c r="K49" s="40">
        <f t="shared" si="66"/>
        <v>0</v>
      </c>
      <c r="L49" s="40">
        <f t="shared" si="67"/>
        <v>0</v>
      </c>
      <c r="M49" s="39">
        <f>SUMIFS('C.Pagar'!$G$2:$G$4509,'C.Pagar'!$D$2:$D$4509,TRIM($A49),'C.Pagar'!$K$2:$K$4509,"&gt;=01/02/2026",'C.Pagar'!$K$2:$K$4509,"&lt;=28/02/2026")</f>
        <v>0</v>
      </c>
      <c r="N49" s="40">
        <f t="shared" si="68"/>
        <v>0</v>
      </c>
      <c r="O49" s="40">
        <f t="shared" si="69"/>
        <v>0</v>
      </c>
      <c r="P49" s="39">
        <f>SUMIFS('C.Pagar'!$G$2:$G$4509,'C.Pagar'!$D$2:$D$4509,TRIM($A49),'C.Pagar'!$K$2:$K$4509,"&gt;=01/03/2026",'C.Pagar'!$K$2:$K$4509,"&lt;=31/03/2026")</f>
        <v>0</v>
      </c>
      <c r="Q49" s="40">
        <f t="shared" si="74"/>
        <v>0</v>
      </c>
      <c r="R49" s="40">
        <f t="shared" si="75"/>
        <v>0</v>
      </c>
      <c r="S49" s="39">
        <f>SUMIFS('C.Pagar'!$G$2:$G$4509,'C.Pagar'!$D$2:$D$4509,TRIM($A49),'C.Pagar'!$K$2:$K$4509,"&gt;=01/04/2026",'C.Pagar'!$K$2:$K$4509,"&lt;=30/04/2026")</f>
        <v>0</v>
      </c>
      <c r="T49" s="40">
        <f t="shared" si="76"/>
        <v>0</v>
      </c>
      <c r="U49" s="40">
        <f t="shared" si="77"/>
        <v>0</v>
      </c>
    </row>
    <row r="50" spans="1:21" x14ac:dyDescent="0.3">
      <c r="A50" s="38" t="s">
        <v>1739</v>
      </c>
      <c r="B50" s="39">
        <f>SUMIFS('C.Pagar'!G$2:G$4509,'C.Pagar'!D$2:D$4509,TRIM(A50),'C.Pagar'!K$2:K$4509,"&gt;=01/10/2025",'C.Pagar'!K$2:K$4509,"&lt;=31/10/2025")</f>
        <v>10044.799999999999</v>
      </c>
      <c r="C50" s="70">
        <f t="shared" si="0"/>
        <v>8.9436956570632647E-3</v>
      </c>
      <c r="D50" s="39">
        <f>SUMIFS('C.Pagar'!G$2:G$4509,'C.Pagar'!D$2:D$4509,TRIM(A50),'C.Pagar'!K$2:K$4509,"&gt;=01/11/2025",'C.Pagar'!K$2:K$4509,"&lt;=30/11/2025")</f>
        <v>12419.76</v>
      </c>
      <c r="E50" s="40">
        <f t="shared" si="1"/>
        <v>1.2558018382442792E-2</v>
      </c>
      <c r="F50" s="40">
        <f t="shared" si="12"/>
        <v>0.2364367633004143</v>
      </c>
      <c r="G50" s="39">
        <f>SUMIFS('C.Pagar'!G$2:G$4509,'C.Pagar'!D$2:D$4509,TRIM(A50),'C.Pagar'!K$2:K$4509,"&gt;=01/12/2025",'C.Pagar'!K$2:K$4509,"&lt;=31/12/2025")</f>
        <v>16004.390000000001</v>
      </c>
      <c r="H50" s="40">
        <f t="shared" si="2"/>
        <v>1.4662705389570043E-2</v>
      </c>
      <c r="I50" s="40">
        <f t="shared" si="3"/>
        <v>0.28862312959348668</v>
      </c>
      <c r="J50" s="39">
        <f>SUMIFS('C.Pagar'!G$2:G$4509,'C.Pagar'!D$2:D$4509,TRIM(A50),'C.Pagar'!K$2:K$4509,"&gt;=01/01/2026",'C.Pagar'!K$2:K$4509,"&lt;=31/01/2026")</f>
        <v>7300.05</v>
      </c>
      <c r="K50" s="40">
        <f t="shared" si="66"/>
        <v>7.7411212042268647E-3</v>
      </c>
      <c r="L50" s="40">
        <f t="shared" si="67"/>
        <v>-0.54387202511310961</v>
      </c>
      <c r="M50" s="39">
        <f>SUMIFS('C.Pagar'!$G$2:$G$4509,'C.Pagar'!$D$2:$D$4509,TRIM($A50),'C.Pagar'!$K$2:$K$4509,"&gt;=01/02/2026",'C.Pagar'!$K$2:$K$4509,"&lt;=28/02/2026")</f>
        <v>4641.6900000000005</v>
      </c>
      <c r="N50" s="40">
        <f t="shared" si="68"/>
        <v>6.7101221145975457E-3</v>
      </c>
      <c r="O50" s="40">
        <f t="shared" si="69"/>
        <v>-0.36415640988760345</v>
      </c>
      <c r="P50" s="39">
        <f>SUMIFS('C.Pagar'!$G$2:$G$4509,'C.Pagar'!$D$2:$D$4509,TRIM($A50),'C.Pagar'!$K$2:$K$4509,"&gt;=01/03/2026",'C.Pagar'!$K$2:$K$4509,"&lt;=31/03/2026")</f>
        <v>8762.380000000001</v>
      </c>
      <c r="Q50" s="40">
        <f t="shared" si="74"/>
        <v>8.4569445915214248E-3</v>
      </c>
      <c r="R50" s="40">
        <f t="shared" si="75"/>
        <v>0.88775639907016624</v>
      </c>
      <c r="S50" s="39">
        <f>SUMIFS('C.Pagar'!$G$2:$G$4509,'C.Pagar'!$D$2:$D$4509,TRIM($A50),'C.Pagar'!$K$2:$K$4509,"&gt;=01/04/2026",'C.Pagar'!$K$2:$K$4509,"&lt;=30/04/2026")</f>
        <v>5295.03</v>
      </c>
      <c r="T50" s="40">
        <f t="shared" si="76"/>
        <v>5.991884352647611E-3</v>
      </c>
      <c r="U50" s="40">
        <f t="shared" si="77"/>
        <v>-0.3957087001476769</v>
      </c>
    </row>
    <row r="51" spans="1:21" x14ac:dyDescent="0.3">
      <c r="A51" s="37" t="s">
        <v>1740</v>
      </c>
      <c r="B51" s="39">
        <f>SUMIFS('C.Pagar'!G$2:G$4509,'C.Pagar'!D$2:D$4509,TRIM(A51),'C.Pagar'!K$2:K$4509,"&gt;=01/10/2025",'C.Pagar'!K$2:K$4509,"&lt;=31/10/2025")</f>
        <v>0</v>
      </c>
      <c r="C51" s="70">
        <f>B51/B3</f>
        <v>0</v>
      </c>
      <c r="D51" s="39">
        <f>SUMIFS('C.Pagar'!G$2:G$4509,'C.Pagar'!D$2:D$4509,TRIM(A51),'C.Pagar'!K$2:K$4509,"&gt;=01/11/2025",'C.Pagar'!K$2:K$4509,"&lt;=30/11/2025")</f>
        <v>0</v>
      </c>
      <c r="E51" s="40">
        <f>D51/D3</f>
        <v>0</v>
      </c>
      <c r="F51" s="40">
        <f t="shared" si="12"/>
        <v>0</v>
      </c>
      <c r="G51" s="39">
        <f>SUMIFS('C.Pagar'!G$2:G$4509,'C.Pagar'!D$2:D$4509,TRIM(A51),'C.Pagar'!K$2:K$4509,"&gt;=01/12/2025",'C.Pagar'!K$2:K$4509,"&lt;=31/12/2025")</f>
        <v>0</v>
      </c>
      <c r="H51" s="40">
        <f>G51/G3</f>
        <v>0</v>
      </c>
      <c r="I51" s="40">
        <f t="shared" si="3"/>
        <v>0</v>
      </c>
      <c r="J51" s="39">
        <f>SUMIFS('C.Pagar'!G$2:G$4509,'C.Pagar'!D$2:D$4509,TRIM(A51),'C.Pagar'!K$2:K$4509,"&gt;=01/01/2026",'C.Pagar'!K$2:K$4509,"&lt;=31/01/2026")</f>
        <v>0</v>
      </c>
      <c r="K51" s="40">
        <f>J51/J3</f>
        <v>0</v>
      </c>
      <c r="L51" s="40">
        <f t="shared" si="67"/>
        <v>0</v>
      </c>
      <c r="M51" s="39">
        <f>SUMIFS('C.Pagar'!$G$2:$G$4509,'C.Pagar'!$D$2:$D$4509,TRIM($A51),'C.Pagar'!$K$2:$K$4509,"&gt;=01/02/2026",'C.Pagar'!$K$2:$K$4509,"&lt;=28/02/2026")</f>
        <v>0</v>
      </c>
      <c r="N51" s="40">
        <f>M51/M3</f>
        <v>0</v>
      </c>
      <c r="O51" s="40">
        <f t="shared" si="69"/>
        <v>0</v>
      </c>
      <c r="P51" s="39">
        <f>SUMIFS('C.Pagar'!$G$2:$G$4509,'C.Pagar'!$D$2:$D$4509,TRIM($A51),'C.Pagar'!$K$2:$K$4509,"&gt;=01/03/2026",'C.Pagar'!$K$2:$K$4509,"&lt;=31/03/2026")</f>
        <v>0</v>
      </c>
      <c r="Q51" s="40">
        <f>P51/P3</f>
        <v>0</v>
      </c>
      <c r="R51" s="40">
        <f t="shared" si="75"/>
        <v>0</v>
      </c>
      <c r="S51" s="39">
        <f>SUMIFS('C.Pagar'!$G$2:$G$4509,'C.Pagar'!$D$2:$D$4509,TRIM($A51),'C.Pagar'!$K$2:$K$4509,"&gt;=01/04/2026",'C.Pagar'!$K$2:$K$4509,"&lt;=30/04/2026")</f>
        <v>0</v>
      </c>
      <c r="T51" s="40">
        <f>S51/S3</f>
        <v>0</v>
      </c>
      <c r="U51" s="40">
        <f t="shared" si="77"/>
        <v>0</v>
      </c>
    </row>
    <row r="52" spans="1:21" x14ac:dyDescent="0.3">
      <c r="A52" s="37" t="s">
        <v>1741</v>
      </c>
      <c r="B52" s="39">
        <f>SUMIFS('C.Pagar'!G$2:G$4509,'C.Pagar'!D$2:D$4509,TRIM(A52),'C.Pagar'!K$2:K$4509,"&gt;=01/10/2025",'C.Pagar'!K$2:K$4509,"&lt;=31/10/2025")</f>
        <v>0</v>
      </c>
      <c r="C52" s="70">
        <f>B52/B4</f>
        <v>0</v>
      </c>
      <c r="D52" s="39">
        <f>SUMIFS('C.Pagar'!G$2:G$4509,'C.Pagar'!D$2:D$4509,TRIM(A52),'C.Pagar'!K$2:K$4509,"&gt;=01/11/2025",'C.Pagar'!K$2:K$4509,"&lt;=30/11/2025")</f>
        <v>0</v>
      </c>
      <c r="E52" s="40">
        <f>D52/D4</f>
        <v>0</v>
      </c>
      <c r="F52" s="40">
        <f t="shared" si="12"/>
        <v>0</v>
      </c>
      <c r="G52" s="39">
        <f>SUMIFS('C.Pagar'!G$2:G$4509,'C.Pagar'!D$2:D$4509,TRIM(A52),'C.Pagar'!K$2:K$4509,"&gt;=01/12/2025",'C.Pagar'!K$2:K$4509,"&lt;=31/12/2025")</f>
        <v>0</v>
      </c>
      <c r="H52" s="40">
        <f>G52/G4</f>
        <v>0</v>
      </c>
      <c r="I52" s="40">
        <f t="shared" si="3"/>
        <v>0</v>
      </c>
      <c r="J52" s="39">
        <f>SUMIFS('C.Pagar'!G$2:G$4509,'C.Pagar'!D$2:D$4509,TRIM(A52),'C.Pagar'!K$2:K$4509,"&gt;=01/01/2026",'C.Pagar'!K$2:K$4509,"&lt;=31/01/2026")</f>
        <v>0</v>
      </c>
      <c r="K52" s="40">
        <f>J52/J4</f>
        <v>0</v>
      </c>
      <c r="L52" s="40">
        <f t="shared" si="67"/>
        <v>0</v>
      </c>
      <c r="M52" s="39">
        <f>SUMIFS('C.Pagar'!$G$2:$G$4509,'C.Pagar'!$D$2:$D$4509,TRIM($A52),'C.Pagar'!$K$2:$K$4509,"&gt;=01/02/2026",'C.Pagar'!$K$2:$K$4509,"&lt;=28/02/2026")</f>
        <v>0</v>
      </c>
      <c r="N52" s="40">
        <f>M52/M4</f>
        <v>0</v>
      </c>
      <c r="O52" s="40">
        <f t="shared" si="69"/>
        <v>0</v>
      </c>
      <c r="P52" s="39">
        <f>SUMIFS('C.Pagar'!$G$2:$G$4509,'C.Pagar'!$D$2:$D$4509,TRIM($A52),'C.Pagar'!$K$2:$K$4509,"&gt;=01/03/2026",'C.Pagar'!$K$2:$K$4509,"&lt;=31/03/2026")</f>
        <v>0</v>
      </c>
      <c r="Q52" s="40">
        <f>P52/P4</f>
        <v>0</v>
      </c>
      <c r="R52" s="40">
        <f t="shared" si="75"/>
        <v>0</v>
      </c>
      <c r="S52" s="39">
        <f>SUMIFS('C.Pagar'!$G$2:$G$4509,'C.Pagar'!$D$2:$D$4509,TRIM($A52),'C.Pagar'!$K$2:$K$4509,"&gt;=01/04/2026",'C.Pagar'!$K$2:$K$4509,"&lt;=30/04/2026")</f>
        <v>0</v>
      </c>
      <c r="T52" s="40">
        <f>S52/S4</f>
        <v>0</v>
      </c>
      <c r="U52" s="40">
        <f t="shared" si="77"/>
        <v>0</v>
      </c>
    </row>
    <row r="53" spans="1:21" x14ac:dyDescent="0.3">
      <c r="A53" s="37" t="s">
        <v>1742</v>
      </c>
      <c r="B53" s="39">
        <f>SUMIFS('C.Pagar'!G$2:G$4509,'C.Pagar'!D$2:D$4509,TRIM(A53),'C.Pagar'!K$2:K$4509,"&gt;=01/10/2025",'C.Pagar'!K$2:K$4509,"&lt;=31/10/2025")</f>
        <v>0</v>
      </c>
      <c r="C53" s="70">
        <f t="shared" ref="C53:C126" si="109">B53/B$3</f>
        <v>0</v>
      </c>
      <c r="D53" s="39">
        <f>SUMIFS('C.Pagar'!G$2:G$4509,'C.Pagar'!D$2:D$4509,TRIM(A53),'C.Pagar'!K$2:K$4509,"&gt;=01/11/2025",'C.Pagar'!K$2:K$4509,"&lt;=30/11/2025")</f>
        <v>6838.7499999999991</v>
      </c>
      <c r="E53" s="40">
        <f t="shared" ref="E53:E101" si="110">D53/D$3</f>
        <v>6.9148798537919109E-3</v>
      </c>
      <c r="F53" s="40">
        <f t="shared" si="12"/>
        <v>0</v>
      </c>
      <c r="G53" s="39">
        <f>SUMIFS('C.Pagar'!G$2:G$4509,'C.Pagar'!D$2:D$4509,TRIM(A53),'C.Pagar'!K$2:K$4509,"&gt;=01/12/2025",'C.Pagar'!K$2:K$4509,"&lt;=31/12/2025")</f>
        <v>6023.5599999999995</v>
      </c>
      <c r="H53" s="40">
        <f t="shared" ref="H53:H126" si="111">G53/G$3</f>
        <v>5.5185911913167894E-3</v>
      </c>
      <c r="I53" s="40">
        <f t="shared" si="3"/>
        <v>-0.11920160848108208</v>
      </c>
      <c r="J53" s="39">
        <f>SUMIFS('C.Pagar'!G$2:G$4509,'C.Pagar'!D$2:D$4509,TRIM(A53),'C.Pagar'!K$2:K$4509,"&gt;=01/01/2026",'C.Pagar'!K$2:K$4509,"&lt;=31/01/2026")</f>
        <v>0</v>
      </c>
      <c r="K53" s="40">
        <f t="shared" ref="K53:K105" si="112">J53/J$3</f>
        <v>0</v>
      </c>
      <c r="L53" s="40">
        <f t="shared" si="67"/>
        <v>-1</v>
      </c>
      <c r="M53" s="39">
        <f>SUMIFS('C.Pagar'!$G$2:$G$4509,'C.Pagar'!$D$2:$D$4509,TRIM($A53),'C.Pagar'!$K$2:$K$4509,"&gt;=01/02/2026",'C.Pagar'!$K$2:$K$4509,"&lt;=28/02/2026")</f>
        <v>0</v>
      </c>
      <c r="N53" s="40">
        <f t="shared" ref="N53:N105" si="113">M53/M$3</f>
        <v>0</v>
      </c>
      <c r="O53" s="40">
        <f t="shared" si="69"/>
        <v>0</v>
      </c>
      <c r="P53" s="39">
        <f>SUMIFS('C.Pagar'!$G$2:$G$4509,'C.Pagar'!$D$2:$D$4509,TRIM($A53),'C.Pagar'!$K$2:$K$4509,"&gt;=01/03/2026",'C.Pagar'!$K$2:$K$4509,"&lt;=31/03/2026")</f>
        <v>0</v>
      </c>
      <c r="Q53" s="40">
        <f t="shared" ref="Q53:Q88" si="114">P53/P$3</f>
        <v>0</v>
      </c>
      <c r="R53" s="40">
        <f t="shared" si="75"/>
        <v>0</v>
      </c>
      <c r="S53" s="39">
        <f>SUMIFS('C.Pagar'!$G$2:$G$4509,'C.Pagar'!$D$2:$D$4509,TRIM($A53),'C.Pagar'!$K$2:$K$4509,"&gt;=01/04/2026",'C.Pagar'!$K$2:$K$4509,"&lt;=30/04/2026")</f>
        <v>0</v>
      </c>
      <c r="T53" s="40">
        <f t="shared" ref="T53:T88" si="115">S53/S$3</f>
        <v>0</v>
      </c>
      <c r="U53" s="40">
        <f t="shared" si="77"/>
        <v>0</v>
      </c>
    </row>
    <row r="54" spans="1:21" x14ac:dyDescent="0.3">
      <c r="A54" s="37" t="s">
        <v>1743</v>
      </c>
      <c r="B54" s="39">
        <f>SUMIFS('C.Pagar'!G$2:G$4509,'C.Pagar'!D$2:D$4509,TRIM(A54),'C.Pagar'!K$2:K$4509,"&gt;=01/10/2025",'C.Pagar'!K$2:K$4509,"&lt;=31/10/2025")</f>
        <v>0</v>
      </c>
      <c r="C54" s="70">
        <f t="shared" ref="C54" si="116">B54/B$3</f>
        <v>0</v>
      </c>
      <c r="D54" s="39">
        <f>SUMIFS('C.Pagar'!G$2:G$4509,'C.Pagar'!D$2:D$4509,TRIM(A54),'C.Pagar'!K$2:K$4509,"&gt;=01/11/2025",'C.Pagar'!K$2:K$4509,"&lt;=30/11/2025")</f>
        <v>0</v>
      </c>
      <c r="E54" s="40">
        <f t="shared" ref="E54" si="117">D54/D$3</f>
        <v>0</v>
      </c>
      <c r="F54" s="40">
        <f t="shared" ref="F54" si="118">IFERROR(D54/B54-1,0)</f>
        <v>0</v>
      </c>
      <c r="G54" s="39">
        <f>SUMIFS('C.Pagar'!G$2:G$4509,'C.Pagar'!D$2:D$4509,TRIM(A54),'C.Pagar'!K$2:K$4509,"&gt;=01/12/2025",'C.Pagar'!K$2:K$4509,"&lt;=31/12/2025")</f>
        <v>0</v>
      </c>
      <c r="H54" s="40">
        <f t="shared" ref="H54" si="119">G54/G$3</f>
        <v>0</v>
      </c>
      <c r="I54" s="40">
        <f t="shared" ref="I54" si="120">IFERROR(G54/D54-1,0)</f>
        <v>0</v>
      </c>
      <c r="J54" s="39">
        <f>SUMIFS('C.Pagar'!G$2:G$4509,'C.Pagar'!D$2:D$4509,TRIM(A54),'C.Pagar'!K$2:K$4509,"&gt;=01/01/2026",'C.Pagar'!K$2:K$4509,"&lt;=31/01/2026")</f>
        <v>21415.81</v>
      </c>
      <c r="K54" s="40">
        <f t="shared" si="112"/>
        <v>2.2709759645028971E-2</v>
      </c>
      <c r="L54" s="40">
        <f t="shared" si="67"/>
        <v>0</v>
      </c>
      <c r="M54" s="39">
        <f>SUMIFS('C.Pagar'!$G$2:$G$4509,'C.Pagar'!$D$2:$D$4509,TRIM($A54),'C.Pagar'!$K$2:$K$4509,"&gt;=01/02/2026",'C.Pagar'!$K$2:$K$4509,"&lt;=28/02/2026")</f>
        <v>0</v>
      </c>
      <c r="N54" s="40">
        <f t="shared" si="113"/>
        <v>0</v>
      </c>
      <c r="O54" s="40">
        <f t="shared" si="69"/>
        <v>-1</v>
      </c>
      <c r="P54" s="39">
        <f>SUMIFS('C.Pagar'!$G$2:$G$4509,'C.Pagar'!$D$2:$D$4509,TRIM($A54),'C.Pagar'!$K$2:$K$4509,"&gt;=01/03/2026",'C.Pagar'!$K$2:$K$4509,"&lt;=31/03/2026")</f>
        <v>0</v>
      </c>
      <c r="Q54" s="40">
        <f t="shared" si="114"/>
        <v>0</v>
      </c>
      <c r="R54" s="40">
        <f t="shared" si="75"/>
        <v>0</v>
      </c>
      <c r="S54" s="39">
        <f>SUMIFS('C.Pagar'!$G$2:$G$4509,'C.Pagar'!$D$2:$D$4509,TRIM($A54),'C.Pagar'!$K$2:$K$4509,"&gt;=01/04/2026",'C.Pagar'!$K$2:$K$4509,"&lt;=30/04/2026")</f>
        <v>17033.690000000002</v>
      </c>
      <c r="T54" s="40">
        <f t="shared" si="115"/>
        <v>1.9275414979490219E-2</v>
      </c>
      <c r="U54" s="40">
        <f t="shared" si="77"/>
        <v>0</v>
      </c>
    </row>
    <row r="55" spans="1:21" x14ac:dyDescent="0.3">
      <c r="A55" s="38" t="s">
        <v>1744</v>
      </c>
      <c r="B55" s="39">
        <f>SUMIFS('C.Pagar'!G$2:G$4509,'C.Pagar'!D$2:D$4509,TRIM(A55),'C.Pagar'!K$2:K$4509,"&gt;=01/10/2025",'C.Pagar'!K$2:K$4509,"&lt;=31/10/2025")</f>
        <v>1518</v>
      </c>
      <c r="C55" s="70">
        <f t="shared" si="109"/>
        <v>1.3515978424082148E-3</v>
      </c>
      <c r="D55" s="39">
        <f>SUMIFS('C.Pagar'!G$2:G$4509,'C.Pagar'!D$2:D$4509,TRIM(A55),'C.Pagar'!K$2:K$4509,"&gt;=01/11/2025",'C.Pagar'!K$2:K$4509,"&lt;=30/11/2025")</f>
        <v>1518</v>
      </c>
      <c r="E55" s="40">
        <f t="shared" si="110"/>
        <v>1.5348985732854868E-3</v>
      </c>
      <c r="F55" s="40">
        <f t="shared" si="12"/>
        <v>0</v>
      </c>
      <c r="G55" s="39">
        <f>SUMIFS('C.Pagar'!G$2:G$4509,'C.Pagar'!D$2:D$4509,TRIM(A55),'C.Pagar'!K$2:K$4509,"&gt;=01/12/2025",'C.Pagar'!K$2:K$4509,"&lt;=31/12/2025")</f>
        <v>759</v>
      </c>
      <c r="H55" s="40">
        <f t="shared" si="111"/>
        <v>6.9537129441882262E-4</v>
      </c>
      <c r="I55" s="40">
        <f t="shared" si="3"/>
        <v>-0.5</v>
      </c>
      <c r="J55" s="39">
        <f>SUMIFS('C.Pagar'!G$2:G$4509,'C.Pagar'!D$2:D$4509,TRIM(A55),'C.Pagar'!K$2:K$4509,"&gt;=01/01/2026",'C.Pagar'!K$2:K$4509,"&lt;=31/01/2026")</f>
        <v>0</v>
      </c>
      <c r="K55" s="40">
        <f t="shared" si="112"/>
        <v>0</v>
      </c>
      <c r="L55" s="40">
        <f t="shared" si="67"/>
        <v>-1</v>
      </c>
      <c r="M55" s="39">
        <f>SUMIFS('C.Pagar'!$G$2:$G$4509,'C.Pagar'!$D$2:$D$4509,TRIM($A55),'C.Pagar'!$K$2:$K$4509,"&gt;=01/02/2026",'C.Pagar'!$K$2:$K$4509,"&lt;=28/02/2026")</f>
        <v>0</v>
      </c>
      <c r="N55" s="40">
        <f t="shared" si="113"/>
        <v>0</v>
      </c>
      <c r="O55" s="40">
        <f t="shared" si="69"/>
        <v>0</v>
      </c>
      <c r="P55" s="39">
        <f>SUMIFS('C.Pagar'!$G$2:$G$4509,'C.Pagar'!$D$2:$D$4509,TRIM($A55),'C.Pagar'!$K$2:$K$4509,"&gt;=01/03/2026",'C.Pagar'!$K$2:$K$4509,"&lt;=31/03/2026")</f>
        <v>0</v>
      </c>
      <c r="Q55" s="40">
        <f t="shared" si="114"/>
        <v>0</v>
      </c>
      <c r="R55" s="40">
        <f t="shared" si="75"/>
        <v>0</v>
      </c>
      <c r="S55" s="39">
        <f>SUMIFS('C.Pagar'!$G$2:$G$4509,'C.Pagar'!$D$2:$D$4509,TRIM($A55),'C.Pagar'!$K$2:$K$4509,"&gt;=01/04/2026",'C.Pagar'!$K$2:$K$4509,"&lt;=30/04/2026")</f>
        <v>0</v>
      </c>
      <c r="T55" s="40">
        <f t="shared" si="115"/>
        <v>0</v>
      </c>
      <c r="U55" s="40">
        <f t="shared" si="77"/>
        <v>0</v>
      </c>
    </row>
    <row r="56" spans="1:21" x14ac:dyDescent="0.3">
      <c r="A56" s="44" t="s">
        <v>1745</v>
      </c>
      <c r="B56" s="45">
        <f>SUM(B57:B59)</f>
        <v>4540.4400000000005</v>
      </c>
      <c r="C56" s="73">
        <f t="shared" si="109"/>
        <v>4.0427199654703263E-3</v>
      </c>
      <c r="D56" s="45">
        <f>SUM(D57:D59)</f>
        <v>4300.33</v>
      </c>
      <c r="E56" s="46">
        <f t="shared" si="110"/>
        <v>4.3482018324484699E-3</v>
      </c>
      <c r="F56" s="46">
        <f t="shared" si="12"/>
        <v>-5.2882540018148183E-2</v>
      </c>
      <c r="G56" s="45">
        <f>SUM(G57:G59)</f>
        <v>45.04</v>
      </c>
      <c r="H56" s="46">
        <f t="shared" si="111"/>
        <v>4.1264193808463469E-5</v>
      </c>
      <c r="I56" s="46">
        <f t="shared" si="3"/>
        <v>-0.98952638518439284</v>
      </c>
      <c r="J56" s="45">
        <f>SUM(J57:J59)</f>
        <v>11483.1</v>
      </c>
      <c r="K56" s="46">
        <f t="shared" si="112"/>
        <v>1.2176912336252151E-2</v>
      </c>
      <c r="L56" s="46">
        <f t="shared" si="67"/>
        <v>253.95337477797514</v>
      </c>
      <c r="M56" s="45">
        <f>SUM(M57:M59)</f>
        <v>2189.94</v>
      </c>
      <c r="N56" s="46">
        <f t="shared" si="113"/>
        <v>3.1658221086806201E-3</v>
      </c>
      <c r="O56" s="46">
        <f t="shared" si="69"/>
        <v>-0.80929017425608074</v>
      </c>
      <c r="P56" s="45">
        <f>SUM(P57:P59)</f>
        <v>13143.77</v>
      </c>
      <c r="Q56" s="46">
        <f t="shared" si="114"/>
        <v>1.2685609915765072E-2</v>
      </c>
      <c r="R56" s="46">
        <f t="shared" si="75"/>
        <v>5.0018858964172539</v>
      </c>
      <c r="S56" s="45">
        <f>SUM(S57:S59)</f>
        <v>12587.89</v>
      </c>
      <c r="T56" s="46">
        <f t="shared" si="115"/>
        <v>1.4244523850450202E-2</v>
      </c>
      <c r="U56" s="46">
        <f t="shared" si="77"/>
        <v>-4.229227991664497E-2</v>
      </c>
    </row>
    <row r="57" spans="1:21" x14ac:dyDescent="0.3">
      <c r="A57" s="38" t="s">
        <v>1746</v>
      </c>
      <c r="B57" s="39">
        <f>SUMIFS('C.Pagar'!G$2:G$4509,'C.Pagar'!D$2:D$4509,TRIM(A57),'C.Pagar'!K$2:K$4509,"&gt;=01/10/2025",'C.Pagar'!K$2:K$4509,"&lt;=31/10/2025")</f>
        <v>2206.13</v>
      </c>
      <c r="C57" s="70">
        <f t="shared" si="109"/>
        <v>1.9642954862134619E-3</v>
      </c>
      <c r="D57" s="39">
        <f>SUMIFS('C.Pagar'!G$2:G$4509,'C.Pagar'!D$2:D$4509,TRIM(A57),'C.Pagar'!K$2:K$4509,"&gt;=01/11/2025",'C.Pagar'!K$2:K$4509,"&lt;=30/11/2025")</f>
        <v>2454.59</v>
      </c>
      <c r="E57" s="40">
        <f t="shared" si="110"/>
        <v>2.4819148148885529E-3</v>
      </c>
      <c r="F57" s="40">
        <f>IFERROR(D57/B57-1,0)</f>
        <v>0.11262255624101924</v>
      </c>
      <c r="G57" s="39">
        <f>SUMIFS('C.Pagar'!G$2:G$4509,'C.Pagar'!D$2:D$4509,TRIM(A57),'C.Pagar'!K$2:K$4509,"&gt;=01/12/2025",'C.Pagar'!K$2:K$4509,"&lt;=31/12/2025")</f>
        <v>0</v>
      </c>
      <c r="H57" s="40">
        <f t="shared" si="111"/>
        <v>0</v>
      </c>
      <c r="I57" s="40">
        <f t="shared" si="3"/>
        <v>-1</v>
      </c>
      <c r="J57" s="39">
        <f>SUMIFS('C.Pagar'!G$2:G$4509,'C.Pagar'!D$2:D$4509,TRIM(A57),'C.Pagar'!K$2:K$4509,"&gt;=01/01/2026",'C.Pagar'!K$2:K$4509,"&lt;=31/01/2026")</f>
        <v>4232.25</v>
      </c>
      <c r="K57" s="40">
        <f t="shared" si="112"/>
        <v>4.4879638107395356E-3</v>
      </c>
      <c r="L57" s="40">
        <f t="shared" si="67"/>
        <v>0</v>
      </c>
      <c r="M57" s="39">
        <f>SUMIFS('C.Pagar'!$G$2:$G$4509,'C.Pagar'!$D$2:$D$4509,TRIM($A57),'C.Pagar'!$K$2:$K$4509,"&gt;=01/02/2026",'C.Pagar'!$K$2:$K$4509,"&lt;=28/02/2026")</f>
        <v>0</v>
      </c>
      <c r="N57" s="40">
        <f t="shared" si="113"/>
        <v>0</v>
      </c>
      <c r="O57" s="40">
        <f t="shared" si="69"/>
        <v>-1</v>
      </c>
      <c r="P57" s="39">
        <f>SUMIFS('C.Pagar'!$G$2:$G$4509,'C.Pagar'!$D$2:$D$4509,TRIM($A57),'C.Pagar'!$K$2:$K$4509,"&gt;=01/03/2026",'C.Pagar'!$K$2:$K$4509,"&lt;=31/03/2026")</f>
        <v>10449.35</v>
      </c>
      <c r="Q57" s="40">
        <f t="shared" si="114"/>
        <v>1.0085110890809849E-2</v>
      </c>
      <c r="R57" s="40">
        <f t="shared" si="75"/>
        <v>0</v>
      </c>
      <c r="S57" s="39">
        <f>SUMIFS('C.Pagar'!$G$2:$G$4509,'C.Pagar'!$D$2:$D$4509,TRIM($A57),'C.Pagar'!$K$2:$K$4509,"&gt;=01/04/2026",'C.Pagar'!$K$2:$K$4509,"&lt;=30/04/2026")</f>
        <v>8982.7099999999991</v>
      </c>
      <c r="T57" s="40">
        <f t="shared" si="115"/>
        <v>1.0164882822830318E-2</v>
      </c>
      <c r="U57" s="40">
        <f t="shared" si="77"/>
        <v>-0.14035705570202939</v>
      </c>
    </row>
    <row r="58" spans="1:21" x14ac:dyDescent="0.3">
      <c r="A58" s="38" t="s">
        <v>1747</v>
      </c>
      <c r="B58" s="39">
        <f>SUMIFS('C.Pagar'!G$2:G$4509,'C.Pagar'!D$2:D$4509,TRIM(A58),'C.Pagar'!K$2:K$4509,"&gt;=01/10/2025",'C.Pagar'!K$2:K$4509,"&lt;=31/10/2025")</f>
        <v>2270.2199999999998</v>
      </c>
      <c r="C58" s="70">
        <f t="shared" si="109"/>
        <v>2.0213599827351627E-3</v>
      </c>
      <c r="D58" s="39">
        <f>SUMIFS('C.Pagar'!G$2:G$4509,'C.Pagar'!D$2:D$4509,TRIM(A58),'C.Pagar'!K$2:K$4509,"&gt;=01/11/2025",'C.Pagar'!K$2:K$4509,"&lt;=30/11/2025")</f>
        <v>1845.74</v>
      </c>
      <c r="E58" s="40">
        <f t="shared" si="110"/>
        <v>1.8662870175599172E-3</v>
      </c>
      <c r="F58" s="40">
        <f t="shared" ref="F58" si="121">IFERROR(D58/B58-1,0)</f>
        <v>-0.186977473548819</v>
      </c>
      <c r="G58" s="39">
        <f>SUMIFS('C.Pagar'!G$2:G$4509,'C.Pagar'!D$2:D$4509,TRIM(A58),'C.Pagar'!K$2:K$4509,"&gt;=01/12/2025",'C.Pagar'!K$2:K$4509,"&lt;=31/12/2025")</f>
        <v>0</v>
      </c>
      <c r="H58" s="40">
        <f t="shared" si="111"/>
        <v>0</v>
      </c>
      <c r="I58" s="40">
        <f t="shared" si="3"/>
        <v>-1</v>
      </c>
      <c r="J58" s="39">
        <f>SUMIFS('C.Pagar'!G$2:G$4509,'C.Pagar'!D$2:D$4509,TRIM(A58),'C.Pagar'!K$2:K$4509,"&gt;=01/01/2026",'C.Pagar'!K$2:K$4509,"&lt;=31/01/2026")</f>
        <v>7250.85</v>
      </c>
      <c r="K58" s="40">
        <f t="shared" si="112"/>
        <v>7.6889485255126145E-3</v>
      </c>
      <c r="L58" s="40">
        <f t="shared" si="67"/>
        <v>0</v>
      </c>
      <c r="M58" s="39">
        <f>SUMIFS('C.Pagar'!$G$2:$G$4509,'C.Pagar'!$D$2:$D$4509,TRIM($A58),'C.Pagar'!$K$2:$K$4509,"&gt;=01/02/2026",'C.Pagar'!$K$2:$K$4509,"&lt;=28/02/2026")</f>
        <v>1561.04</v>
      </c>
      <c r="N58" s="40">
        <f t="shared" si="113"/>
        <v>2.2566713903279518E-3</v>
      </c>
      <c r="O58" s="40">
        <f t="shared" si="69"/>
        <v>-0.78470937890040482</v>
      </c>
      <c r="P58" s="39">
        <f>SUMIFS('C.Pagar'!$G$2:$G$4509,'C.Pagar'!$D$2:$D$4509,TRIM($A58),'C.Pagar'!$K$2:$K$4509,"&gt;=01/03/2026",'C.Pagar'!$K$2:$K$4509,"&lt;=31/03/2026")</f>
        <v>2561.73</v>
      </c>
      <c r="Q58" s="40">
        <f t="shared" si="114"/>
        <v>2.4724342779516729E-3</v>
      </c>
      <c r="R58" s="40">
        <f t="shared" si="75"/>
        <v>0.64104058832573152</v>
      </c>
      <c r="S58" s="39">
        <f>SUMIFS('C.Pagar'!$G$2:$G$4509,'C.Pagar'!$D$2:$D$4509,TRIM($A58),'C.Pagar'!$K$2:$K$4509,"&gt;=01/04/2026",'C.Pagar'!$K$2:$K$4509,"&lt;=30/04/2026")</f>
        <v>2689.59</v>
      </c>
      <c r="T58" s="40">
        <f t="shared" si="115"/>
        <v>3.0435544720308458E-3</v>
      </c>
      <c r="U58" s="40">
        <f t="shared" si="77"/>
        <v>4.9911583187923769E-2</v>
      </c>
    </row>
    <row r="59" spans="1:21" x14ac:dyDescent="0.3">
      <c r="A59" s="38" t="s">
        <v>1748</v>
      </c>
      <c r="B59" s="39">
        <f>SUMIFS('C.Pagar'!G$2:G$4509,'C.Pagar'!D$2:D$4509,TRIM(A59),'C.Pagar'!K$2:K$4509,"&gt;=01/10/2025",'C.Pagar'!K$2:K$4509,"&lt;=31/10/2025")</f>
        <v>64.09</v>
      </c>
      <c r="C59" s="70">
        <f t="shared" si="109"/>
        <v>5.7064496521701244E-5</v>
      </c>
      <c r="D59" s="39">
        <f>SUMIFS('C.Pagar'!G$2:G$4509,'C.Pagar'!D$2:D$4509,TRIM(A59),'C.Pagar'!K$2:K$4509,"&gt;=01/11/2025",'C.Pagar'!K$2:K$4509,"&lt;=30/11/2025")</f>
        <v>0</v>
      </c>
      <c r="E59" s="40">
        <f t="shared" si="110"/>
        <v>0</v>
      </c>
      <c r="F59" s="40">
        <f t="shared" si="12"/>
        <v>-1</v>
      </c>
      <c r="G59" s="39">
        <f>SUMIFS('C.Pagar'!G$2:G$4509,'C.Pagar'!D$2:D$4509,TRIM(A59),'C.Pagar'!K$2:K$4509,"&gt;=01/12/2025",'C.Pagar'!K$2:K$4509,"&lt;=31/12/2025")</f>
        <v>45.04</v>
      </c>
      <c r="H59" s="40">
        <f t="shared" si="111"/>
        <v>4.1264193808463469E-5</v>
      </c>
      <c r="I59" s="40">
        <f t="shared" si="3"/>
        <v>0</v>
      </c>
      <c r="J59" s="39">
        <f>SUMIFS('C.Pagar'!G$2:G$4509,'C.Pagar'!D$2:D$4509,TRIM(A59),'C.Pagar'!K$2:K$4509,"&gt;=01/01/2026",'C.Pagar'!K$2:K$4509,"&lt;=31/01/2026")</f>
        <v>0</v>
      </c>
      <c r="K59" s="40">
        <f t="shared" si="112"/>
        <v>0</v>
      </c>
      <c r="L59" s="40">
        <f t="shared" si="67"/>
        <v>-1</v>
      </c>
      <c r="M59" s="39">
        <f>SUMIFS('C.Pagar'!$G$2:$G$4509,'C.Pagar'!$D$2:$D$4509,TRIM($A59),'C.Pagar'!$K$2:$K$4509,"&gt;=01/02/2026",'C.Pagar'!$K$2:$K$4509,"&lt;=28/02/2026")</f>
        <v>628.9</v>
      </c>
      <c r="N59" s="40">
        <f t="shared" si="113"/>
        <v>9.0915071835266799E-4</v>
      </c>
      <c r="O59" s="40">
        <f t="shared" si="69"/>
        <v>0</v>
      </c>
      <c r="P59" s="39">
        <f>SUMIFS('C.Pagar'!$G$2:$G$4509,'C.Pagar'!$D$2:$D$4509,TRIM($A59),'C.Pagar'!$K$2:$K$4509,"&gt;=01/03/2026",'C.Pagar'!$K$2:$K$4509,"&lt;=31/03/2026")</f>
        <v>132.69</v>
      </c>
      <c r="Q59" s="40">
        <f t="shared" si="114"/>
        <v>1.280647470035513E-4</v>
      </c>
      <c r="R59" s="40">
        <f t="shared" si="75"/>
        <v>-0.78901256161551914</v>
      </c>
      <c r="S59" s="39">
        <f>SUMIFS('C.Pagar'!$G$2:$G$4509,'C.Pagar'!$D$2:$D$4509,TRIM($A59),'C.Pagar'!$K$2:$K$4509,"&gt;=01/04/2026",'C.Pagar'!$K$2:$K$4509,"&lt;=30/04/2026")</f>
        <v>915.59</v>
      </c>
      <c r="T59" s="40">
        <f t="shared" si="115"/>
        <v>1.0360865555890384E-3</v>
      </c>
      <c r="U59" s="40">
        <f t="shared" si="77"/>
        <v>5.9002185545255861</v>
      </c>
    </row>
    <row r="60" spans="1:21" x14ac:dyDescent="0.3">
      <c r="A60" s="44" t="s">
        <v>1749</v>
      </c>
      <c r="B60" s="45">
        <f>SUM(B61:B64)</f>
        <v>3102.7</v>
      </c>
      <c r="C60" s="73">
        <f t="shared" si="109"/>
        <v>2.7625840748616388E-3</v>
      </c>
      <c r="D60" s="45">
        <f>SUM(D61:D64)</f>
        <v>5480.0999999999995</v>
      </c>
      <c r="E60" s="46">
        <f t="shared" si="110"/>
        <v>5.5411051854162025E-3</v>
      </c>
      <c r="F60" s="46">
        <f t="shared" si="12"/>
        <v>0.76623585909046943</v>
      </c>
      <c r="G60" s="45">
        <f>SUM(G61:G64)</f>
        <v>3786.8500000000004</v>
      </c>
      <c r="H60" s="46">
        <f t="shared" si="111"/>
        <v>3.4693897052304598E-3</v>
      </c>
      <c r="I60" s="46">
        <f t="shared" si="3"/>
        <v>-0.30898158792722752</v>
      </c>
      <c r="J60" s="45">
        <f>SUM(J61:J64)</f>
        <v>3407.2</v>
      </c>
      <c r="K60" s="46">
        <f t="shared" si="112"/>
        <v>3.6130640429917291E-3</v>
      </c>
      <c r="L60" s="46">
        <f t="shared" si="67"/>
        <v>-0.10025482921161399</v>
      </c>
      <c r="M60" s="45">
        <f>SUM(M61:M64)</f>
        <v>2298.4699999999998</v>
      </c>
      <c r="N60" s="46">
        <f t="shared" si="113"/>
        <v>3.3227152991128269E-3</v>
      </c>
      <c r="O60" s="46">
        <f t="shared" si="69"/>
        <v>-0.32540795961493307</v>
      </c>
      <c r="P60" s="45">
        <f>SUM(P61:P64)</f>
        <v>5270.8499999999995</v>
      </c>
      <c r="Q60" s="46">
        <f t="shared" si="114"/>
        <v>5.0871208964026549E-3</v>
      </c>
      <c r="R60" s="46">
        <f t="shared" si="75"/>
        <v>1.2931993891588753</v>
      </c>
      <c r="S60" s="45">
        <f>SUM(S61:S64)</f>
        <v>2739.6</v>
      </c>
      <c r="T60" s="46">
        <f t="shared" si="115"/>
        <v>3.1001460563043824E-3</v>
      </c>
      <c r="U60" s="46">
        <f t="shared" si="77"/>
        <v>-0.48023563561854343</v>
      </c>
    </row>
    <row r="61" spans="1:21" s="10" customFormat="1" x14ac:dyDescent="0.3">
      <c r="A61" s="38" t="s">
        <v>1750</v>
      </c>
      <c r="B61" s="39">
        <f>SUMIFS('C.Pagar'!G$2:G$4509,'C.Pagar'!D$2:D$4509,TRIM(A61),'C.Pagar'!K$2:K$4509,"&gt;=01/10/2025",'C.Pagar'!K$2:K$4509,"&lt;=31/10/2025")</f>
        <v>1680</v>
      </c>
      <c r="C61" s="70">
        <f t="shared" si="109"/>
        <v>1.4958395093845856E-3</v>
      </c>
      <c r="D61" s="39">
        <f>SUMIFS('C.Pagar'!G$2:G$4509,'C.Pagar'!D$2:D$4509,TRIM(A61),'C.Pagar'!K$2:K$4509,"&gt;=01/11/2025",'C.Pagar'!K$2:K$4509,"&lt;=30/11/2025")</f>
        <v>1680</v>
      </c>
      <c r="E61" s="40">
        <f t="shared" si="110"/>
        <v>1.6987019783396692E-3</v>
      </c>
      <c r="F61" s="40">
        <f t="shared" si="12"/>
        <v>0</v>
      </c>
      <c r="G61" s="39">
        <f>SUMIFS('C.Pagar'!G$2:G$4509,'C.Pagar'!D$2:D$4509,TRIM(A61),'C.Pagar'!K$2:K$4509,"&gt;=01/12/2025",'C.Pagar'!K$2:K$4509,"&lt;=31/12/2025")</f>
        <v>1680</v>
      </c>
      <c r="H61" s="40">
        <f t="shared" si="111"/>
        <v>1.539161758397394E-3</v>
      </c>
      <c r="I61" s="40">
        <f t="shared" si="3"/>
        <v>0</v>
      </c>
      <c r="J61" s="39">
        <f>SUMIFS('C.Pagar'!G$2:G$4509,'C.Pagar'!D$2:D$4509,TRIM(A61),'C.Pagar'!K$2:K$4509,"&gt;=01/01/2026",'C.Pagar'!K$2:K$4509,"&lt;=31/01/2026")</f>
        <v>1960</v>
      </c>
      <c r="K61" s="40">
        <f t="shared" si="112"/>
        <v>2.0784237861774446E-3</v>
      </c>
      <c r="L61" s="40">
        <f t="shared" si="67"/>
        <v>0.16666666666666674</v>
      </c>
      <c r="M61" s="39">
        <f>SUMIFS('C.Pagar'!$G$2:$G$4509,'C.Pagar'!$D$2:$D$4509,TRIM($A61),'C.Pagar'!$K$2:$K$4509,"&gt;=01/02/2026",'C.Pagar'!$K$2:$K$4509,"&lt;=28/02/2026")</f>
        <v>1400</v>
      </c>
      <c r="N61" s="40">
        <f t="shared" si="113"/>
        <v>2.0238686686178012E-3</v>
      </c>
      <c r="O61" s="40">
        <f t="shared" si="69"/>
        <v>-0.2857142857142857</v>
      </c>
      <c r="P61" s="39">
        <f>SUMIFS('C.Pagar'!$G$2:$G$4509,'C.Pagar'!$D$2:$D$4509,TRIM($A61),'C.Pagar'!$K$2:$K$4509,"&gt;=01/03/2026",'C.Pagar'!$K$2:$K$4509,"&lt;=31/03/2026")</f>
        <v>2520</v>
      </c>
      <c r="Q61" s="40">
        <f t="shared" si="114"/>
        <v>2.4321588849871827E-3</v>
      </c>
      <c r="R61" s="40">
        <f t="shared" si="75"/>
        <v>0.8</v>
      </c>
      <c r="S61" s="39">
        <f>SUMIFS('C.Pagar'!$G$2:$G$4509,'C.Pagar'!$D$2:$D$4509,TRIM($A61),'C.Pagar'!$K$2:$K$4509,"&gt;=01/04/2026",'C.Pagar'!$K$2:$K$4509,"&lt;=30/04/2026")</f>
        <v>2240</v>
      </c>
      <c r="T61" s="40">
        <f t="shared" si="115"/>
        <v>2.5347960162512106E-3</v>
      </c>
      <c r="U61" s="40">
        <f t="shared" si="77"/>
        <v>-0.11111111111111116</v>
      </c>
    </row>
    <row r="62" spans="1:21" s="10" customFormat="1" x14ac:dyDescent="0.3">
      <c r="A62" s="38" t="s">
        <v>1751</v>
      </c>
      <c r="B62" s="39">
        <f>SUMIFS('C.Pagar'!G$2:G$4509,'C.Pagar'!D$2:D$4509,TRIM(A62),'C.Pagar'!K$2:K$4509,"&gt;=01/10/2025",'C.Pagar'!K$2:K$4509,"&lt;=31/10/2025")</f>
        <v>1117.5</v>
      </c>
      <c r="C62" s="70">
        <f t="shared" ref="C62:C63" si="122">B62/B$3</f>
        <v>9.9500038793885379E-4</v>
      </c>
      <c r="D62" s="39">
        <f>SUMIFS('C.Pagar'!G$2:G$4509,'C.Pagar'!D$2:D$4509,TRIM(A62),'C.Pagar'!K$2:K$4509,"&gt;=01/11/2025",'C.Pagar'!K$2:K$4509,"&lt;=30/11/2025")</f>
        <v>1247</v>
      </c>
      <c r="E62" s="40">
        <f t="shared" ref="E62:E63" si="123">D62/D$3</f>
        <v>1.2608817660652188E-3</v>
      </c>
      <c r="F62" s="40">
        <f t="shared" ref="F62:F63" si="124">IFERROR(D62/B62-1,0)</f>
        <v>0.11588366890380319</v>
      </c>
      <c r="G62" s="39">
        <f>SUMIFS('C.Pagar'!G$2:G$4509,'C.Pagar'!D$2:D$4509,TRIM(A62),'C.Pagar'!K$2:K$4509,"&gt;=01/12/2025",'C.Pagar'!K$2:K$4509,"&lt;=31/12/2025")</f>
        <v>0</v>
      </c>
      <c r="H62" s="40">
        <f t="shared" ref="H62:H63" si="125">G62/G$3</f>
        <v>0</v>
      </c>
      <c r="I62" s="40">
        <f t="shared" ref="I62:I63" si="126">IFERROR(G62/D62-1,0)</f>
        <v>-1</v>
      </c>
      <c r="J62" s="39">
        <f>SUMIFS('C.Pagar'!G$2:G$4509,'C.Pagar'!D$2:D$4509,TRIM(A62),'C.Pagar'!K$2:K$4509,"&gt;=01/01/2026",'C.Pagar'!K$2:K$4509,"&lt;=31/01/2026")</f>
        <v>0</v>
      </c>
      <c r="K62" s="40">
        <f t="shared" si="112"/>
        <v>0</v>
      </c>
      <c r="L62" s="40">
        <f t="shared" si="67"/>
        <v>0</v>
      </c>
      <c r="M62" s="39">
        <f>SUMIFS('C.Pagar'!$G$2:$G$4509,'C.Pagar'!$D$2:$D$4509,TRIM($A62),'C.Pagar'!$K$2:$K$4509,"&gt;=01/02/2026",'C.Pagar'!$K$2:$K$4509,"&lt;=28/02/2026")</f>
        <v>0</v>
      </c>
      <c r="N62" s="40">
        <f t="shared" si="113"/>
        <v>0</v>
      </c>
      <c r="O62" s="40">
        <f t="shared" si="69"/>
        <v>0</v>
      </c>
      <c r="P62" s="39">
        <f>SUMIFS('C.Pagar'!$G$2:$G$4509,'C.Pagar'!$D$2:$D$4509,TRIM($A62),'C.Pagar'!$K$2:$K$4509,"&gt;=01/03/2026",'C.Pagar'!$K$2:$K$4509,"&lt;=31/03/2026")</f>
        <v>0</v>
      </c>
      <c r="Q62" s="40">
        <f t="shared" si="114"/>
        <v>0</v>
      </c>
      <c r="R62" s="40">
        <f t="shared" si="75"/>
        <v>0</v>
      </c>
      <c r="S62" s="39">
        <f>SUMIFS('C.Pagar'!$G$2:$G$4509,'C.Pagar'!$D$2:$D$4509,TRIM($A62),'C.Pagar'!$K$2:$K$4509,"&gt;=01/04/2026",'C.Pagar'!$K$2:$K$4509,"&lt;=30/04/2026")</f>
        <v>0</v>
      </c>
      <c r="T62" s="40">
        <f t="shared" si="115"/>
        <v>0</v>
      </c>
      <c r="U62" s="40">
        <f t="shared" si="77"/>
        <v>0</v>
      </c>
    </row>
    <row r="63" spans="1:21" s="10" customFormat="1" x14ac:dyDescent="0.3">
      <c r="A63" s="38" t="s">
        <v>1752</v>
      </c>
      <c r="B63" s="39">
        <f>SUMIFS('C.Pagar'!G$2:G$4509,'C.Pagar'!D$2:D$4509,TRIM(A63),'C.Pagar'!K$2:K$4509,"&gt;=01/10/2025",'C.Pagar'!K$2:K$4509,"&lt;=31/10/2025")</f>
        <v>140</v>
      </c>
      <c r="C63" s="70">
        <f t="shared" si="122"/>
        <v>1.2465329244871546E-4</v>
      </c>
      <c r="D63" s="39">
        <f>SUMIFS('C.Pagar'!G$2:G$4509,'C.Pagar'!D$2:D$4509,TRIM(A63),'C.Pagar'!K$2:K$4509,"&gt;=01/11/2025",'C.Pagar'!K$2:K$4509,"&lt;=30/11/2025")</f>
        <v>2387.8999999999996</v>
      </c>
      <c r="E63" s="40">
        <f t="shared" si="123"/>
        <v>2.4144824131412473E-3</v>
      </c>
      <c r="F63" s="40">
        <f t="shared" si="124"/>
        <v>16.056428571428569</v>
      </c>
      <c r="G63" s="39">
        <f>SUMIFS('C.Pagar'!G$2:G$4509,'C.Pagar'!D$2:D$4509,TRIM(A63),'C.Pagar'!K$2:K$4509,"&gt;=01/12/2025",'C.Pagar'!K$2:K$4509,"&lt;=31/12/2025")</f>
        <v>1941.6500000000003</v>
      </c>
      <c r="H63" s="40">
        <f t="shared" si="125"/>
        <v>1.7788770405906551E-3</v>
      </c>
      <c r="I63" s="40">
        <f t="shared" si="126"/>
        <v>-0.18687968507893937</v>
      </c>
      <c r="J63" s="39">
        <f>SUMIFS('C.Pagar'!G$2:G$4509,'C.Pagar'!D$2:D$4509,TRIM(A63),'C.Pagar'!K$2:K$4509,"&gt;=01/01/2026",'C.Pagar'!K$2:K$4509,"&lt;=31/01/2026")</f>
        <v>1282</v>
      </c>
      <c r="K63" s="40">
        <f t="shared" si="112"/>
        <v>1.3594588234079E-3</v>
      </c>
      <c r="L63" s="40">
        <f t="shared" si="67"/>
        <v>-0.3397368217752943</v>
      </c>
      <c r="M63" s="39">
        <f>SUMIFS('C.Pagar'!$G$2:$G$4509,'C.Pagar'!$D$2:$D$4509,TRIM($A63),'C.Pagar'!$K$2:$K$4509,"&gt;=01/02/2026",'C.Pagar'!$K$2:$K$4509,"&lt;=28/02/2026")</f>
        <v>733.27</v>
      </c>
      <c r="N63" s="40">
        <f t="shared" si="113"/>
        <v>1.0600301275981252E-3</v>
      </c>
      <c r="O63" s="40">
        <f t="shared" si="69"/>
        <v>-0.42802652106084249</v>
      </c>
      <c r="P63" s="39">
        <f>SUMIFS('C.Pagar'!$G$2:$G$4509,'C.Pagar'!$D$2:$D$4509,TRIM($A63),'C.Pagar'!$K$2:$K$4509,"&gt;=01/03/2026",'C.Pagar'!$K$2:$K$4509,"&lt;=31/03/2026")</f>
        <v>2585.65</v>
      </c>
      <c r="Q63" s="40">
        <f t="shared" si="114"/>
        <v>2.4955204845107577E-3</v>
      </c>
      <c r="R63" s="40">
        <f t="shared" si="75"/>
        <v>2.5261908983048538</v>
      </c>
      <c r="S63" s="39">
        <f>SUMIFS('C.Pagar'!$G$2:$G$4509,'C.Pagar'!$D$2:$D$4509,TRIM($A63),'C.Pagar'!$K$2:$K$4509,"&gt;=01/04/2026",'C.Pagar'!$K$2:$K$4509,"&lt;=30/04/2026")</f>
        <v>328.99</v>
      </c>
      <c r="T63" s="40">
        <f t="shared" si="115"/>
        <v>3.7228684883325259E-4</v>
      </c>
      <c r="U63" s="40">
        <f t="shared" si="77"/>
        <v>-0.87276313499506897</v>
      </c>
    </row>
    <row r="64" spans="1:21" s="10" customFormat="1" x14ac:dyDescent="0.3">
      <c r="A64" s="38" t="s">
        <v>1753</v>
      </c>
      <c r="B64" s="39">
        <f>SUMIFS('C.Pagar'!G$2:G$4509,'C.Pagar'!D$2:D$4509,TRIM(A64),'C.Pagar'!K$2:K$4509,"&gt;=01/10/2025",'C.Pagar'!K$2:K$4509,"&lt;=31/10/2025")</f>
        <v>165.2</v>
      </c>
      <c r="C64" s="70">
        <f t="shared" si="109"/>
        <v>1.4709088508948424E-4</v>
      </c>
      <c r="D64" s="39">
        <f>SUMIFS('C.Pagar'!G$2:G$4509,'C.Pagar'!D$2:D$4509,TRIM(A64),'C.Pagar'!K$2:K$4509,"&gt;=01/11/2025",'C.Pagar'!K$2:K$4509,"&lt;=30/11/2025")</f>
        <v>165.2</v>
      </c>
      <c r="E64" s="40">
        <f t="shared" si="110"/>
        <v>1.6703902787006746E-4</v>
      </c>
      <c r="F64" s="40">
        <f t="shared" si="12"/>
        <v>0</v>
      </c>
      <c r="G64" s="39">
        <f>SUMIFS('C.Pagar'!G$2:G$4509,'C.Pagar'!D$2:D$4509,TRIM(A64),'C.Pagar'!K$2:K$4509,"&gt;=01/12/2025",'C.Pagar'!K$2:K$4509,"&lt;=31/12/2025")</f>
        <v>165.2</v>
      </c>
      <c r="H64" s="40">
        <f t="shared" si="111"/>
        <v>1.513509062424104E-4</v>
      </c>
      <c r="I64" s="40">
        <f t="shared" si="3"/>
        <v>0</v>
      </c>
      <c r="J64" s="39">
        <f>SUMIFS('C.Pagar'!G$2:G$4509,'C.Pagar'!D$2:D$4509,TRIM(A64),'C.Pagar'!K$2:K$4509,"&gt;=01/01/2026",'C.Pagar'!K$2:K$4509,"&lt;=31/01/2026")</f>
        <v>165.2</v>
      </c>
      <c r="K64" s="40">
        <f t="shared" si="112"/>
        <v>1.751814334063846E-4</v>
      </c>
      <c r="L64" s="40">
        <f t="shared" si="67"/>
        <v>0</v>
      </c>
      <c r="M64" s="39">
        <f>SUMIFS('C.Pagar'!$G$2:$G$4509,'C.Pagar'!$D$2:$D$4509,TRIM($A64),'C.Pagar'!$K$2:$K$4509,"&gt;=01/02/2026",'C.Pagar'!$K$2:$K$4509,"&lt;=28/02/2026")</f>
        <v>165.2</v>
      </c>
      <c r="N64" s="40">
        <f t="shared" si="113"/>
        <v>2.3881650289690054E-4</v>
      </c>
      <c r="O64" s="40">
        <f t="shared" si="69"/>
        <v>0</v>
      </c>
      <c r="P64" s="39">
        <f>SUMIFS('C.Pagar'!$G$2:$G$4509,'C.Pagar'!$D$2:$D$4509,TRIM($A64),'C.Pagar'!$K$2:$K$4509,"&gt;=01/03/2026",'C.Pagar'!$K$2:$K$4509,"&lt;=31/03/2026")</f>
        <v>165.2</v>
      </c>
      <c r="Q64" s="40">
        <f t="shared" si="114"/>
        <v>1.594415269047153E-4</v>
      </c>
      <c r="R64" s="40">
        <f t="shared" si="75"/>
        <v>0</v>
      </c>
      <c r="S64" s="39">
        <f>SUMIFS('C.Pagar'!$G$2:$G$4509,'C.Pagar'!$D$2:$D$4509,TRIM($A64),'C.Pagar'!$K$2:$K$4509,"&gt;=01/04/2026",'C.Pagar'!$K$2:$K$4509,"&lt;=30/04/2026")</f>
        <v>170.61</v>
      </c>
      <c r="T64" s="40">
        <f t="shared" si="115"/>
        <v>1.9306319121991926E-4</v>
      </c>
      <c r="U64" s="40">
        <f t="shared" si="77"/>
        <v>3.274818401937063E-2</v>
      </c>
    </row>
    <row r="65" spans="1:21" x14ac:dyDescent="0.3">
      <c r="A65" s="44" t="s">
        <v>1754</v>
      </c>
      <c r="B65" s="45">
        <f>SUM(B66:B68)</f>
        <v>0</v>
      </c>
      <c r="C65" s="73">
        <f t="shared" si="109"/>
        <v>0</v>
      </c>
      <c r="D65" s="45">
        <f>SUM(D66:D68)</f>
        <v>606.04</v>
      </c>
      <c r="E65" s="46">
        <f t="shared" si="110"/>
        <v>6.1278651604343632E-4</v>
      </c>
      <c r="F65" s="46">
        <f t="shared" si="12"/>
        <v>0</v>
      </c>
      <c r="G65" s="45">
        <f>SUM(G66:G68)</f>
        <v>0</v>
      </c>
      <c r="H65" s="46">
        <f t="shared" si="111"/>
        <v>0</v>
      </c>
      <c r="I65" s="46">
        <f t="shared" si="3"/>
        <v>-1</v>
      </c>
      <c r="J65" s="45">
        <f>SUM(J66:J68)</f>
        <v>0</v>
      </c>
      <c r="K65" s="46">
        <f t="shared" si="112"/>
        <v>0</v>
      </c>
      <c r="L65" s="46">
        <f t="shared" si="67"/>
        <v>0</v>
      </c>
      <c r="M65" s="45">
        <f>SUM(M66:M68)</f>
        <v>0</v>
      </c>
      <c r="N65" s="46">
        <f t="shared" si="113"/>
        <v>0</v>
      </c>
      <c r="O65" s="46">
        <f t="shared" si="69"/>
        <v>0</v>
      </c>
      <c r="P65" s="45">
        <f>SUM(P66:P68)</f>
        <v>0</v>
      </c>
      <c r="Q65" s="46">
        <f t="shared" si="114"/>
        <v>0</v>
      </c>
      <c r="R65" s="46">
        <f t="shared" si="75"/>
        <v>0</v>
      </c>
      <c r="S65" s="45">
        <f>SUM(S66:S68)</f>
        <v>525</v>
      </c>
      <c r="T65" s="46">
        <f t="shared" si="115"/>
        <v>5.9409281630887754E-4</v>
      </c>
      <c r="U65" s="46">
        <f t="shared" si="77"/>
        <v>0</v>
      </c>
    </row>
    <row r="66" spans="1:21" x14ac:dyDescent="0.3">
      <c r="A66" s="37" t="s">
        <v>1755</v>
      </c>
      <c r="B66" s="39">
        <f>SUMIFS('C.Pagar'!G$2:G$4509,'C.Pagar'!D$2:D$4509,TRIM(A66),'C.Pagar'!K$2:K$4509,"&gt;=01/10/2025",'C.Pagar'!K$2:K$4509,"&lt;=31/10/2025")</f>
        <v>0</v>
      </c>
      <c r="C66" s="70">
        <f t="shared" si="109"/>
        <v>0</v>
      </c>
      <c r="D66" s="39">
        <f>SUMIFS('C.Pagar'!G$2:G$4509,'C.Pagar'!D$2:D$4509,TRIM(A66),'C.Pagar'!K$2:K$4509,"&gt;=01/11/2025",'C.Pagar'!K$2:K$4509,"&lt;=30/11/2025")</f>
        <v>0</v>
      </c>
      <c r="E66" s="40">
        <f t="shared" si="110"/>
        <v>0</v>
      </c>
      <c r="F66" s="40">
        <f t="shared" si="12"/>
        <v>0</v>
      </c>
      <c r="G66" s="39">
        <f>SUMIFS('C.Pagar'!G$2:G$4509,'C.Pagar'!D$2:D$4509,TRIM(A66),'C.Pagar'!K$2:K$4509,"&gt;=01/12/2025",'C.Pagar'!K$2:K$4509,"&lt;=31/12/2025")</f>
        <v>0</v>
      </c>
      <c r="H66" s="40">
        <f t="shared" si="111"/>
        <v>0</v>
      </c>
      <c r="I66" s="40">
        <f t="shared" si="3"/>
        <v>0</v>
      </c>
      <c r="J66" s="39">
        <f>SUMIFS('C.Pagar'!G$2:G$4509,'C.Pagar'!D$2:D$4509,TRIM(A66),'C.Pagar'!K$2:K$4509,"&gt;=01/01/2026",'C.Pagar'!K$2:K$4509,"&lt;=31/01/2026")</f>
        <v>0</v>
      </c>
      <c r="K66" s="40">
        <f t="shared" si="112"/>
        <v>0</v>
      </c>
      <c r="L66" s="40">
        <f t="shared" si="67"/>
        <v>0</v>
      </c>
      <c r="M66" s="39">
        <f>SUMIFS('C.Pagar'!$G$2:$G$4509,'C.Pagar'!$D$2:$D$4509,TRIM($A66),'C.Pagar'!$K$2:$K$4509,"&gt;=01/02/2026",'C.Pagar'!$K$2:$K$4509,"&lt;=28/02/2026")</f>
        <v>0</v>
      </c>
      <c r="N66" s="40">
        <f t="shared" si="113"/>
        <v>0</v>
      </c>
      <c r="O66" s="40">
        <f t="shared" si="69"/>
        <v>0</v>
      </c>
      <c r="P66" s="39">
        <f>SUMIFS('C.Pagar'!$G$2:$G$4509,'C.Pagar'!$D$2:$D$4509,TRIM($A66),'C.Pagar'!$K$2:$K$4509,"&gt;=01/03/2026",'C.Pagar'!$K$2:$K$4509,"&lt;=31/03/2026")</f>
        <v>0</v>
      </c>
      <c r="Q66" s="40">
        <f t="shared" si="114"/>
        <v>0</v>
      </c>
      <c r="R66" s="40">
        <f t="shared" si="75"/>
        <v>0</v>
      </c>
      <c r="S66" s="39">
        <f>SUMIFS('C.Pagar'!$G$2:$G$4509,'C.Pagar'!$D$2:$D$4509,TRIM($A66),'C.Pagar'!$K$2:$K$4509,"&gt;=01/04/2026",'C.Pagar'!$K$2:$K$4509,"&lt;=30/04/2026")</f>
        <v>525</v>
      </c>
      <c r="T66" s="40">
        <f t="shared" si="115"/>
        <v>5.9409281630887754E-4</v>
      </c>
      <c r="U66" s="40">
        <f t="shared" si="77"/>
        <v>0</v>
      </c>
    </row>
    <row r="67" spans="1:21" x14ac:dyDescent="0.3">
      <c r="A67" s="37" t="s">
        <v>1756</v>
      </c>
      <c r="B67" s="39">
        <f>SUMIFS('C.Pagar'!G$2:G$4509,'C.Pagar'!D$2:D$4509,TRIM(A67),'C.Pagar'!K$2:K$4509,"&gt;=01/10/2025",'C.Pagar'!K$2:K$4509,"&lt;=31/10/2025")</f>
        <v>0</v>
      </c>
      <c r="C67" s="70">
        <f t="shared" si="109"/>
        <v>0</v>
      </c>
      <c r="D67" s="39">
        <f>SUMIFS('C.Pagar'!G$2:G$4509,'C.Pagar'!D$2:D$4509,TRIM(A67),'C.Pagar'!K$2:K$4509,"&gt;=01/11/2025",'C.Pagar'!K$2:K$4509,"&lt;=30/11/2025")</f>
        <v>606.04</v>
      </c>
      <c r="E67" s="40">
        <f t="shared" si="110"/>
        <v>6.1278651604343632E-4</v>
      </c>
      <c r="F67" s="40">
        <f t="shared" si="12"/>
        <v>0</v>
      </c>
      <c r="G67" s="39">
        <f>SUMIFS('C.Pagar'!G$2:G$4509,'C.Pagar'!D$2:D$4509,TRIM(A67),'C.Pagar'!K$2:K$4509,"&gt;=01/12/2025",'C.Pagar'!K$2:K$4509,"&lt;=31/12/2025")</f>
        <v>0</v>
      </c>
      <c r="H67" s="40">
        <f t="shared" si="111"/>
        <v>0</v>
      </c>
      <c r="I67" s="40">
        <f t="shared" si="3"/>
        <v>-1</v>
      </c>
      <c r="J67" s="39">
        <f>SUMIFS('C.Pagar'!G$2:G$4509,'C.Pagar'!D$2:D$4509,TRIM(A67),'C.Pagar'!K$2:K$4509,"&gt;=01/01/2026",'C.Pagar'!K$2:K$4509,"&lt;=31/01/2026")</f>
        <v>0</v>
      </c>
      <c r="K67" s="40">
        <f t="shared" si="112"/>
        <v>0</v>
      </c>
      <c r="L67" s="40">
        <f t="shared" si="67"/>
        <v>0</v>
      </c>
      <c r="M67" s="39">
        <f>SUMIFS('C.Pagar'!$G$2:$G$4509,'C.Pagar'!$D$2:$D$4509,TRIM($A67),'C.Pagar'!$K$2:$K$4509,"&gt;=01/02/2026",'C.Pagar'!$K$2:$K$4509,"&lt;=28/02/2026")</f>
        <v>0</v>
      </c>
      <c r="N67" s="40">
        <f t="shared" si="113"/>
        <v>0</v>
      </c>
      <c r="O67" s="40">
        <f t="shared" si="69"/>
        <v>0</v>
      </c>
      <c r="P67" s="39">
        <f>SUMIFS('C.Pagar'!$G$2:$G$4509,'C.Pagar'!$D$2:$D$4509,TRIM($A67),'C.Pagar'!$K$2:$K$4509,"&gt;=01/03/2026",'C.Pagar'!$K$2:$K$4509,"&lt;=31/03/2026")</f>
        <v>0</v>
      </c>
      <c r="Q67" s="40">
        <f t="shared" si="114"/>
        <v>0</v>
      </c>
      <c r="R67" s="40">
        <f t="shared" si="75"/>
        <v>0</v>
      </c>
      <c r="S67" s="39">
        <f>SUMIFS('C.Pagar'!$G$2:$G$4509,'C.Pagar'!$D$2:$D$4509,TRIM($A67),'C.Pagar'!$K$2:$K$4509,"&gt;=01/04/2026",'C.Pagar'!$K$2:$K$4509,"&lt;=30/04/2026")</f>
        <v>0</v>
      </c>
      <c r="T67" s="40">
        <f t="shared" si="115"/>
        <v>0</v>
      </c>
      <c r="U67" s="40">
        <f t="shared" si="77"/>
        <v>0</v>
      </c>
    </row>
    <row r="68" spans="1:21" x14ac:dyDescent="0.3">
      <c r="A68" s="37" t="s">
        <v>1757</v>
      </c>
      <c r="B68" s="39">
        <f>SUMIFS('C.Pagar'!G$2:G$4509,'C.Pagar'!D$2:D$4509,TRIM(A68),'C.Pagar'!K$2:K$4509,"&gt;=01/10/2025",'C.Pagar'!K$2:K$4509,"&lt;=31/10/2025")</f>
        <v>0</v>
      </c>
      <c r="C68" s="70">
        <f t="shared" si="109"/>
        <v>0</v>
      </c>
      <c r="D68" s="39">
        <f>SUMIFS('C.Pagar'!G$2:G$4509,'C.Pagar'!D$2:D$4509,TRIM(A68),'C.Pagar'!K$2:K$4509,"&gt;=01/11/2025",'C.Pagar'!K$2:K$4509,"&lt;=30/11/2025")</f>
        <v>0</v>
      </c>
      <c r="E68" s="40">
        <f t="shared" si="110"/>
        <v>0</v>
      </c>
      <c r="F68" s="40">
        <f t="shared" si="12"/>
        <v>0</v>
      </c>
      <c r="G68" s="39">
        <f>SUMIFS('C.Pagar'!G$2:G$4509,'C.Pagar'!D$2:D$4509,TRIM(A68),'C.Pagar'!K$2:K$4509,"&gt;=01/12/2025",'C.Pagar'!K$2:K$4509,"&lt;=31/12/2025")</f>
        <v>0</v>
      </c>
      <c r="H68" s="40">
        <f t="shared" si="111"/>
        <v>0</v>
      </c>
      <c r="I68" s="40">
        <f t="shared" si="3"/>
        <v>0</v>
      </c>
      <c r="J68" s="39">
        <f>SUMIFS('C.Pagar'!G$2:G$4509,'C.Pagar'!D$2:D$4509,TRIM(A68),'C.Pagar'!K$2:K$4509,"&gt;=01/01/2026",'C.Pagar'!K$2:K$4509,"&lt;=31/01/2026")</f>
        <v>0</v>
      </c>
      <c r="K68" s="40">
        <f t="shared" si="112"/>
        <v>0</v>
      </c>
      <c r="L68" s="40">
        <f t="shared" si="67"/>
        <v>0</v>
      </c>
      <c r="M68" s="39">
        <f>SUMIFS('C.Pagar'!$G$2:$G$4509,'C.Pagar'!$D$2:$D$4509,TRIM($A68),'C.Pagar'!$K$2:$K$4509,"&gt;=01/02/2026",'C.Pagar'!$K$2:$K$4509,"&lt;=28/02/2026")</f>
        <v>0</v>
      </c>
      <c r="N68" s="40">
        <f t="shared" si="113"/>
        <v>0</v>
      </c>
      <c r="O68" s="40">
        <f t="shared" si="69"/>
        <v>0</v>
      </c>
      <c r="P68" s="39">
        <f>SUMIFS('C.Pagar'!$G$2:$G$4509,'C.Pagar'!$D$2:$D$4509,TRIM($A68),'C.Pagar'!$K$2:$K$4509,"&gt;=01/03/2026",'C.Pagar'!$K$2:$K$4509,"&lt;=31/03/2026")</f>
        <v>0</v>
      </c>
      <c r="Q68" s="40">
        <f t="shared" si="114"/>
        <v>0</v>
      </c>
      <c r="R68" s="40">
        <f t="shared" si="75"/>
        <v>0</v>
      </c>
      <c r="S68" s="39">
        <f>SUMIFS('C.Pagar'!$G$2:$G$4509,'C.Pagar'!$D$2:$D$4509,TRIM($A68),'C.Pagar'!$K$2:$K$4509,"&gt;=01/04/2026",'C.Pagar'!$K$2:$K$4509,"&lt;=30/04/2026")</f>
        <v>0</v>
      </c>
      <c r="T68" s="40">
        <f t="shared" si="115"/>
        <v>0</v>
      </c>
      <c r="U68" s="40">
        <f t="shared" si="77"/>
        <v>0</v>
      </c>
    </row>
    <row r="69" spans="1:21" x14ac:dyDescent="0.3">
      <c r="A69" s="41" t="s">
        <v>1758</v>
      </c>
      <c r="B69" s="42">
        <f>B70+B78+B85+B94+B99</f>
        <v>22824.93</v>
      </c>
      <c r="C69" s="72">
        <f t="shared" si="109"/>
        <v>2.0322876245796137E-2</v>
      </c>
      <c r="D69" s="42">
        <f>D70+D78+D85+D94+D99</f>
        <v>34054.400000000001</v>
      </c>
      <c r="E69" s="43">
        <f t="shared" si="110"/>
        <v>3.443349800664907E-2</v>
      </c>
      <c r="F69" s="43">
        <f t="shared" si="12"/>
        <v>0.49198266982636962</v>
      </c>
      <c r="G69" s="42">
        <f>G70+G78+G85+G94+G99</f>
        <v>40759.760000000002</v>
      </c>
      <c r="H69" s="43">
        <f t="shared" si="111"/>
        <v>3.7342776115152243E-2</v>
      </c>
      <c r="I69" s="43">
        <f t="shared" si="3"/>
        <v>0.19690142830295065</v>
      </c>
      <c r="J69" s="42">
        <f>J70+J78+J85+J94+J99</f>
        <v>43808.67</v>
      </c>
      <c r="K69" s="43">
        <f t="shared" si="112"/>
        <v>4.6455602943264403E-2</v>
      </c>
      <c r="L69" s="43">
        <f t="shared" si="67"/>
        <v>7.4801961542462436E-2</v>
      </c>
      <c r="M69" s="42">
        <f>M70+M78+M85+M94+M99</f>
        <v>40352.75</v>
      </c>
      <c r="N69" s="43">
        <f t="shared" si="113"/>
        <v>5.8334761726833557E-2</v>
      </c>
      <c r="O69" s="43">
        <f t="shared" si="69"/>
        <v>-7.8886667867342219E-2</v>
      </c>
      <c r="P69" s="42">
        <f>P70+P78+P85+P94+P99</f>
        <v>63925.780000000006</v>
      </c>
      <c r="Q69" s="43">
        <f t="shared" si="114"/>
        <v>6.1697481669339665E-2</v>
      </c>
      <c r="R69" s="43">
        <f t="shared" si="75"/>
        <v>0.58417406496459368</v>
      </c>
      <c r="S69" s="42">
        <f>S70+S78+S85+S94+S99</f>
        <v>83087.429999999993</v>
      </c>
      <c r="T69" s="43">
        <f t="shared" si="115"/>
        <v>9.4022181502031843E-2</v>
      </c>
      <c r="U69" s="43">
        <f t="shared" si="77"/>
        <v>0.29974839571765854</v>
      </c>
    </row>
    <row r="70" spans="1:21" x14ac:dyDescent="0.3">
      <c r="A70" s="44" t="s">
        <v>1759</v>
      </c>
      <c r="B70" s="45">
        <f>SUM(B71:B77)</f>
        <v>7556.3899999999994</v>
      </c>
      <c r="C70" s="73">
        <f t="shared" si="109"/>
        <v>6.7280635180467785E-3</v>
      </c>
      <c r="D70" s="45">
        <f>SUM(D71:D77)</f>
        <v>8119.1999999999989</v>
      </c>
      <c r="E70" s="46">
        <f t="shared" si="110"/>
        <v>8.2095839896044291E-3</v>
      </c>
      <c r="F70" s="46">
        <f t="shared" si="12"/>
        <v>7.4481333017485829E-2</v>
      </c>
      <c r="G70" s="45">
        <f>SUM(G71:G77)</f>
        <v>10921.4</v>
      </c>
      <c r="H70" s="46">
        <f t="shared" si="111"/>
        <v>1.0005834064381726E-2</v>
      </c>
      <c r="I70" s="46">
        <f t="shared" si="3"/>
        <v>0.34513252537195793</v>
      </c>
      <c r="J70" s="45">
        <f>SUM(J71:J77)</f>
        <v>23224.67</v>
      </c>
      <c r="K70" s="46">
        <f t="shared" si="112"/>
        <v>2.4627911507204954E-2</v>
      </c>
      <c r="L70" s="46">
        <f t="shared" si="67"/>
        <v>1.1265286501730545</v>
      </c>
      <c r="M70" s="45">
        <f>SUM(M71:M77)</f>
        <v>8615.489999999998</v>
      </c>
      <c r="N70" s="46">
        <f t="shared" si="113"/>
        <v>1.2454728768421413E-2</v>
      </c>
      <c r="O70" s="46">
        <f t="shared" si="69"/>
        <v>-0.62903714024784851</v>
      </c>
      <c r="P70" s="45">
        <f>SUM(P71:P77)</f>
        <v>16115.67</v>
      </c>
      <c r="Q70" s="46">
        <f t="shared" si="114"/>
        <v>1.5553916657944996E-2</v>
      </c>
      <c r="R70" s="46">
        <f t="shared" si="75"/>
        <v>0.87054595850032945</v>
      </c>
      <c r="S70" s="45">
        <f>SUM(S71:S77)</f>
        <v>14484.939999999999</v>
      </c>
      <c r="T70" s="46">
        <f t="shared" si="115"/>
        <v>1.6391235806981166E-2</v>
      </c>
      <c r="U70" s="46">
        <f t="shared" si="77"/>
        <v>-0.10118909111442476</v>
      </c>
    </row>
    <row r="71" spans="1:21" x14ac:dyDescent="0.3">
      <c r="A71" s="38" t="s">
        <v>1760</v>
      </c>
      <c r="B71" s="39">
        <f>SUMIFS('C.Pagar'!G$2:G$4509,'C.Pagar'!D$2:D$4509,TRIM(A71),'C.Pagar'!K$2:K$4509,"&gt;=01/10/2025",'C.Pagar'!K$2:K$4509,"&lt;=31/10/2025")</f>
        <v>616.69000000000005</v>
      </c>
      <c r="C71" s="70">
        <f t="shared" si="109"/>
        <v>5.4908884942998825E-4</v>
      </c>
      <c r="D71" s="39">
        <f>SUMIFS('C.Pagar'!G$2:G$4509,'C.Pagar'!D$2:D$4509,TRIM(A71),'C.Pagar'!K$2:K$4509,"&gt;=01/11/2025",'C.Pagar'!K$2:K$4509,"&lt;=30/11/2025")</f>
        <v>778.23</v>
      </c>
      <c r="E71" s="40">
        <f t="shared" si="110"/>
        <v>7.8689335750195284E-4</v>
      </c>
      <c r="F71" s="40">
        <f t="shared" si="12"/>
        <v>0.26194684525450374</v>
      </c>
      <c r="G71" s="39">
        <f>SUMIFS('C.Pagar'!G$2:G$4509,'C.Pagar'!D$2:D$4509,TRIM(A71),'C.Pagar'!K$2:K$4509,"&gt;=01/12/2025",'C.Pagar'!K$2:K$4509,"&lt;=31/12/2025")</f>
        <v>644.21</v>
      </c>
      <c r="H71" s="40">
        <f t="shared" si="111"/>
        <v>5.902044026054674E-4</v>
      </c>
      <c r="I71" s="40">
        <f t="shared" si="3"/>
        <v>-0.17221130000128493</v>
      </c>
      <c r="J71" s="39">
        <f>SUMIFS('C.Pagar'!G$2:G$4509,'C.Pagar'!D$2:D$4509,TRIM(A71),'C.Pagar'!K$2:K$4509,"&gt;=01/01/2026",'C.Pagar'!K$2:K$4509,"&lt;=31/01/2026")</f>
        <v>769.88</v>
      </c>
      <c r="K71" s="40">
        <f t="shared" si="112"/>
        <v>8.1639637984810766E-4</v>
      </c>
      <c r="L71" s="40">
        <f t="shared" si="67"/>
        <v>0.19507613976808802</v>
      </c>
      <c r="M71" s="39">
        <f>SUMIFS('C.Pagar'!$G$2:$G$4509,'C.Pagar'!$D$2:$D$4509,TRIM($A71),'C.Pagar'!$K$2:$K$4509,"&gt;=01/02/2026",'C.Pagar'!$K$2:$K$4509,"&lt;=28/02/2026")</f>
        <v>0</v>
      </c>
      <c r="N71" s="40">
        <f t="shared" si="113"/>
        <v>0</v>
      </c>
      <c r="O71" s="40">
        <f t="shared" si="69"/>
        <v>-1</v>
      </c>
      <c r="P71" s="39">
        <f>SUMIFS('C.Pagar'!$G$2:$G$4509,'C.Pagar'!$D$2:$D$4509,TRIM($A71),'C.Pagar'!$K$2:$K$4509,"&gt;=01/03/2026",'C.Pagar'!$K$2:$K$4509,"&lt;=31/03/2026")</f>
        <v>749.62</v>
      </c>
      <c r="Q71" s="40">
        <f t="shared" si="114"/>
        <v>7.2349005689051262E-4</v>
      </c>
      <c r="R71" s="40">
        <f t="shared" si="75"/>
        <v>0</v>
      </c>
      <c r="S71" s="531">
        <f>SUMIFS('C.Pagar'!$G$2:$G$4509,'C.Pagar'!$D$2:$D$4509,TRIM($A71),'C.Pagar'!$K$2:$K$4509,"&gt;=01/04/2026",'C.Pagar'!$K$2:$K$4509,"&lt;=30/04/2026")</f>
        <v>175.56</v>
      </c>
      <c r="T71" s="40">
        <f t="shared" si="115"/>
        <v>1.9866463777368866E-4</v>
      </c>
      <c r="U71" s="40">
        <f t="shared" si="77"/>
        <v>-0.76580133934526828</v>
      </c>
    </row>
    <row r="72" spans="1:21" x14ac:dyDescent="0.3">
      <c r="A72" s="38" t="s">
        <v>1761</v>
      </c>
      <c r="B72" s="39">
        <f>SUMIFS('C.Pagar'!G$2:G$4509,'C.Pagar'!D$2:D$4509,TRIM(A72),'C.Pagar'!K$2:K$4509,"&gt;=01/10/2025",'C.Pagar'!K$2:K$4509,"&lt;=31/10/2025")</f>
        <v>227.84</v>
      </c>
      <c r="C72" s="70">
        <f t="shared" si="109"/>
        <v>2.0286432965368095E-4</v>
      </c>
      <c r="D72" s="39">
        <f>SUMIFS('C.Pagar'!G$2:G$4509,'C.Pagar'!D$2:D$4509,TRIM(A72),'C.Pagar'!K$2:K$4509,"&gt;=01/11/2025",'C.Pagar'!K$2:K$4509,"&lt;=30/11/2025")</f>
        <v>0</v>
      </c>
      <c r="E72" s="40">
        <f t="shared" si="110"/>
        <v>0</v>
      </c>
      <c r="F72" s="40">
        <f>IFERROR(D72/B72-1,0)</f>
        <v>-1</v>
      </c>
      <c r="G72" s="39">
        <f>SUMIFS('C.Pagar'!G$2:G$4509,'C.Pagar'!D$2:D$4509,TRIM(A72),'C.Pagar'!K$2:K$4509,"&gt;=01/12/2025",'C.Pagar'!K$2:K$4509,"&lt;=31/12/2025")</f>
        <v>0</v>
      </c>
      <c r="H72" s="40">
        <f t="shared" si="111"/>
        <v>0</v>
      </c>
      <c r="I72" s="40">
        <f t="shared" si="3"/>
        <v>0</v>
      </c>
      <c r="J72" s="39">
        <f>SUMIFS('C.Pagar'!G$2:G$4509,'C.Pagar'!D$2:D$4509,TRIM(A72),'C.Pagar'!K$2:K$4509,"&gt;=01/01/2026",'C.Pagar'!K$2:K$4509,"&lt;=31/01/2026")</f>
        <v>474.93</v>
      </c>
      <c r="K72" s="40">
        <f t="shared" si="112"/>
        <v>5.0362541263737441E-4</v>
      </c>
      <c r="L72" s="40">
        <f t="shared" si="67"/>
        <v>0</v>
      </c>
      <c r="M72" s="39">
        <f>SUMIFS('C.Pagar'!$G$2:$G$4509,'C.Pagar'!$D$2:$D$4509,TRIM($A72),'C.Pagar'!$K$2:$K$4509,"&gt;=01/02/2026",'C.Pagar'!$K$2:$K$4509,"&lt;=28/02/2026")</f>
        <v>0</v>
      </c>
      <c r="N72" s="40">
        <f t="shared" si="113"/>
        <v>0</v>
      </c>
      <c r="O72" s="40">
        <f t="shared" si="69"/>
        <v>-1</v>
      </c>
      <c r="P72" s="39">
        <f>SUMIFS('C.Pagar'!$G$2:$G$4509,'C.Pagar'!$D$2:$D$4509,TRIM($A72),'C.Pagar'!$K$2:$K$4509,"&gt;=01/03/2026",'C.Pagar'!$K$2:$K$4509,"&lt;=31/03/2026")</f>
        <v>766.06</v>
      </c>
      <c r="Q72" s="40">
        <f t="shared" si="114"/>
        <v>7.393569981878099E-4</v>
      </c>
      <c r="R72" s="40">
        <f t="shared" si="75"/>
        <v>0</v>
      </c>
      <c r="S72" s="531">
        <f>SUMIFS('C.Pagar'!$G$2:$G$4509,'C.Pagar'!$D$2:$D$4509,TRIM($A72),'C.Pagar'!$K$2:$K$4509,"&gt;=01/04/2026",'C.Pagar'!$K$2:$K$4509,"&lt;=30/04/2026")</f>
        <v>0</v>
      </c>
      <c r="T72" s="40">
        <f t="shared" si="115"/>
        <v>0</v>
      </c>
      <c r="U72" s="40">
        <f t="shared" si="77"/>
        <v>-1</v>
      </c>
    </row>
    <row r="73" spans="1:21" x14ac:dyDescent="0.3">
      <c r="A73" s="38" t="s">
        <v>1762</v>
      </c>
      <c r="B73" s="39">
        <f>SUMIFS('C.Pagar'!G$2:G$4509,'C.Pagar'!D$2:D$4509,TRIM(A73),'C.Pagar'!K$2:K$4509,"&gt;=01/10/2025",'C.Pagar'!K$2:K$4509,"&lt;=31/10/2025")</f>
        <v>224.71</v>
      </c>
      <c r="C73" s="70">
        <f t="shared" si="109"/>
        <v>2.0007743818679181E-4</v>
      </c>
      <c r="D73" s="39">
        <f>SUMIFS('C.Pagar'!G$2:G$4509,'C.Pagar'!D$2:D$4509,TRIM(A73),'C.Pagar'!K$2:K$4509,"&gt;=01/11/2025",'C.Pagar'!K$2:K$4509,"&lt;=30/11/2025")</f>
        <v>0</v>
      </c>
      <c r="E73" s="40">
        <f t="shared" si="110"/>
        <v>0</v>
      </c>
      <c r="F73" s="40">
        <f t="shared" si="12"/>
        <v>-1</v>
      </c>
      <c r="G73" s="39">
        <f>SUMIFS('C.Pagar'!G$2:G$4509,'C.Pagar'!D$2:D$4509,TRIM(A73),'C.Pagar'!K$2:K$4509,"&gt;=01/12/2025",'C.Pagar'!K$2:K$4509,"&lt;=31/12/2025")</f>
        <v>0</v>
      </c>
      <c r="H73" s="40">
        <f t="shared" si="111"/>
        <v>0</v>
      </c>
      <c r="I73" s="40">
        <f t="shared" si="3"/>
        <v>0</v>
      </c>
      <c r="J73" s="39">
        <f>SUMIFS('C.Pagar'!G$2:G$4509,'C.Pagar'!D$2:D$4509,TRIM(A73),'C.Pagar'!K$2:K$4509,"&gt;=01/01/2026",'C.Pagar'!K$2:K$4509,"&lt;=31/01/2026")</f>
        <v>0</v>
      </c>
      <c r="K73" s="40">
        <f t="shared" si="112"/>
        <v>0</v>
      </c>
      <c r="L73" s="40">
        <f t="shared" si="67"/>
        <v>0</v>
      </c>
      <c r="M73" s="39">
        <f>SUMIFS('C.Pagar'!$G$2:$G$4509,'C.Pagar'!$D$2:$D$4509,TRIM($A73),'C.Pagar'!$K$2:$K$4509,"&gt;=01/02/2026",'C.Pagar'!$K$2:$K$4509,"&lt;=28/02/2026")</f>
        <v>0</v>
      </c>
      <c r="N73" s="40">
        <f t="shared" si="113"/>
        <v>0</v>
      </c>
      <c r="O73" s="40">
        <f t="shared" si="69"/>
        <v>0</v>
      </c>
      <c r="P73" s="39">
        <f>SUMIFS('C.Pagar'!$G$2:$G$4509,'C.Pagar'!$D$2:$D$4509,TRIM($A73),'C.Pagar'!$K$2:$K$4509,"&gt;=01/03/2026",'C.Pagar'!$K$2:$K$4509,"&lt;=31/03/2026")</f>
        <v>490.84000000000003</v>
      </c>
      <c r="Q73" s="40">
        <f t="shared" si="114"/>
        <v>4.7373050282028129E-4</v>
      </c>
      <c r="R73" s="40">
        <f t="shared" si="75"/>
        <v>0</v>
      </c>
      <c r="S73" s="39">
        <f>SUMIFS('C.Pagar'!$G$2:$G$4509,'C.Pagar'!$D$2:$D$4509,TRIM($A73),'C.Pagar'!$K$2:$K$4509,"&gt;=01/04/2026",'C.Pagar'!$K$2:$K$4509,"&lt;=30/04/2026")</f>
        <v>209.91</v>
      </c>
      <c r="T73" s="40">
        <f t="shared" si="115"/>
        <v>2.3753528204075521E-4</v>
      </c>
      <c r="U73" s="40">
        <f t="shared" si="77"/>
        <v>-0.57234536712574369</v>
      </c>
    </row>
    <row r="74" spans="1:21" x14ac:dyDescent="0.3">
      <c r="A74" s="38" t="s">
        <v>1763</v>
      </c>
      <c r="B74" s="39">
        <f>SUMIFS('C.Pagar'!G$2:G$4509,'C.Pagar'!D$2:D$4509,TRIM(A74),'C.Pagar'!K$2:K$4509,"&gt;=01/10/2025",'C.Pagar'!K$2:K$4509,"&lt;=31/10/2025")</f>
        <v>152</v>
      </c>
      <c r="C74" s="70">
        <f t="shared" si="109"/>
        <v>1.3533786037289106E-4</v>
      </c>
      <c r="D74" s="39">
        <f>SUMIFS('C.Pagar'!G$2:G$4509,'C.Pagar'!D$2:D$4509,TRIM(A74),'C.Pagar'!K$2:K$4509,"&gt;=01/11/2025",'C.Pagar'!K$2:K$4509,"&lt;=30/11/2025")</f>
        <v>302</v>
      </c>
      <c r="E74" s="40">
        <f t="shared" si="110"/>
        <v>3.0536190324915481E-4</v>
      </c>
      <c r="F74" s="40">
        <f>IFERROR(D74/B74-1,0)</f>
        <v>0.98684210526315796</v>
      </c>
      <c r="G74" s="39">
        <f>SUMIFS('C.Pagar'!G$2:G$4509,'C.Pagar'!D$2:D$4509,TRIM(A74),'C.Pagar'!K$2:K$4509,"&gt;=01/12/2025",'C.Pagar'!K$2:K$4509,"&lt;=31/12/2025")</f>
        <v>152</v>
      </c>
      <c r="H74" s="40">
        <f t="shared" si="111"/>
        <v>1.392574924264309E-4</v>
      </c>
      <c r="I74" s="40">
        <f t="shared" si="3"/>
        <v>-0.49668874172185429</v>
      </c>
      <c r="J74" s="39">
        <f>SUMIFS('C.Pagar'!G$2:G$4509,'C.Pagar'!D$2:D$4509,TRIM(A74),'C.Pagar'!K$2:K$4509,"&gt;=01/01/2026",'C.Pagar'!K$2:K$4509,"&lt;=31/01/2026")</f>
        <v>152</v>
      </c>
      <c r="K74" s="40">
        <f t="shared" si="112"/>
        <v>1.6118388545865897E-4</v>
      </c>
      <c r="L74" s="40">
        <f t="shared" si="67"/>
        <v>0</v>
      </c>
      <c r="M74" s="39">
        <f>SUMIFS('C.Pagar'!$G$2:$G$4509,'C.Pagar'!$D$2:$D$4509,TRIM($A74),'C.Pagar'!$K$2:$K$4509,"&gt;=01/02/2026",'C.Pagar'!$K$2:$K$4509,"&lt;=28/02/2026")</f>
        <v>156.66999999999999</v>
      </c>
      <c r="N74" s="40">
        <f t="shared" si="113"/>
        <v>2.2648536022310781E-4</v>
      </c>
      <c r="O74" s="40">
        <f t="shared" si="69"/>
        <v>3.0723684210526292E-2</v>
      </c>
      <c r="P74" s="39">
        <f>SUMIFS('C.Pagar'!$G$2:$G$4509,'C.Pagar'!$D$2:$D$4509,TRIM($A74),'C.Pagar'!$K$2:$K$4509,"&gt;=01/03/2026",'C.Pagar'!$K$2:$K$4509,"&lt;=31/03/2026")</f>
        <v>152</v>
      </c>
      <c r="Q74" s="40">
        <f t="shared" si="114"/>
        <v>1.4670164703097291E-4</v>
      </c>
      <c r="R74" s="40">
        <f t="shared" si="75"/>
        <v>-2.9807876428161073E-2</v>
      </c>
      <c r="S74" s="39">
        <f>SUMIFS('C.Pagar'!$G$2:$G$4509,'C.Pagar'!$D$2:$D$4509,TRIM($A74),'C.Pagar'!$K$2:$K$4509,"&gt;=01/04/2026",'C.Pagar'!$K$2:$K$4509,"&lt;=30/04/2026")</f>
        <v>152</v>
      </c>
      <c r="T74" s="40">
        <f t="shared" si="115"/>
        <v>1.7200401538847501E-4</v>
      </c>
      <c r="U74" s="40">
        <f t="shared" si="77"/>
        <v>0</v>
      </c>
    </row>
    <row r="75" spans="1:21" x14ac:dyDescent="0.3">
      <c r="A75" s="38" t="s">
        <v>1764</v>
      </c>
      <c r="B75" s="39">
        <f>SUMIFS('C.Pagar'!G$2:G$4509,'C.Pagar'!D$2:D$4509,TRIM(A75),'C.Pagar'!K$2:K$4509,"&gt;=01/10/2025",'C.Pagar'!K$2:K$4509,"&lt;=31/10/2025")</f>
        <v>0</v>
      </c>
      <c r="C75" s="70">
        <f t="shared" si="109"/>
        <v>0</v>
      </c>
      <c r="D75" s="39">
        <f>SUMIFS('C.Pagar'!G$2:G$4509,'C.Pagar'!D$2:D$4509,TRIM(A75),'C.Pagar'!K$2:K$4509,"&gt;=01/11/2025",'C.Pagar'!K$2:K$4509,"&lt;=30/11/2025")</f>
        <v>117.5</v>
      </c>
      <c r="E75" s="40">
        <f t="shared" si="110"/>
        <v>1.1880802527078043E-4</v>
      </c>
      <c r="F75" s="40">
        <f>IFERROR(D75/B75-1,0)</f>
        <v>0</v>
      </c>
      <c r="G75" s="39">
        <f>SUMIFS('C.Pagar'!G$2:G$4509,'C.Pagar'!D$2:D$4509,TRIM(A75),'C.Pagar'!K$2:K$4509,"&gt;=01/12/2025",'C.Pagar'!K$2:K$4509,"&lt;=31/12/2025")</f>
        <v>3180</v>
      </c>
      <c r="H75" s="40">
        <f t="shared" si="111"/>
        <v>2.9134133283950673E-3</v>
      </c>
      <c r="I75" s="40">
        <f t="shared" si="3"/>
        <v>26.063829787234042</v>
      </c>
      <c r="J75" s="39">
        <f>SUMIFS('C.Pagar'!G$2:G$4509,'C.Pagar'!D$2:D$4509,TRIM(A75),'C.Pagar'!K$2:K$4509,"&gt;=01/01/2026",'C.Pagar'!K$2:K$4509,"&lt;=31/01/2026")</f>
        <v>1300</v>
      </c>
      <c r="K75" s="40">
        <f t="shared" si="112"/>
        <v>1.3785463887911623E-3</v>
      </c>
      <c r="L75" s="40">
        <f t="shared" si="67"/>
        <v>-0.5911949685534591</v>
      </c>
      <c r="M75" s="39">
        <f>SUMIFS('C.Pagar'!$G$2:$G$4509,'C.Pagar'!$D$2:$D$4509,TRIM($A75),'C.Pagar'!$K$2:$K$4509,"&gt;=01/02/2026",'C.Pagar'!$K$2:$K$4509,"&lt;=28/02/2026")</f>
        <v>1320</v>
      </c>
      <c r="N75" s="40">
        <f t="shared" si="113"/>
        <v>1.9082190304110698E-3</v>
      </c>
      <c r="O75" s="40">
        <f t="shared" si="69"/>
        <v>1.538461538461533E-2</v>
      </c>
      <c r="P75" s="39">
        <f>SUMIFS('C.Pagar'!$G$2:$G$4509,'C.Pagar'!$D$2:$D$4509,TRIM($A75),'C.Pagar'!$K$2:$K$4509,"&gt;=01/03/2026",'C.Pagar'!$K$2:$K$4509,"&lt;=31/03/2026")</f>
        <v>0</v>
      </c>
      <c r="Q75" s="40">
        <f t="shared" si="114"/>
        <v>0</v>
      </c>
      <c r="R75" s="40">
        <f t="shared" si="75"/>
        <v>-1</v>
      </c>
      <c r="S75" s="39">
        <f>SUMIFS('C.Pagar'!$G$2:$G$4509,'C.Pagar'!$D$2:$D$4509,TRIM($A75),'C.Pagar'!$K$2:$K$4509,"&gt;=01/04/2026",'C.Pagar'!$K$2:$K$4509,"&lt;=30/04/2026")</f>
        <v>0</v>
      </c>
      <c r="T75" s="40">
        <f t="shared" si="115"/>
        <v>0</v>
      </c>
      <c r="U75" s="40">
        <f t="shared" si="77"/>
        <v>0</v>
      </c>
    </row>
    <row r="76" spans="1:21" x14ac:dyDescent="0.3">
      <c r="A76" s="38" t="s">
        <v>1765</v>
      </c>
      <c r="B76" s="39">
        <f>SUMIFS('C.Pagar'!G$2:G$4509,'C.Pagar'!D$2:D$4509,TRIM(A76),'C.Pagar'!K$2:K$4509,"&gt;=01/10/2025",'C.Pagar'!K$2:K$4509,"&lt;=31/10/2025")</f>
        <v>6185.25</v>
      </c>
      <c r="C76" s="70">
        <f t="shared" si="109"/>
        <v>5.5072269794172665E-3</v>
      </c>
      <c r="D76" s="39">
        <f>SUMIFS('C.Pagar'!G$2:G$4509,'C.Pagar'!D$2:D$4509,TRIM(A76),'C.Pagar'!K$2:K$4509,"&gt;=01/11/2025",'C.Pagar'!K$2:K$4509,"&lt;=30/11/2025")</f>
        <v>6771.57</v>
      </c>
      <c r="E76" s="40">
        <f t="shared" si="110"/>
        <v>6.8469519973009246E-3</v>
      </c>
      <c r="F76" s="40">
        <f>IFERROR(D76/B76-1,0)</f>
        <v>9.4793258154480364E-2</v>
      </c>
      <c r="G76" s="39">
        <f>SUMIFS('C.Pagar'!G$2:G$4509,'C.Pagar'!D$2:D$4509,TRIM(A76),'C.Pagar'!K$2:K$4509,"&gt;=01/12/2025",'C.Pagar'!K$2:K$4509,"&lt;=31/12/2025")</f>
        <v>6795.29</v>
      </c>
      <c r="H76" s="40">
        <f t="shared" si="111"/>
        <v>6.225625300726326E-3</v>
      </c>
      <c r="I76" s="40">
        <f t="shared" si="3"/>
        <v>3.5028804250714085E-3</v>
      </c>
      <c r="J76" s="39">
        <f>SUMIFS('C.Pagar'!G$2:G$4509,'C.Pagar'!D$2:D$4509,TRIM(A76),'C.Pagar'!K$2:K$4509,"&gt;=01/01/2026",'C.Pagar'!K$2:K$4509,"&lt;=31/01/2026")</f>
        <v>19939.329999999998</v>
      </c>
      <c r="K76" s="40">
        <f t="shared" si="112"/>
        <v>2.1144070281857909E-2</v>
      </c>
      <c r="L76" s="40">
        <f t="shared" si="67"/>
        <v>1.9342868369120372</v>
      </c>
      <c r="M76" s="39">
        <f>SUMIFS('C.Pagar'!$G$2:$G$4509,'C.Pagar'!$D$2:$D$4509,TRIM($A76),'C.Pagar'!$K$2:$K$4509,"&gt;=01/02/2026",'C.Pagar'!$K$2:$K$4509,"&lt;=28/02/2026")</f>
        <v>6985.7699999999995</v>
      </c>
      <c r="N76" s="40">
        <f t="shared" si="113"/>
        <v>1.0098772163692983E-2</v>
      </c>
      <c r="O76" s="40">
        <f t="shared" si="69"/>
        <v>-0.64964870935984309</v>
      </c>
      <c r="P76" s="39">
        <f>SUMIFS('C.Pagar'!$G$2:$G$4509,'C.Pagar'!$D$2:$D$4509,TRIM($A76),'C.Pagar'!$K$2:$K$4509,"&gt;=01/03/2026",'C.Pagar'!$K$2:$K$4509,"&lt;=31/03/2026")</f>
        <v>13807.25</v>
      </c>
      <c r="Q76" s="40">
        <f t="shared" si="114"/>
        <v>1.3325962605055268E-2</v>
      </c>
      <c r="R76" s="40">
        <f t="shared" si="75"/>
        <v>0.97648219165532235</v>
      </c>
      <c r="S76" s="39">
        <f>SUMIFS('C.Pagar'!$G$2:$G$4509,'C.Pagar'!$D$2:$D$4509,TRIM($A76),'C.Pagar'!$K$2:$K$4509,"&gt;=01/04/2026",'C.Pagar'!$K$2:$K$4509,"&lt;=30/04/2026")</f>
        <v>13797.57</v>
      </c>
      <c r="T76" s="40">
        <f t="shared" si="115"/>
        <v>1.5613404227655009E-2</v>
      </c>
      <c r="U76" s="40">
        <f t="shared" si="77"/>
        <v>-7.0108095384668889E-4</v>
      </c>
    </row>
    <row r="77" spans="1:21" x14ac:dyDescent="0.3">
      <c r="A77" s="38" t="s">
        <v>1766</v>
      </c>
      <c r="B77" s="39">
        <f>SUMIFS('C.Pagar'!G$2:G$4509,'C.Pagar'!D$2:D$4509,TRIM(A77),'C.Pagar'!K$2:K$4509,"&gt;=01/10/2025",'C.Pagar'!K$2:K$4509,"&lt;=31/10/2025")</f>
        <v>149.9</v>
      </c>
      <c r="C77" s="70">
        <f t="shared" si="109"/>
        <v>1.3346806098616035E-4</v>
      </c>
      <c r="D77" s="39">
        <f>SUMIFS('C.Pagar'!G$2:G$4509,'C.Pagar'!D$2:D$4509,TRIM(A77),'C.Pagar'!K$2:K$4509,"&gt;=01/11/2025",'C.Pagar'!K$2:K$4509,"&lt;=30/11/2025")</f>
        <v>149.9</v>
      </c>
      <c r="E77" s="40">
        <f t="shared" si="110"/>
        <v>1.5156870628161691E-4</v>
      </c>
      <c r="F77" s="40">
        <f t="shared" si="12"/>
        <v>0</v>
      </c>
      <c r="G77" s="39">
        <f>SUMIFS('C.Pagar'!G$2:G$4509,'C.Pagar'!D$2:D$4509,TRIM(A77),'C.Pagar'!K$2:K$4509,"&gt;=01/12/2025",'C.Pagar'!K$2:K$4509,"&lt;=31/12/2025")</f>
        <v>149.9</v>
      </c>
      <c r="H77" s="40">
        <f t="shared" si="111"/>
        <v>1.3733354022843415E-4</v>
      </c>
      <c r="I77" s="40">
        <f t="shared" si="3"/>
        <v>0</v>
      </c>
      <c r="J77" s="39">
        <f>SUMIFS('C.Pagar'!G$2:G$4509,'C.Pagar'!D$2:D$4509,TRIM(A77),'C.Pagar'!K$2:K$4509,"&gt;=01/01/2026",'C.Pagar'!K$2:K$4509,"&lt;=31/01/2026")</f>
        <v>588.53</v>
      </c>
      <c r="K77" s="40">
        <f t="shared" si="112"/>
        <v>6.2408915861174048E-4</v>
      </c>
      <c r="L77" s="40">
        <f t="shared" si="67"/>
        <v>2.9261507671781186</v>
      </c>
      <c r="M77" s="39">
        <f>SUMIFS('C.Pagar'!$G$2:$G$4509,'C.Pagar'!$D$2:$D$4509,TRIM($A77),'C.Pagar'!$K$2:$K$4509,"&gt;=01/02/2026",'C.Pagar'!$K$2:$K$4509,"&lt;=28/02/2026")</f>
        <v>153.05000000000001</v>
      </c>
      <c r="N77" s="40">
        <f t="shared" si="113"/>
        <v>2.2125221409425322E-4</v>
      </c>
      <c r="O77" s="40">
        <f t="shared" si="69"/>
        <v>-0.73994528741100707</v>
      </c>
      <c r="P77" s="39">
        <f>SUMIFS('C.Pagar'!$G$2:$G$4509,'C.Pagar'!$D$2:$D$4509,TRIM($A77),'C.Pagar'!$K$2:$K$4509,"&gt;=01/03/2026",'C.Pagar'!$K$2:$K$4509,"&lt;=31/03/2026")</f>
        <v>149.9</v>
      </c>
      <c r="Q77" s="40">
        <f t="shared" si="114"/>
        <v>1.4467484796015028E-4</v>
      </c>
      <c r="R77" s="40">
        <f t="shared" si="75"/>
        <v>-2.0581509310682811E-2</v>
      </c>
      <c r="S77" s="39">
        <f>SUMIFS('C.Pagar'!$G$2:$G$4509,'C.Pagar'!$D$2:$D$4509,TRIM($A77),'C.Pagar'!$K$2:$K$4509,"&gt;=01/04/2026",'C.Pagar'!$K$2:$K$4509,"&lt;=30/04/2026")</f>
        <v>149.9</v>
      </c>
      <c r="T77" s="40">
        <f t="shared" si="115"/>
        <v>1.6962764412323952E-4</v>
      </c>
      <c r="U77" s="40">
        <f t="shared" si="77"/>
        <v>0</v>
      </c>
    </row>
    <row r="78" spans="1:21" x14ac:dyDescent="0.3">
      <c r="A78" s="44" t="s">
        <v>1767</v>
      </c>
      <c r="B78" s="45">
        <f>SUM(B79:B84)</f>
        <v>4301.6200000000008</v>
      </c>
      <c r="C78" s="73">
        <f t="shared" si="109"/>
        <v>3.8300792561660251E-3</v>
      </c>
      <c r="D78" s="45">
        <f>SUM(D79:D84)</f>
        <v>7709.64</v>
      </c>
      <c r="E78" s="46">
        <f t="shared" si="110"/>
        <v>7.7954647144563381E-3</v>
      </c>
      <c r="F78" s="46">
        <f t="shared" si="12"/>
        <v>0.79226430972517314</v>
      </c>
      <c r="G78" s="45">
        <f>SUM(G79:G84)</f>
        <v>6582.8</v>
      </c>
      <c r="H78" s="46">
        <f t="shared" si="111"/>
        <v>6.0309488233204556E-3</v>
      </c>
      <c r="I78" s="46">
        <f t="shared" si="3"/>
        <v>-0.14615987257511376</v>
      </c>
      <c r="J78" s="45">
        <f>SUM(J79:J84)</f>
        <v>4521.71</v>
      </c>
      <c r="K78" s="46">
        <f t="shared" si="112"/>
        <v>4.7949130705083739E-3</v>
      </c>
      <c r="L78" s="46">
        <f t="shared" si="67"/>
        <v>-0.31310232727714649</v>
      </c>
      <c r="M78" s="45">
        <f>SUM(M79:M84)</f>
        <v>4775</v>
      </c>
      <c r="N78" s="46">
        <f t="shared" si="113"/>
        <v>6.9028377804642872E-3</v>
      </c>
      <c r="O78" s="46">
        <f t="shared" si="69"/>
        <v>5.6016418567311987E-2</v>
      </c>
      <c r="P78" s="45">
        <f>SUM(P79:P84)</f>
        <v>10633.269999999999</v>
      </c>
      <c r="Q78" s="46">
        <f t="shared" si="114"/>
        <v>1.0262619883717324E-2</v>
      </c>
      <c r="R78" s="46">
        <f t="shared" si="75"/>
        <v>1.2268628272251307</v>
      </c>
      <c r="S78" s="45">
        <f>SUM(S79:S84)</f>
        <v>8232.41</v>
      </c>
      <c r="T78" s="46">
        <f t="shared" si="115"/>
        <v>9.3158393179226025E-3</v>
      </c>
      <c r="U78" s="46">
        <f t="shared" si="77"/>
        <v>-0.22578755171269038</v>
      </c>
    </row>
    <row r="79" spans="1:21" x14ac:dyDescent="0.3">
      <c r="A79" s="38" t="s">
        <v>1768</v>
      </c>
      <c r="B79" s="39">
        <f>SUMIFS('C.Pagar'!G$2:G$4509,'C.Pagar'!D$2:D$4509,TRIM(A79),'C.Pagar'!K$2:K$4509,"&gt;=01/10/2025",'C.Pagar'!K$2:K$4509,"&lt;=31/10/2025")</f>
        <v>2093.3200000000002</v>
      </c>
      <c r="C79" s="70">
        <f t="shared" si="109"/>
        <v>1.8638516439196077E-3</v>
      </c>
      <c r="D79" s="39">
        <f>SUMIFS('C.Pagar'!G$2:G$4509,'C.Pagar'!D$2:D$4509,TRIM(A79),'C.Pagar'!K$2:K$4509,"&gt;=01/11/2025",'C.Pagar'!K$2:K$4509,"&lt;=30/11/2025")</f>
        <v>2093.3200000000002</v>
      </c>
      <c r="E79" s="40">
        <f t="shared" si="110"/>
        <v>2.1166231102964267E-3</v>
      </c>
      <c r="F79" s="40">
        <f t="shared" si="12"/>
        <v>0</v>
      </c>
      <c r="G79" s="39">
        <f>SUMIFS('C.Pagar'!G$2:G$4509,'C.Pagar'!D$2:D$4509,TRIM(A79),'C.Pagar'!K$2:K$4509,"&gt;=01/12/2025",'C.Pagar'!K$2:K$4509,"&lt;=31/12/2025")</f>
        <v>2093.3200000000002</v>
      </c>
      <c r="H79" s="40">
        <f t="shared" si="111"/>
        <v>1.9178321976716865E-3</v>
      </c>
      <c r="I79" s="40">
        <f t="shared" si="3"/>
        <v>0</v>
      </c>
      <c r="J79" s="39">
        <f>SUMIFS('C.Pagar'!G$2:G$4509,'C.Pagar'!D$2:D$4509,TRIM(A79),'C.Pagar'!K$2:K$4509,"&gt;=01/01/2026",'C.Pagar'!K$2:K$4509,"&lt;=31/01/2026")</f>
        <v>2093.3200000000002</v>
      </c>
      <c r="K79" s="40">
        <f t="shared" si="112"/>
        <v>2.2197990204494739E-3</v>
      </c>
      <c r="L79" s="40">
        <f t="shared" si="67"/>
        <v>0</v>
      </c>
      <c r="M79" s="39">
        <f>SUMIFS('C.Pagar'!$G$2:$G$4509,'C.Pagar'!$D$2:$D$4509,TRIM($A79),'C.Pagar'!$K$2:$K$4509,"&gt;=01/02/2026",'C.Pagar'!$K$2:$K$4509,"&lt;=28/02/2026")</f>
        <v>2490.36</v>
      </c>
      <c r="N79" s="40">
        <f t="shared" si="113"/>
        <v>3.6001154125564487E-3</v>
      </c>
      <c r="O79" s="40">
        <f t="shared" si="69"/>
        <v>0.18966999789807582</v>
      </c>
      <c r="P79" s="39">
        <f>SUMIFS('C.Pagar'!$G$2:$G$4509,'C.Pagar'!$D$2:$D$4509,TRIM($A79),'C.Pagar'!$K$2:$K$4509,"&gt;=01/03/2026",'C.Pagar'!$K$2:$K$4509,"&lt;=31/03/2026")</f>
        <v>4872.8099999999995</v>
      </c>
      <c r="Q79" s="40">
        <f t="shared" si="114"/>
        <v>4.7029556096644413E-3</v>
      </c>
      <c r="R79" s="40">
        <f t="shared" si="75"/>
        <v>0.95666891533754117</v>
      </c>
      <c r="S79" s="39">
        <f>SUMIFS('C.Pagar'!$G$2:$G$4509,'C.Pagar'!$D$2:$D$4509,TRIM($A79),'C.Pagar'!$K$2:$K$4509,"&gt;=01/04/2026",'C.Pagar'!$K$2:$K$4509,"&lt;=30/04/2026")</f>
        <v>6958.7</v>
      </c>
      <c r="T79" s="40">
        <f t="shared" si="115"/>
        <v>7.8745022492354017E-3</v>
      </c>
      <c r="U79" s="40">
        <f t="shared" si="77"/>
        <v>0.42806717274016437</v>
      </c>
    </row>
    <row r="80" spans="1:21" x14ac:dyDescent="0.3">
      <c r="A80" s="38" t="s">
        <v>1769</v>
      </c>
      <c r="B80" s="39">
        <f>SUMIFS('C.Pagar'!G$2:G$4509,'C.Pagar'!D$2:D$4509,TRIM(A80),'C.Pagar'!K$2:K$4509,"&gt;=01/10/2025",'C.Pagar'!K$2:K$4509,"&lt;=31/10/2025")</f>
        <v>0</v>
      </c>
      <c r="C80" s="70">
        <f t="shared" ref="C80" si="127">B80/B$3</f>
        <v>0</v>
      </c>
      <c r="D80" s="39">
        <f>SUMIFS('C.Pagar'!G$2:G$4509,'C.Pagar'!D$2:D$4509,TRIM(A80),'C.Pagar'!K$2:K$4509,"&gt;=01/11/2025",'C.Pagar'!K$2:K$4509,"&lt;=30/11/2025")</f>
        <v>0</v>
      </c>
      <c r="E80" s="40">
        <f t="shared" ref="E80" si="128">D80/D$3</f>
        <v>0</v>
      </c>
      <c r="F80" s="40">
        <f t="shared" ref="F80" si="129">IFERROR(D80/B80-1,0)</f>
        <v>0</v>
      </c>
      <c r="G80" s="39">
        <f>SUMIFS('C.Pagar'!G$2:G$4509,'C.Pagar'!D$2:D$4509,TRIM(A80),'C.Pagar'!K$2:K$4509,"&gt;=01/12/2025",'C.Pagar'!K$2:K$4509,"&lt;=31/12/2025")</f>
        <v>0</v>
      </c>
      <c r="H80" s="40">
        <f t="shared" ref="H80" si="130">G80/G$3</f>
        <v>0</v>
      </c>
      <c r="I80" s="40">
        <f t="shared" ref="I80" si="131">IFERROR(G80/D80-1,0)</f>
        <v>0</v>
      </c>
      <c r="J80" s="39">
        <f>SUMIFS('C.Pagar'!G$2:G$4509,'C.Pagar'!D$2:D$4509,TRIM(A80),'C.Pagar'!K$2:K$4509,"&gt;=01/01/2026",'C.Pagar'!K$2:K$4509,"&lt;=31/01/2026")</f>
        <v>0</v>
      </c>
      <c r="K80" s="40">
        <f t="shared" ref="K80" si="132">J80/J$3</f>
        <v>0</v>
      </c>
      <c r="L80" s="40">
        <f t="shared" ref="L80" si="133">IFERROR(J80/G80-1,0)</f>
        <v>0</v>
      </c>
      <c r="M80" s="39">
        <f>SUMIFS('C.Pagar'!$G$2:$G$4509,'C.Pagar'!$D$2:$D$4509,TRIM($A80),'C.Pagar'!$K$2:$K$4509,"&gt;=01/02/2026",'C.Pagar'!$K$2:$K$4509,"&lt;=28/02/2026")</f>
        <v>0</v>
      </c>
      <c r="N80" s="40">
        <f t="shared" ref="N80" si="134">M80/M$3</f>
        <v>0</v>
      </c>
      <c r="O80" s="40">
        <f t="shared" ref="O80" si="135">IFERROR(M80/J80-1,0)</f>
        <v>0</v>
      </c>
      <c r="P80" s="39">
        <f>SUMIFS('C.Pagar'!$G$2:$G$4509,'C.Pagar'!$D$2:$D$4509,TRIM($A80),'C.Pagar'!$K$2:$K$4509,"&gt;=01/03/2026",'C.Pagar'!$K$2:$K$4509,"&lt;=31/03/2026")</f>
        <v>2333.33</v>
      </c>
      <c r="Q80" s="40">
        <f t="shared" ref="Q80" si="136">P80/P$3</f>
        <v>2.2519957504393423E-3</v>
      </c>
      <c r="R80" s="40">
        <f t="shared" ref="R80" si="137">IFERROR(P80/M80-1,0)</f>
        <v>0</v>
      </c>
      <c r="S80" s="531">
        <f>SUMIFS('C.Pagar'!$G$2:$G$4509,'C.Pagar'!$D$2:$D$4509,TRIM($A80),'C.Pagar'!$K$2:$K$4509,"&gt;=01/04/2026",'C.Pagar'!$K$2:$K$4509,"&lt;=30/04/2026")</f>
        <v>0</v>
      </c>
      <c r="T80" s="40">
        <f t="shared" si="115"/>
        <v>0</v>
      </c>
      <c r="U80" s="40">
        <f t="shared" si="77"/>
        <v>-1</v>
      </c>
    </row>
    <row r="81" spans="1:21" x14ac:dyDescent="0.3">
      <c r="A81" s="38" t="s">
        <v>1770</v>
      </c>
      <c r="B81" s="39">
        <f>SUMIFS('C.Pagar'!G$2:G$4509,'C.Pagar'!D$2:D$4509,TRIM(A81),'C.Pagar'!K$2:K$4509,"&gt;=01/10/2025",'C.Pagar'!K$2:K$4509,"&lt;=31/10/2025")</f>
        <v>0</v>
      </c>
      <c r="C81" s="70">
        <f t="shared" ref="C81" si="138">B81/B$3</f>
        <v>0</v>
      </c>
      <c r="D81" s="39">
        <f>SUMIFS('C.Pagar'!G$2:G$4509,'C.Pagar'!D$2:D$4509,TRIM(A81),'C.Pagar'!K$2:K$4509,"&gt;=01/11/2025",'C.Pagar'!K$2:K$4509,"&lt;=30/11/2025")</f>
        <v>0</v>
      </c>
      <c r="E81" s="40">
        <f t="shared" ref="E81" si="139">D81/D$3</f>
        <v>0</v>
      </c>
      <c r="F81" s="40">
        <f t="shared" ref="F81" si="140">IFERROR(D81/B81-1,0)</f>
        <v>0</v>
      </c>
      <c r="G81" s="39">
        <f>SUMIFS('C.Pagar'!G$2:G$4509,'C.Pagar'!D$2:D$4509,TRIM(A81),'C.Pagar'!K$2:K$4509,"&gt;=01/12/2025",'C.Pagar'!K$2:K$4509,"&lt;=31/12/2025")</f>
        <v>0</v>
      </c>
      <c r="H81" s="40">
        <f t="shared" ref="H81" si="141">G81/G$3</f>
        <v>0</v>
      </c>
      <c r="I81" s="40">
        <f t="shared" ref="I81" si="142">IFERROR(G81/D81-1,0)</f>
        <v>0</v>
      </c>
      <c r="J81" s="39">
        <f>SUMIFS('C.Pagar'!G$2:G$4509,'C.Pagar'!D$2:D$4509,TRIM(A81),'C.Pagar'!K$2:K$4509,"&gt;=01/01/2026",'C.Pagar'!K$2:K$4509,"&lt;=31/01/2026")</f>
        <v>0</v>
      </c>
      <c r="K81" s="40">
        <f t="shared" ref="K81" si="143">J81/J$3</f>
        <v>0</v>
      </c>
      <c r="L81" s="40">
        <f t="shared" ref="L81" si="144">IFERROR(J81/G81-1,0)</f>
        <v>0</v>
      </c>
      <c r="M81" s="39">
        <f>SUMIFS('C.Pagar'!$G$2:$G$4509,'C.Pagar'!$D$2:$D$4509,TRIM($A81),'C.Pagar'!$K$2:$K$4509,"&gt;=01/02/2026",'C.Pagar'!$K$2:$K$4509,"&lt;=28/02/2026")</f>
        <v>0</v>
      </c>
      <c r="N81" s="40">
        <f t="shared" ref="N81" si="145">M81/M$3</f>
        <v>0</v>
      </c>
      <c r="O81" s="40">
        <f t="shared" ref="O81" si="146">IFERROR(M81/J81-1,0)</f>
        <v>0</v>
      </c>
      <c r="P81" s="39">
        <f>SUMIFS('C.Pagar'!$G$2:$G$4509,'C.Pagar'!$D$2:$D$4509,TRIM($A81),'C.Pagar'!$K$2:$K$4509,"&gt;=01/03/2026",'C.Pagar'!$K$2:$K$4509,"&lt;=31/03/2026")</f>
        <v>1089.99</v>
      </c>
      <c r="Q81" s="40">
        <f t="shared" ref="Q81" si="147">P81/P$3</f>
        <v>1.0519955805742775E-3</v>
      </c>
      <c r="R81" s="40">
        <f t="shared" ref="R81" si="148">IFERROR(P81/M81-1,0)</f>
        <v>0</v>
      </c>
      <c r="S81" s="531">
        <f>SUMIFS('C.Pagar'!$G$2:$G$4509,'C.Pagar'!$D$2:$D$4509,TRIM($A81),'C.Pagar'!$K$2:$K$4509,"&gt;=01/04/2026",'C.Pagar'!$K$2:$K$4509,"&lt;=30/04/2026")</f>
        <v>0</v>
      </c>
      <c r="T81" s="40">
        <f t="shared" si="115"/>
        <v>0</v>
      </c>
      <c r="U81" s="40">
        <f t="shared" si="77"/>
        <v>-1</v>
      </c>
    </row>
    <row r="82" spans="1:21" x14ac:dyDescent="0.3">
      <c r="A82" s="38" t="s">
        <v>1771</v>
      </c>
      <c r="B82" s="39">
        <f>SUMIFS('C.Pagar'!G$2:G$4509,'C.Pagar'!D$2:D$4509,TRIM(A82),'C.Pagar'!K$2:K$4509,"&gt;=01/10/2025",'C.Pagar'!K$2:K$4509,"&lt;=31/10/2025")</f>
        <v>1750</v>
      </c>
      <c r="C82" s="70">
        <f t="shared" ref="C82:C83" si="149">B82/B$3</f>
        <v>1.5581661556089434E-3</v>
      </c>
      <c r="D82" s="39">
        <f>SUMIFS('C.Pagar'!G$2:G$4509,'C.Pagar'!D$2:D$4509,TRIM(A82),'C.Pagar'!K$2:K$4509,"&gt;=01/11/2025",'C.Pagar'!K$2:K$4509,"&lt;=30/11/2025")</f>
        <v>1750</v>
      </c>
      <c r="E82" s="40">
        <f t="shared" ref="E82:E83" si="150">D82/D$3</f>
        <v>1.7694812274371553E-3</v>
      </c>
      <c r="F82" s="40">
        <f t="shared" ref="F82:F83" si="151">IFERROR(D82/B82-1,0)</f>
        <v>0</v>
      </c>
      <c r="G82" s="39">
        <f>SUMIFS('C.Pagar'!G$2:G$4509,'C.Pagar'!D$2:D$4509,TRIM(A82),'C.Pagar'!K$2:K$4509,"&gt;=01/12/2025",'C.Pagar'!K$2:K$4509,"&lt;=31/12/2025")</f>
        <v>1750</v>
      </c>
      <c r="H82" s="40">
        <f t="shared" ref="H82:H83" si="152">G82/G$3</f>
        <v>1.6032934983306187E-3</v>
      </c>
      <c r="I82" s="40">
        <f t="shared" ref="I82:I83" si="153">IFERROR(G82/D82-1,0)</f>
        <v>0</v>
      </c>
      <c r="J82" s="39">
        <f>SUMIFS('C.Pagar'!G$2:G$4509,'C.Pagar'!D$2:D$4509,TRIM(A82),'C.Pagar'!K$2:K$4509,"&gt;=01/01/2026",'C.Pagar'!K$2:K$4509,"&lt;=31/01/2026")</f>
        <v>0</v>
      </c>
      <c r="K82" s="40">
        <f t="shared" si="112"/>
        <v>0</v>
      </c>
      <c r="L82" s="40">
        <f t="shared" si="67"/>
        <v>-1</v>
      </c>
      <c r="M82" s="39">
        <f>SUMIFS('C.Pagar'!$G$2:$G$4509,'C.Pagar'!$D$2:$D$4509,TRIM($A82),'C.Pagar'!$K$2:$K$4509,"&gt;=01/02/2026",'C.Pagar'!$K$2:$K$4509,"&lt;=28/02/2026")</f>
        <v>0</v>
      </c>
      <c r="N82" s="40">
        <f t="shared" si="113"/>
        <v>0</v>
      </c>
      <c r="O82" s="40">
        <f t="shared" si="69"/>
        <v>0</v>
      </c>
      <c r="P82" s="39">
        <f>SUMIFS('C.Pagar'!$G$2:$G$4509,'C.Pagar'!$D$2:$D$4509,TRIM($A82),'C.Pagar'!$K$2:$K$4509,"&gt;=01/03/2026",'C.Pagar'!$K$2:$K$4509,"&lt;=31/03/2026")</f>
        <v>0</v>
      </c>
      <c r="Q82" s="40">
        <f t="shared" si="114"/>
        <v>0</v>
      </c>
      <c r="R82" s="40">
        <f t="shared" si="75"/>
        <v>0</v>
      </c>
      <c r="S82" s="39">
        <f>SUMIFS('C.Pagar'!$G$2:$G$4509,'C.Pagar'!$D$2:$D$4509,TRIM($A82),'C.Pagar'!$K$2:$K$4509,"&gt;=01/04/2026",'C.Pagar'!$K$2:$K$4509,"&lt;=30/04/2026")</f>
        <v>280</v>
      </c>
      <c r="T82" s="40">
        <f t="shared" si="115"/>
        <v>3.1684950203140133E-4</v>
      </c>
      <c r="U82" s="40">
        <f t="shared" si="77"/>
        <v>0</v>
      </c>
    </row>
    <row r="83" spans="1:21" x14ac:dyDescent="0.3">
      <c r="A83" s="38" t="s">
        <v>1772</v>
      </c>
      <c r="B83" s="39">
        <f>SUMIFS('C.Pagar'!G$2:G$4509,'C.Pagar'!D$2:D$4509,TRIM(A83),'C.Pagar'!K$2:K$4509,"&gt;=01/10/2025",'C.Pagar'!K$2:K$4509,"&lt;=31/10/2025")</f>
        <v>228.8</v>
      </c>
      <c r="C83" s="70">
        <f t="shared" si="149"/>
        <v>2.0371909508761499E-4</v>
      </c>
      <c r="D83" s="39">
        <f>SUMIFS('C.Pagar'!G$2:G$4509,'C.Pagar'!D$2:D$4509,TRIM(A83),'C.Pagar'!K$2:K$4509,"&gt;=01/11/2025",'C.Pagar'!K$2:K$4509,"&lt;=30/11/2025")</f>
        <v>3789.82</v>
      </c>
      <c r="E83" s="40">
        <f t="shared" si="150"/>
        <v>3.8320087687805033E-3</v>
      </c>
      <c r="F83" s="40">
        <f t="shared" si="151"/>
        <v>15.563898601398602</v>
      </c>
      <c r="G83" s="39">
        <f>SUMIFS('C.Pagar'!G$2:G$4509,'C.Pagar'!D$2:D$4509,TRIM(A83),'C.Pagar'!K$2:K$4509,"&gt;=01/12/2025",'C.Pagar'!K$2:K$4509,"&lt;=31/12/2025")</f>
        <v>2479.11</v>
      </c>
      <c r="H83" s="40">
        <f t="shared" si="152"/>
        <v>2.2712805397979547E-3</v>
      </c>
      <c r="I83" s="40">
        <f t="shared" si="153"/>
        <v>-0.3458501986901753</v>
      </c>
      <c r="J83" s="39">
        <f>SUMIFS('C.Pagar'!G$2:G$4509,'C.Pagar'!D$2:D$4509,TRIM(A83),'C.Pagar'!K$2:K$4509,"&gt;=01/01/2026",'C.Pagar'!K$2:K$4509,"&lt;=31/01/2026")</f>
        <v>2351.89</v>
      </c>
      <c r="K83" s="40">
        <f t="shared" ref="K83" si="154">J83/J$3</f>
        <v>2.4939918971800356E-3</v>
      </c>
      <c r="L83" s="40">
        <f t="shared" ref="L83" si="155">IFERROR(J83/G83-1,0)</f>
        <v>-5.131680320760279E-2</v>
      </c>
      <c r="M83" s="39">
        <f>SUMIFS('C.Pagar'!$G$2:$G$4509,'C.Pagar'!$D$2:$D$4509,TRIM($A83),'C.Pagar'!$K$2:$K$4509,"&gt;=01/02/2026",'C.Pagar'!$K$2:$K$4509,"&lt;=28/02/2026")</f>
        <v>2162.4899999999998</v>
      </c>
      <c r="N83" s="40">
        <f t="shared" ref="N83" si="156">M83/M$3</f>
        <v>3.126139826570935E-3</v>
      </c>
      <c r="O83" s="40">
        <f t="shared" ref="O83" si="157">IFERROR(M83/J83-1,0)</f>
        <v>-8.0530977214070432E-2</v>
      </c>
      <c r="P83" s="39">
        <f>SUMIFS('C.Pagar'!$G$2:$G$4509,'C.Pagar'!$D$2:$D$4509,TRIM($A83),'C.Pagar'!$K$2:$K$4509,"&gt;=01/03/2026",'C.Pagar'!$K$2:$K$4509,"&lt;=31/03/2026")</f>
        <v>2153.4899999999998</v>
      </c>
      <c r="Q83" s="40">
        <f t="shared" si="114"/>
        <v>2.0784245385837489E-3</v>
      </c>
      <c r="R83" s="40">
        <f t="shared" si="75"/>
        <v>-4.1618689566194078E-3</v>
      </c>
      <c r="S83" s="531">
        <f>SUMIFS('C.Pagar'!$G$2:$G$4509,'C.Pagar'!$D$2:$D$4509,TRIM($A83),'C.Pagar'!$K$2:$K$4509,"&gt;=01/04/2026",'C.Pagar'!$K$2:$K$4509,"&lt;=30/04/2026")</f>
        <v>0</v>
      </c>
      <c r="T83" s="40">
        <f t="shared" si="115"/>
        <v>0</v>
      </c>
      <c r="U83" s="40">
        <f t="shared" si="77"/>
        <v>-1</v>
      </c>
    </row>
    <row r="84" spans="1:21" x14ac:dyDescent="0.3">
      <c r="A84" s="38" t="s">
        <v>1773</v>
      </c>
      <c r="B84" s="39">
        <f>SUMIFS('C.Pagar'!G$2:G$4509,'C.Pagar'!D$2:D$4509,TRIM(A84),'C.Pagar'!K$2:K$4509,"&gt;=01/10/2025",'C.Pagar'!K$2:K$4509,"&lt;=31/10/2025")</f>
        <v>229.5</v>
      </c>
      <c r="C84" s="70">
        <f t="shared" si="109"/>
        <v>2.0434236154985856E-4</v>
      </c>
      <c r="D84" s="39">
        <f>SUMIFS('C.Pagar'!G$2:G$4509,'C.Pagar'!D$2:D$4509,TRIM(A84),'C.Pagar'!K$2:K$4509,"&gt;=01/11/2025",'C.Pagar'!K$2:K$4509,"&lt;=30/11/2025")</f>
        <v>76.5</v>
      </c>
      <c r="E84" s="40">
        <f t="shared" si="110"/>
        <v>7.7351607942252799E-5</v>
      </c>
      <c r="F84" s="40">
        <f t="shared" si="12"/>
        <v>-0.66666666666666674</v>
      </c>
      <c r="G84" s="39">
        <f>SUMIFS('C.Pagar'!G$2:G$4509,'C.Pagar'!D$2:D$4509,TRIM(A84),'C.Pagar'!K$2:K$4509,"&gt;=01/12/2025",'C.Pagar'!K$2:K$4509,"&lt;=31/12/2025")</f>
        <v>260.37</v>
      </c>
      <c r="H84" s="40">
        <f t="shared" si="111"/>
        <v>2.3854258752019613E-4</v>
      </c>
      <c r="I84" s="40">
        <f t="shared" si="3"/>
        <v>2.4035294117647061</v>
      </c>
      <c r="J84" s="39">
        <f>SUMIFS('C.Pagar'!G$2:G$4509,'C.Pagar'!D$2:D$4509,TRIM(A84),'C.Pagar'!K$2:K$4509,"&gt;=01/01/2026",'C.Pagar'!K$2:K$4509,"&lt;=31/01/2026")</f>
        <v>76.5</v>
      </c>
      <c r="K84" s="40">
        <f t="shared" si="112"/>
        <v>8.1122152878864543E-5</v>
      </c>
      <c r="L84" s="40">
        <f t="shared" si="67"/>
        <v>-0.70618734877290013</v>
      </c>
      <c r="M84" s="39">
        <f>SUMIFS('C.Pagar'!$G$2:$G$4509,'C.Pagar'!$D$2:$D$4509,TRIM($A84),'C.Pagar'!$K$2:$K$4509,"&gt;=01/02/2026",'C.Pagar'!$K$2:$K$4509,"&lt;=28/02/2026")</f>
        <v>122.15</v>
      </c>
      <c r="N84" s="40">
        <f t="shared" si="113"/>
        <v>1.7658254133690317E-4</v>
      </c>
      <c r="O84" s="40">
        <f t="shared" si="69"/>
        <v>0.59673202614379095</v>
      </c>
      <c r="P84" s="39">
        <f>SUMIFS('C.Pagar'!$G$2:$G$4509,'C.Pagar'!$D$2:$D$4509,TRIM($A84),'C.Pagar'!$K$2:$K$4509,"&gt;=01/03/2026",'C.Pagar'!$K$2:$K$4509,"&lt;=31/03/2026")</f>
        <v>183.65</v>
      </c>
      <c r="Q84" s="40">
        <f t="shared" si="114"/>
        <v>1.7724840445551432E-4</v>
      </c>
      <c r="R84" s="40">
        <f t="shared" si="75"/>
        <v>0.50347932869422829</v>
      </c>
      <c r="S84" s="39">
        <f>SUMIFS('C.Pagar'!$G$2:$G$4509,'C.Pagar'!$D$2:$D$4509,TRIM($A84),'C.Pagar'!$K$2:$K$4509,"&gt;=01/04/2026",'C.Pagar'!$K$2:$K$4509,"&lt;=30/04/2026")</f>
        <v>993.70999999999992</v>
      </c>
      <c r="T84" s="40">
        <f t="shared" si="115"/>
        <v>1.1244875666557993E-3</v>
      </c>
      <c r="U84" s="40">
        <f t="shared" si="77"/>
        <v>4.4108902804247201</v>
      </c>
    </row>
    <row r="85" spans="1:21" x14ac:dyDescent="0.3">
      <c r="A85" s="44" t="s">
        <v>1774</v>
      </c>
      <c r="B85" s="45">
        <f>SUM(B86:B93)</f>
        <v>7983.83</v>
      </c>
      <c r="C85" s="73">
        <f t="shared" si="109"/>
        <v>7.1086478275059145E-3</v>
      </c>
      <c r="D85" s="45">
        <f>SUM(D86:D93)</f>
        <v>9809.0400000000009</v>
      </c>
      <c r="E85" s="46">
        <f t="shared" si="110"/>
        <v>9.9182355081029461E-3</v>
      </c>
      <c r="F85" s="46">
        <f t="shared" si="12"/>
        <v>0.22861333470276812</v>
      </c>
      <c r="G85" s="45">
        <f>SUM(G86:G93)</f>
        <v>11037.2</v>
      </c>
      <c r="H85" s="46">
        <f t="shared" si="111"/>
        <v>1.0111926285585547E-2</v>
      </c>
      <c r="I85" s="46">
        <f t="shared" ref="I85:I153" si="158">IFERROR(G85/D85-1,0)</f>
        <v>0.12520695195452358</v>
      </c>
      <c r="J85" s="45">
        <f>SUM(J86:J93)</f>
        <v>11492.52</v>
      </c>
      <c r="K85" s="46">
        <f t="shared" si="112"/>
        <v>1.2186901495469391E-2</v>
      </c>
      <c r="L85" s="46">
        <f t="shared" si="67"/>
        <v>4.1253216395462644E-2</v>
      </c>
      <c r="M85" s="45">
        <f>SUM(M86:M93)</f>
        <v>23575.289999999997</v>
      </c>
      <c r="N85" s="46">
        <f t="shared" si="113"/>
        <v>3.4080921988984686E-2</v>
      </c>
      <c r="O85" s="46">
        <f t="shared" si="69"/>
        <v>1.0513594929571579</v>
      </c>
      <c r="P85" s="45">
        <f>SUM(P86:P93)</f>
        <v>30666.78</v>
      </c>
      <c r="Q85" s="46">
        <f t="shared" si="114"/>
        <v>2.9597810099582234E-2</v>
      </c>
      <c r="R85" s="46">
        <f t="shared" si="75"/>
        <v>0.30080181410281703</v>
      </c>
      <c r="S85" s="45">
        <f>SUM(S86:S93)</f>
        <v>18393.52</v>
      </c>
      <c r="T85" s="46">
        <f t="shared" si="115"/>
        <v>2.0814205902159363E-2</v>
      </c>
      <c r="U85" s="46">
        <f t="shared" si="77"/>
        <v>-0.40021352095003127</v>
      </c>
    </row>
    <row r="86" spans="1:21" x14ac:dyDescent="0.3">
      <c r="A86" s="38" t="s">
        <v>1775</v>
      </c>
      <c r="B86" s="39">
        <f>SUMIFS('C.Pagar'!G$2:G$4509,'C.Pagar'!D$2:D$4509,TRIM(A86),'C.Pagar'!K$2:K$4509,"&gt;=01/10/2025",'C.Pagar'!K$2:K$4509,"&lt;=31/10/2025")</f>
        <v>1484</v>
      </c>
      <c r="C86" s="70">
        <f t="shared" si="109"/>
        <v>1.321324899956384E-3</v>
      </c>
      <c r="D86" s="39">
        <f>SUMIFS('C.Pagar'!G$2:G$4509,'C.Pagar'!D$2:D$4509,TRIM(A86),'C.Pagar'!K$2:K$4509,"&gt;=01/11/2025",'C.Pagar'!K$2:K$4509,"&lt;=30/11/2025")</f>
        <v>2564.1999999999998</v>
      </c>
      <c r="E86" s="40">
        <f t="shared" si="110"/>
        <v>2.5927450076539162E-3</v>
      </c>
      <c r="F86" s="40">
        <f t="shared" si="12"/>
        <v>0.72789757412398903</v>
      </c>
      <c r="G86" s="39">
        <f>SUMIFS('C.Pagar'!G$2:G$4509,'C.Pagar'!D$2:D$4509,TRIM(A86),'C.Pagar'!K$2:K$4509,"&gt;=01/12/2025",'C.Pagar'!K$2:K$4509,"&lt;=31/12/2025")</f>
        <v>3687.2</v>
      </c>
      <c r="H86" s="40">
        <f t="shared" si="111"/>
        <v>3.3780935925969472E-3</v>
      </c>
      <c r="I86" s="40">
        <f t="shared" si="158"/>
        <v>0.43795335777240463</v>
      </c>
      <c r="J86" s="39">
        <f>SUMIFS('C.Pagar'!G$2:G$4509,'C.Pagar'!D$2:D$4509,TRIM(A86),'C.Pagar'!K$2:K$4509,"&gt;=01/01/2026",'C.Pagar'!K$2:K$4509,"&lt;=31/01/2026")</f>
        <v>3994.02</v>
      </c>
      <c r="K86" s="40">
        <f t="shared" si="112"/>
        <v>4.2353398828920601E-3</v>
      </c>
      <c r="L86" s="40">
        <f t="shared" si="67"/>
        <v>8.3212193534389245E-2</v>
      </c>
      <c r="M86" s="39">
        <f>SUMIFS('C.Pagar'!$G$2:$G$4509,'C.Pagar'!$D$2:$D$4509,TRIM($A86),'C.Pagar'!$K$2:$K$4509,"&gt;=01/02/2026",'C.Pagar'!$K$2:$K$4509,"&lt;=28/02/2026")</f>
        <v>3997.92</v>
      </c>
      <c r="N86" s="40">
        <f t="shared" si="113"/>
        <v>5.7794750197432002E-3</v>
      </c>
      <c r="O86" s="40">
        <f t="shared" si="69"/>
        <v>9.7645980741201122E-4</v>
      </c>
      <c r="P86" s="39">
        <f>SUMIFS('C.Pagar'!$G$2:$G$4509,'C.Pagar'!$D$2:$D$4509,TRIM($A86),'C.Pagar'!$K$2:$K$4509,"&gt;=01/03/2026",'C.Pagar'!$K$2:$K$4509,"&lt;=31/03/2026")</f>
        <v>3994</v>
      </c>
      <c r="Q86" s="40">
        <f t="shared" si="114"/>
        <v>3.8547788042217492E-3</v>
      </c>
      <c r="R86" s="40">
        <f t="shared" si="75"/>
        <v>-9.8050986512987492E-4</v>
      </c>
      <c r="S86" s="39">
        <f>SUMIFS('C.Pagar'!$G$2:$G$4509,'C.Pagar'!$D$2:$D$4509,TRIM($A86),'C.Pagar'!$K$2:$K$4509,"&gt;=01/04/2026",'C.Pagar'!$K$2:$K$4509,"&lt;=30/04/2026")</f>
        <v>3994</v>
      </c>
      <c r="T86" s="40">
        <f t="shared" si="115"/>
        <v>4.5196318254050608E-3</v>
      </c>
      <c r="U86" s="40">
        <f t="shared" si="77"/>
        <v>0</v>
      </c>
    </row>
    <row r="87" spans="1:21" x14ac:dyDescent="0.3">
      <c r="A87" s="38" t="s">
        <v>1776</v>
      </c>
      <c r="B87" s="39">
        <f>SUMIFS('C.Pagar'!G$2:G$4509,'C.Pagar'!D$2:D$4509,TRIM(A87),'C.Pagar'!K$2:K$4509,"&gt;=01/10/2025",'C.Pagar'!K$2:K$4509,"&lt;=31/10/2025")</f>
        <v>0</v>
      </c>
      <c r="C87" s="70">
        <f t="shared" si="109"/>
        <v>0</v>
      </c>
      <c r="D87" s="39">
        <f>SUMIFS('C.Pagar'!G$2:G$4509,'C.Pagar'!D$2:D$4509,TRIM(A87),'C.Pagar'!K$2:K$4509,"&gt;=01/11/2025",'C.Pagar'!K$2:K$4509,"&lt;=30/11/2025")</f>
        <v>0</v>
      </c>
      <c r="E87" s="40">
        <f t="shared" si="110"/>
        <v>0</v>
      </c>
      <c r="F87" s="40">
        <f>IFERROR(D87/B87-1,0)</f>
        <v>0</v>
      </c>
      <c r="G87" s="39">
        <f>SUMIFS('C.Pagar'!G$2:G$4509,'C.Pagar'!D$2:D$4509,TRIM(A87),'C.Pagar'!K$2:K$4509,"&gt;=01/12/2025",'C.Pagar'!K$2:K$4509,"&lt;=31/12/2025")</f>
        <v>0</v>
      </c>
      <c r="H87" s="40">
        <f t="shared" si="111"/>
        <v>0</v>
      </c>
      <c r="I87" s="40">
        <f t="shared" si="158"/>
        <v>0</v>
      </c>
      <c r="J87" s="39">
        <f>SUMIFS('C.Pagar'!G$2:G$4509,'C.Pagar'!D$2:D$4509,TRIM(A87),'C.Pagar'!K$2:K$4509,"&gt;=01/01/2026",'C.Pagar'!K$2:K$4509,"&lt;=31/01/2026")</f>
        <v>0</v>
      </c>
      <c r="K87" s="40">
        <f t="shared" si="112"/>
        <v>0</v>
      </c>
      <c r="L87" s="40">
        <f t="shared" si="67"/>
        <v>0</v>
      </c>
      <c r="M87" s="39">
        <f>SUMIFS('C.Pagar'!$G$2:$G$4509,'C.Pagar'!$D$2:$D$4509,TRIM($A87),'C.Pagar'!$K$2:$K$4509,"&gt;=01/02/2026",'C.Pagar'!$K$2:$K$4509,"&lt;=28/02/2026")</f>
        <v>996</v>
      </c>
      <c r="N87" s="40">
        <f t="shared" si="113"/>
        <v>1.4398379956738073E-3</v>
      </c>
      <c r="O87" s="40">
        <f t="shared" si="69"/>
        <v>0</v>
      </c>
      <c r="P87" s="39">
        <f>SUMIFS('C.Pagar'!$G$2:$G$4509,'C.Pagar'!$D$2:$D$4509,TRIM($A87),'C.Pagar'!$K$2:$K$4509,"&gt;=01/03/2026",'C.Pagar'!$K$2:$K$4509,"&lt;=31/03/2026")</f>
        <v>0</v>
      </c>
      <c r="Q87" s="40">
        <f t="shared" si="114"/>
        <v>0</v>
      </c>
      <c r="R87" s="40">
        <f t="shared" si="75"/>
        <v>-1</v>
      </c>
      <c r="S87" s="39">
        <f>SUMIFS('C.Pagar'!$G$2:$G$4509,'C.Pagar'!$D$2:$D$4509,TRIM($A87),'C.Pagar'!$K$2:$K$4509,"&gt;=01/04/2026",'C.Pagar'!$K$2:$K$4509,"&lt;=30/04/2026")</f>
        <v>1150</v>
      </c>
      <c r="T87" s="40">
        <f t="shared" si="115"/>
        <v>1.3013461690575413E-3</v>
      </c>
      <c r="U87" s="40">
        <f t="shared" si="77"/>
        <v>0</v>
      </c>
    </row>
    <row r="88" spans="1:21" x14ac:dyDescent="0.3">
      <c r="A88" s="38" t="s">
        <v>1777</v>
      </c>
      <c r="B88" s="39">
        <f>SUMIFS('C.Pagar'!G$2:G$4509,'C.Pagar'!D$2:D$4509,TRIM(A88),'C.Pagar'!K$2:K$4509,"&gt;=01/10/2025",'C.Pagar'!K$2:K$4509,"&lt;=31/10/2025")</f>
        <v>4375</v>
      </c>
      <c r="C88" s="70">
        <f t="shared" si="109"/>
        <v>3.8954153890223583E-3</v>
      </c>
      <c r="D88" s="39">
        <f>SUMIFS('C.Pagar'!G$2:G$4509,'C.Pagar'!D$2:D$4509,TRIM(A88),'C.Pagar'!K$2:K$4509,"&gt;=01/11/2025",'C.Pagar'!K$2:K$4509,"&lt;=30/11/2025")</f>
        <v>1120</v>
      </c>
      <c r="E88" s="40">
        <f t="shared" si="110"/>
        <v>1.1324679855597795E-3</v>
      </c>
      <c r="F88" s="40">
        <f>IFERROR(D88/B88-1,0)</f>
        <v>-0.74399999999999999</v>
      </c>
      <c r="G88" s="39">
        <f>SUMIFS('C.Pagar'!G$2:G$4509,'C.Pagar'!D$2:D$4509,TRIM(A88),'C.Pagar'!K$2:K$4509,"&gt;=01/12/2025",'C.Pagar'!K$2:K$4509,"&lt;=31/12/2025")</f>
        <v>1180</v>
      </c>
      <c r="H88" s="40">
        <f t="shared" si="111"/>
        <v>1.081077901731503E-3</v>
      </c>
      <c r="I88" s="40">
        <f t="shared" si="158"/>
        <v>5.3571428571428603E-2</v>
      </c>
      <c r="J88" s="39">
        <f>SUMIFS('C.Pagar'!G$2:G$4509,'C.Pagar'!D$2:D$4509,TRIM(A88),'C.Pagar'!K$2:K$4509,"&gt;=01/01/2026",'C.Pagar'!K$2:K$4509,"&lt;=31/01/2026")</f>
        <v>1778.5</v>
      </c>
      <c r="K88" s="40">
        <f t="shared" si="112"/>
        <v>1.885957501896217E-3</v>
      </c>
      <c r="L88" s="40">
        <f t="shared" si="67"/>
        <v>0.50720338983050839</v>
      </c>
      <c r="M88" s="39">
        <f>SUMIFS('C.Pagar'!$G$2:$G$4509,'C.Pagar'!$D$2:$D$4509,TRIM($A88),'C.Pagar'!$K$2:$K$4509,"&gt;=01/02/2026",'C.Pagar'!$K$2:$K$4509,"&lt;=28/02/2026")</f>
        <v>7475</v>
      </c>
      <c r="N88" s="40">
        <f t="shared" si="113"/>
        <v>1.0806013069941476E-2</v>
      </c>
      <c r="O88" s="40">
        <f t="shared" si="69"/>
        <v>3.2029800393590104</v>
      </c>
      <c r="P88" s="39">
        <f>SUMIFS('C.Pagar'!$G$2:$G$4509,'C.Pagar'!$D$2:$D$4509,TRIM($A88),'C.Pagar'!$K$2:$K$4509,"&gt;=01/03/2026",'C.Pagar'!$K$2:$K$4509,"&lt;=31/03/2026")</f>
        <v>5791.5</v>
      </c>
      <c r="Q88" s="40">
        <f t="shared" si="114"/>
        <v>5.5896222946044717E-3</v>
      </c>
      <c r="R88" s="40">
        <f t="shared" si="75"/>
        <v>-0.22521739130434781</v>
      </c>
      <c r="S88" s="531">
        <f>SUMIFS('C.Pagar'!$G$2:$G$4509,'C.Pagar'!$D$2:$D$4509,TRIM($A88),'C.Pagar'!$K$2:$K$4509,"&gt;=01/04/2026",'C.Pagar'!$K$2:$K$4509,"&lt;=30/04/2026")</f>
        <v>1751.5</v>
      </c>
      <c r="T88" s="40">
        <f t="shared" si="115"/>
        <v>1.9820067957428554E-3</v>
      </c>
      <c r="U88" s="40">
        <f t="shared" si="77"/>
        <v>-0.69757403090736425</v>
      </c>
    </row>
    <row r="89" spans="1:21" x14ac:dyDescent="0.3">
      <c r="A89" s="38" t="s">
        <v>1778</v>
      </c>
      <c r="B89" s="39">
        <f>SUMIFS('C.Pagar'!G$2:G$4509,'C.Pagar'!D$2:D$4509,TRIM(A89),'C.Pagar'!K$2:K$4509,"&gt;=01/10/2025",'C.Pagar'!K$2:K$4509,"&lt;=31/10/2025")</f>
        <v>0</v>
      </c>
      <c r="C89" s="70">
        <f>B89/B$3</f>
        <v>0</v>
      </c>
      <c r="D89" s="39">
        <f>SUMIFS('C.Pagar'!G$2:G$4509,'C.Pagar'!D$2:D$4509,TRIM(A89),'C.Pagar'!K$2:K$4509,"&gt;=01/11/2025",'C.Pagar'!K$2:K$4509,"&lt;=30/11/2025")</f>
        <v>0</v>
      </c>
      <c r="E89" s="40">
        <f>D89/D$3</f>
        <v>0</v>
      </c>
      <c r="F89" s="40">
        <f>IFERROR(D89/B89-1,0)</f>
        <v>0</v>
      </c>
      <c r="G89" s="39">
        <f>SUMIFS('C.Pagar'!G$2:G$4509,'C.Pagar'!D$2:D$4509,TRIM(A89),'C.Pagar'!K$2:K$4509,"&gt;=01/12/2025",'C.Pagar'!K$2:K$4509,"&lt;=31/12/2025")</f>
        <v>0</v>
      </c>
      <c r="H89" s="40">
        <f>G89/G$3</f>
        <v>0</v>
      </c>
      <c r="I89" s="40">
        <f>IFERROR(G89/D89-1,0)</f>
        <v>0</v>
      </c>
      <c r="J89" s="39">
        <f>SUMIFS('C.Pagar'!G$2:G$4509,'C.Pagar'!D$2:D$4509,TRIM(A89),'C.Pagar'!K$2:K$4509,"&gt;=01/01/2026",'C.Pagar'!K$2:K$4509,"&lt;=31/01/2026")</f>
        <v>0</v>
      </c>
      <c r="K89" s="40">
        <f>J89/J$3</f>
        <v>0</v>
      </c>
      <c r="L89" s="40">
        <f>IFERROR(J89/G89-1,0)</f>
        <v>0</v>
      </c>
      <c r="M89" s="39">
        <f>SUMIFS('C.Pagar'!$G$2:$G$4509,'C.Pagar'!$D$2:$D$4509,TRIM($A89),'C.Pagar'!$K$2:$K$4509,"&gt;=01/02/2026",'C.Pagar'!$K$2:$K$4509,"&lt;=28/02/2026")</f>
        <v>0</v>
      </c>
      <c r="N89" s="40">
        <f>M89/M$3</f>
        <v>0</v>
      </c>
      <c r="O89" s="40">
        <f>IFERROR(M89/J89-1,0)</f>
        <v>0</v>
      </c>
      <c r="P89" s="39">
        <f>SUMIFS('C.Pagar'!$G$2:$G$4509,'C.Pagar'!$D$2:$D$4509,TRIM($A89),'C.Pagar'!$K$2:$K$4509,"&gt;=01/03/2026",'C.Pagar'!$K$2:$K$4509,"&lt;=31/03/2026")</f>
        <v>1128</v>
      </c>
      <c r="Q89" s="40">
        <f>P89/P$3</f>
        <v>1.0886806437561676E-3</v>
      </c>
      <c r="R89" s="40">
        <f>IFERROR(P89/M89-1,0)</f>
        <v>0</v>
      </c>
      <c r="S89" s="39">
        <f>SUMIFS('C.Pagar'!$G$2:$G$4509,'C.Pagar'!$D$2:$D$4509,TRIM($A89),'C.Pagar'!$K$2:$K$4509,"&gt;=01/04/2026",'C.Pagar'!$K$2:$K$4509,"&lt;=30/04/2026")</f>
        <v>1128</v>
      </c>
      <c r="T89" s="40">
        <f>S89/S$3</f>
        <v>1.2764508510407883E-3</v>
      </c>
      <c r="U89" s="40">
        <f>IFERROR(S89/P89-1,0)</f>
        <v>0</v>
      </c>
    </row>
    <row r="90" spans="1:21" x14ac:dyDescent="0.3">
      <c r="A90" s="38" t="s">
        <v>1779</v>
      </c>
      <c r="B90" s="39">
        <f>SUMIFS('C.Pagar'!G$2:G$4509,'C.Pagar'!D$2:D$4509,TRIM(A90),'C.Pagar'!K$2:K$4509,"&gt;=01/10/2025",'C.Pagar'!K$2:K$4509,"&lt;=31/10/2025")</f>
        <v>2124.83</v>
      </c>
      <c r="C90" s="70">
        <f>B90/B$3</f>
        <v>1.891907538527172E-3</v>
      </c>
      <c r="D90" s="39">
        <f>SUMIFS('C.Pagar'!G$2:G$4509,'C.Pagar'!D$2:D$4509,TRIM(A90),'C.Pagar'!K$2:K$4509,"&gt;=01/11/2025",'C.Pagar'!K$2:K$4509,"&lt;=30/11/2025")</f>
        <v>2124.84</v>
      </c>
      <c r="E90" s="40">
        <f>D90/D$3</f>
        <v>2.1484939950328946E-3</v>
      </c>
      <c r="F90" s="40">
        <f>IFERROR(D90/B90-1,0)</f>
        <v>4.7062588537372108E-6</v>
      </c>
      <c r="G90" s="39">
        <f>SUMIFS('C.Pagar'!G$2:G$4509,'C.Pagar'!D$2:D$4509,TRIM(A90),'C.Pagar'!K$2:K$4509,"&gt;=01/12/2025",'C.Pagar'!K$2:K$4509,"&lt;=31/12/2025")</f>
        <v>1730</v>
      </c>
      <c r="H90" s="40">
        <f>G90/G$3</f>
        <v>1.5849701440639832E-3</v>
      </c>
      <c r="I90" s="40">
        <f>IFERROR(G90/D90-1,0)</f>
        <v>-0.18582105005553362</v>
      </c>
      <c r="J90" s="39">
        <f>SUMIFS('C.Pagar'!G$2:G$4509,'C.Pagar'!D$2:D$4509,TRIM(A90),'C.Pagar'!K$2:K$4509,"&gt;=01/01/2026",'C.Pagar'!K$2:K$4509,"&lt;=31/01/2026")</f>
        <v>1730</v>
      </c>
      <c r="K90" s="40">
        <f>J90/J$3</f>
        <v>1.8345271173913159E-3</v>
      </c>
      <c r="L90" s="40">
        <f>IFERROR(J90/G90-1,0)</f>
        <v>0</v>
      </c>
      <c r="M90" s="39">
        <f>SUMIFS('C.Pagar'!$G$2:$G$4509,'C.Pagar'!$D$2:$D$4509,TRIM($A90),'C.Pagar'!$K$2:$K$4509,"&gt;=01/02/2026",'C.Pagar'!$K$2:$K$4509,"&lt;=28/02/2026")</f>
        <v>7682.3899999999994</v>
      </c>
      <c r="N90" s="40">
        <f>M90/M$3</f>
        <v>1.1105820300787651E-2</v>
      </c>
      <c r="O90" s="40">
        <f>IFERROR(M90/J90-1,0)</f>
        <v>3.4406878612716758</v>
      </c>
      <c r="P90" s="39">
        <f>SUMIFS('C.Pagar'!$G$2:$G$4509,'C.Pagar'!$D$2:$D$4509,TRIM($A90),'C.Pagar'!$K$2:$K$4509,"&gt;=01/03/2026",'C.Pagar'!$K$2:$K$4509,"&lt;=31/03/2026")</f>
        <v>7938.96</v>
      </c>
      <c r="Q90" s="40">
        <f>P90/P$3</f>
        <v>7.6622270244277157E-3</v>
      </c>
      <c r="R90" s="40">
        <f>IFERROR(P90/M90-1,0)</f>
        <v>3.3397158957043427E-2</v>
      </c>
      <c r="S90" s="531">
        <f>SUMIFS('C.Pagar'!$G$2:$G$4509,'C.Pagar'!$D$2:$D$4509,TRIM($A90),'C.Pagar'!$K$2:$K$4509,"&gt;=01/04/2026",'C.Pagar'!$K$2:$K$4509,"&lt;=30/04/2026")</f>
        <v>2900</v>
      </c>
      <c r="T90" s="40">
        <f>S90/S$3</f>
        <v>3.2816555567537998E-3</v>
      </c>
      <c r="U90" s="40">
        <f>IFERROR(S90/P90-1,0)</f>
        <v>-0.63471285911504782</v>
      </c>
    </row>
    <row r="91" spans="1:21" x14ac:dyDescent="0.3">
      <c r="A91" s="38" t="s">
        <v>1780</v>
      </c>
      <c r="B91" s="39">
        <f>SUMIFS('C.Pagar'!G$2:G$4509,'C.Pagar'!D$2:D$4509,TRIM(A91),'C.Pagar'!K$2:K$4509,"&gt;=01/10/2025",'C.Pagar'!K$2:K$4509,"&lt;=31/10/2025")</f>
        <v>0</v>
      </c>
      <c r="C91" s="70">
        <f t="shared" ref="C91:C92" si="159">B91/B$3</f>
        <v>0</v>
      </c>
      <c r="D91" s="39">
        <f>SUMIFS('C.Pagar'!G$2:G$4509,'C.Pagar'!D$2:D$4509,TRIM(A91),'C.Pagar'!K$2:K$4509,"&gt;=01/11/2025",'C.Pagar'!K$2:K$4509,"&lt;=30/11/2025")</f>
        <v>3000</v>
      </c>
      <c r="E91" s="40">
        <f t="shared" ref="E91:E92" si="160">D91/D$3</f>
        <v>3.0333963898922663E-3</v>
      </c>
      <c r="F91" s="40">
        <f t="shared" ref="F91:F92" si="161">IFERROR(D91/B91-1,0)</f>
        <v>0</v>
      </c>
      <c r="G91" s="39">
        <f>SUMIFS('C.Pagar'!G$2:G$4509,'C.Pagar'!D$2:D$4509,TRIM(A91),'C.Pagar'!K$2:K$4509,"&gt;=01/12/2025",'C.Pagar'!K$2:K$4509,"&lt;=31/12/2025")</f>
        <v>4440</v>
      </c>
      <c r="H91" s="40">
        <f t="shared" ref="H91:H92" si="162">G91/G$3</f>
        <v>4.067784647193113E-3</v>
      </c>
      <c r="I91" s="40">
        <f t="shared" ref="I91:I92" si="163">IFERROR(G91/D91-1,0)</f>
        <v>0.48</v>
      </c>
      <c r="J91" s="39">
        <f>SUMIFS('C.Pagar'!G$2:G$4509,'C.Pagar'!D$2:D$4509,TRIM(A91),'C.Pagar'!K$2:K$4509,"&gt;=01/01/2026",'C.Pagar'!K$2:K$4509,"&lt;=31/01/2026")</f>
        <v>3990</v>
      </c>
      <c r="K91" s="40">
        <f t="shared" si="112"/>
        <v>4.2310769932897979E-3</v>
      </c>
      <c r="L91" s="40">
        <f t="shared" si="67"/>
        <v>-0.10135135135135132</v>
      </c>
      <c r="M91" s="39">
        <f>SUMIFS('C.Pagar'!$G$2:$G$4509,'C.Pagar'!$D$2:$D$4509,TRIM($A91),'C.Pagar'!$K$2:$K$4509,"&gt;=01/02/2026",'C.Pagar'!$K$2:$K$4509,"&lt;=28/02/2026")</f>
        <v>3423.98</v>
      </c>
      <c r="N91" s="40">
        <f t="shared" si="113"/>
        <v>4.9497756028385569E-3</v>
      </c>
      <c r="O91" s="40">
        <f t="shared" si="69"/>
        <v>-0.14185964912280702</v>
      </c>
      <c r="P91" s="39">
        <f>SUMIFS('C.Pagar'!$G$2:$G$4509,'C.Pagar'!$D$2:$D$4509,TRIM($A91),'C.Pagar'!$K$2:$K$4509,"&gt;=01/03/2026",'C.Pagar'!$K$2:$K$4509,"&lt;=31/03/2026")</f>
        <v>8000</v>
      </c>
      <c r="Q91" s="40">
        <f t="shared" ref="Q91:Q105" si="164">P91/P$3</f>
        <v>7.7211393174196272E-3</v>
      </c>
      <c r="R91" s="40">
        <f t="shared" ref="R91:R105" si="165">IFERROR(P91/M91-1,0)</f>
        <v>1.3364622456906874</v>
      </c>
      <c r="S91" s="531">
        <f>SUMIFS('C.Pagar'!$G$2:$G$4509,'C.Pagar'!$D$2:$D$4509,TRIM($A91),'C.Pagar'!$K$2:$K$4509,"&gt;=01/04/2026",'C.Pagar'!$K$2:$K$4509,"&lt;=30/04/2026")</f>
        <v>7470.02</v>
      </c>
      <c r="T91" s="40">
        <f t="shared" ref="T91:T105" si="166">S91/S$3</f>
        <v>8.4531147041593171E-3</v>
      </c>
      <c r="U91" s="40">
        <f t="shared" ref="U91:U105" si="167">IFERROR(S91/P91-1,0)</f>
        <v>-6.6247499999999904E-2</v>
      </c>
    </row>
    <row r="92" spans="1:21" x14ac:dyDescent="0.3">
      <c r="A92" s="38" t="s">
        <v>1781</v>
      </c>
      <c r="B92" s="39">
        <f>SUMIFS('C.Pagar'!G$2:G$4509,'C.Pagar'!D$2:D$4509,TRIM(A92),'C.Pagar'!K$2:K$4509,"&gt;=01/10/2025",'C.Pagar'!K$2:K$4509,"&lt;=31/10/2025")</f>
        <v>0</v>
      </c>
      <c r="C92" s="70">
        <f t="shared" si="159"/>
        <v>0</v>
      </c>
      <c r="D92" s="39">
        <f>SUMIFS('C.Pagar'!G$2:G$4509,'C.Pagar'!D$2:D$4509,TRIM(A92),'C.Pagar'!K$2:K$4509,"&gt;=01/11/2025",'C.Pagar'!K$2:K$4509,"&lt;=30/11/2025")</f>
        <v>0</v>
      </c>
      <c r="E92" s="40">
        <f t="shared" si="160"/>
        <v>0</v>
      </c>
      <c r="F92" s="40">
        <f t="shared" si="161"/>
        <v>0</v>
      </c>
      <c r="G92" s="39">
        <f>SUMIFS('C.Pagar'!G$2:G$4509,'C.Pagar'!D$2:D$4509,TRIM(A92),'C.Pagar'!K$2:K$4509,"&gt;=01/12/2025",'C.Pagar'!K$2:K$4509,"&lt;=31/12/2025")</f>
        <v>0</v>
      </c>
      <c r="H92" s="40">
        <f t="shared" si="162"/>
        <v>0</v>
      </c>
      <c r="I92" s="40">
        <f t="shared" si="163"/>
        <v>0</v>
      </c>
      <c r="J92" s="39">
        <f>SUMIFS('C.Pagar'!G$2:G$4509,'C.Pagar'!D$2:D$4509,TRIM(A92),'C.Pagar'!K$2:K$4509,"&gt;=01/01/2026",'C.Pagar'!K$2:K$4509,"&lt;=31/01/2026")</f>
        <v>0</v>
      </c>
      <c r="K92" s="40">
        <f t="shared" ref="K92" si="168">J92/J$3</f>
        <v>0</v>
      </c>
      <c r="L92" s="40">
        <f t="shared" ref="L92" si="169">IFERROR(J92/G92-1,0)</f>
        <v>0</v>
      </c>
      <c r="M92" s="39">
        <f>SUMIFS('C.Pagar'!$G$2:$G$4509,'C.Pagar'!$D$2:$D$4509,TRIM($A92),'C.Pagar'!$K$2:$K$4509,"&gt;=01/02/2026",'C.Pagar'!$K$2:$K$4509,"&lt;=28/02/2026")</f>
        <v>0</v>
      </c>
      <c r="N92" s="40">
        <f t="shared" ref="N92" si="170">M92/M$3</f>
        <v>0</v>
      </c>
      <c r="O92" s="40">
        <f t="shared" ref="O92" si="171">IFERROR(M92/J92-1,0)</f>
        <v>0</v>
      </c>
      <c r="P92" s="39">
        <f>SUMIFS('C.Pagar'!$G$2:$G$4509,'C.Pagar'!$D$2:$D$4509,TRIM($A92),'C.Pagar'!$K$2:$K$4509,"&gt;=01/03/2026",'C.Pagar'!$K$2:$K$4509,"&lt;=31/03/2026")</f>
        <v>3814.32</v>
      </c>
      <c r="Q92" s="40">
        <f t="shared" ref="Q92" si="172">P92/P$3</f>
        <v>3.6813620151525043E-3</v>
      </c>
      <c r="R92" s="40">
        <f t="shared" ref="R92" si="173">IFERROR(P92/M92-1,0)</f>
        <v>0</v>
      </c>
      <c r="S92" s="39">
        <f>SUMIFS('C.Pagar'!$G$2:$G$4509,'C.Pagar'!$D$2:$D$4509,TRIM($A92),'C.Pagar'!$K$2:$K$4509,"&gt;=01/04/2026",'C.Pagar'!$K$2:$K$4509,"&lt;=30/04/2026")</f>
        <v>0</v>
      </c>
      <c r="T92" s="40">
        <f t="shared" si="166"/>
        <v>0</v>
      </c>
      <c r="U92" s="40">
        <f t="shared" si="167"/>
        <v>-1</v>
      </c>
    </row>
    <row r="93" spans="1:21" x14ac:dyDescent="0.3">
      <c r="A93" s="38" t="s">
        <v>1782</v>
      </c>
      <c r="B93" s="39">
        <f>SUMIFS('C.Pagar'!G$2:G$4509,'C.Pagar'!D$2:D$4509,TRIM(A93),'C.Pagar'!K$2:K$4509,"&gt;=01/10/2025",'C.Pagar'!K$2:K$4509,"&lt;=31/10/2025")</f>
        <v>0</v>
      </c>
      <c r="C93" s="70">
        <f t="shared" si="109"/>
        <v>0</v>
      </c>
      <c r="D93" s="39">
        <f>SUMIFS('C.Pagar'!G$2:G$4509,'C.Pagar'!D$2:D$4509,TRIM(A93),'C.Pagar'!K$2:K$4509,"&gt;=01/11/2025",'C.Pagar'!K$2:K$4509,"&lt;=30/11/2025")</f>
        <v>1000</v>
      </c>
      <c r="E93" s="40">
        <f t="shared" si="110"/>
        <v>1.0111321299640888E-3</v>
      </c>
      <c r="F93" s="40">
        <f t="shared" si="12"/>
        <v>0</v>
      </c>
      <c r="G93" s="39">
        <f>SUMIFS('C.Pagar'!G$2:G$4509,'C.Pagar'!D$2:D$4509,TRIM(A93),'C.Pagar'!K$2:K$4509,"&gt;=01/12/2025",'C.Pagar'!K$2:K$4509,"&lt;=31/12/2025")</f>
        <v>0</v>
      </c>
      <c r="H93" s="40">
        <f t="shared" si="111"/>
        <v>0</v>
      </c>
      <c r="I93" s="40">
        <f t="shared" si="158"/>
        <v>-1</v>
      </c>
      <c r="J93" s="39">
        <f>SUMIFS('C.Pagar'!G$2:G$4509,'C.Pagar'!D$2:D$4509,TRIM(A93),'C.Pagar'!K$2:K$4509,"&gt;=01/01/2026",'C.Pagar'!K$2:K$4509,"&lt;=31/01/2026")</f>
        <v>0</v>
      </c>
      <c r="K93" s="40">
        <f t="shared" si="112"/>
        <v>0</v>
      </c>
      <c r="L93" s="40">
        <f t="shared" si="67"/>
        <v>0</v>
      </c>
      <c r="M93" s="39">
        <f>SUMIFS('C.Pagar'!$G$2:$G$4509,'C.Pagar'!$D$2:$D$4509,TRIM($A93),'C.Pagar'!$K$2:$K$4509,"&gt;=01/02/2026",'C.Pagar'!$K$2:$K$4509,"&lt;=28/02/2026")</f>
        <v>0</v>
      </c>
      <c r="N93" s="40">
        <f t="shared" si="113"/>
        <v>0</v>
      </c>
      <c r="O93" s="40">
        <f t="shared" si="69"/>
        <v>0</v>
      </c>
      <c r="P93" s="39">
        <f>SUMIFS('C.Pagar'!$G$2:$G$4509,'C.Pagar'!$D$2:$D$4509,TRIM($A93),'C.Pagar'!$K$2:$K$4509,"&gt;=01/03/2026",'C.Pagar'!$K$2:$K$4509,"&lt;=31/03/2026")</f>
        <v>0</v>
      </c>
      <c r="Q93" s="40">
        <f t="shared" si="164"/>
        <v>0</v>
      </c>
      <c r="R93" s="40">
        <f t="shared" si="165"/>
        <v>0</v>
      </c>
      <c r="S93" s="39">
        <f>SUMIFS('C.Pagar'!$G$2:$G$4509,'C.Pagar'!$D$2:$D$4509,TRIM($A93),'C.Pagar'!$K$2:$K$4509,"&gt;=01/04/2026",'C.Pagar'!$K$2:$K$4509,"&lt;=30/04/2026")</f>
        <v>0</v>
      </c>
      <c r="T93" s="40">
        <f t="shared" si="166"/>
        <v>0</v>
      </c>
      <c r="U93" s="40">
        <f t="shared" si="167"/>
        <v>0</v>
      </c>
    </row>
    <row r="94" spans="1:21" x14ac:dyDescent="0.3">
      <c r="A94" s="44" t="s">
        <v>1783</v>
      </c>
      <c r="B94" s="45">
        <f>SUM(B95:B98)</f>
        <v>1658.1399999999999</v>
      </c>
      <c r="C94" s="73">
        <f t="shared" si="109"/>
        <v>1.4763757881493789E-3</v>
      </c>
      <c r="D94" s="45">
        <f>SUM(D95:D98)</f>
        <v>222.11</v>
      </c>
      <c r="E94" s="46">
        <f t="shared" si="110"/>
        <v>2.2458255738632378E-4</v>
      </c>
      <c r="F94" s="46">
        <f t="shared" si="12"/>
        <v>-0.86604870517567878</v>
      </c>
      <c r="G94" s="45">
        <f>SUM(G95:G98)</f>
        <v>9390.3700000000008</v>
      </c>
      <c r="H94" s="46">
        <f t="shared" si="111"/>
        <v>8.6031538102393675E-3</v>
      </c>
      <c r="I94" s="46">
        <f t="shared" si="158"/>
        <v>41.278015397775874</v>
      </c>
      <c r="J94" s="45">
        <f>SUM(J95:J98)</f>
        <v>4069.08</v>
      </c>
      <c r="K94" s="46">
        <f t="shared" si="112"/>
        <v>4.3149350305402637E-3</v>
      </c>
      <c r="L94" s="46">
        <f t="shared" si="67"/>
        <v>-0.56667522153014205</v>
      </c>
      <c r="M94" s="45">
        <f>SUM(M95:M98)</f>
        <v>955.49</v>
      </c>
      <c r="N94" s="46">
        <f t="shared" si="113"/>
        <v>1.3812759101268736E-3</v>
      </c>
      <c r="O94" s="46">
        <f t="shared" si="69"/>
        <v>-0.7651827931620907</v>
      </c>
      <c r="P94" s="45">
        <f>SUM(P95:P98)</f>
        <v>1325.51</v>
      </c>
      <c r="Q94" s="46">
        <f t="shared" si="164"/>
        <v>1.2793059220791113E-3</v>
      </c>
      <c r="R94" s="46">
        <f t="shared" si="165"/>
        <v>0.38725680017582609</v>
      </c>
      <c r="S94" s="45">
        <f>SUM(S95:S98)</f>
        <v>2599.2399999999998</v>
      </c>
      <c r="T94" s="46">
        <f t="shared" si="166"/>
        <v>2.9413139273574986E-3</v>
      </c>
      <c r="U94" s="46">
        <f t="shared" si="167"/>
        <v>0.96093579075223867</v>
      </c>
    </row>
    <row r="95" spans="1:21" x14ac:dyDescent="0.3">
      <c r="A95" s="38" t="s">
        <v>1784</v>
      </c>
      <c r="B95" s="39">
        <f>SUMIFS('C.Pagar'!G$2:G$4509,'C.Pagar'!D$2:D$4509,TRIM(A95),'C.Pagar'!K$2:K$4509,"&gt;=01/10/2025",'C.Pagar'!K$2:K$4509,"&lt;=31/10/2025")</f>
        <v>1658.1399999999999</v>
      </c>
      <c r="C95" s="70">
        <f t="shared" si="109"/>
        <v>1.4763757881493789E-3</v>
      </c>
      <c r="D95" s="39">
        <f>SUMIFS('C.Pagar'!G$2:G$4509,'C.Pagar'!D$2:D$4509,TRIM(A95),'C.Pagar'!K$2:K$4509,"&gt;=01/11/2025",'C.Pagar'!K$2:K$4509,"&lt;=30/11/2025")</f>
        <v>57.11</v>
      </c>
      <c r="E95" s="40">
        <f t="shared" si="110"/>
        <v>5.7745755942249109E-5</v>
      </c>
      <c r="F95" s="40">
        <f t="shared" ref="F95:F172" si="174">IFERROR(D95/B95-1,0)</f>
        <v>-0.96555779367242811</v>
      </c>
      <c r="G95" s="39">
        <f>SUMIFS('C.Pagar'!G$2:G$4509,'C.Pagar'!D$2:D$4509,TRIM(A95),'C.Pagar'!K$2:K$4509,"&gt;=01/12/2025",'C.Pagar'!K$2:K$4509,"&lt;=31/12/2025")</f>
        <v>837.62</v>
      </c>
      <c r="H95" s="40">
        <f t="shared" si="111"/>
        <v>7.6740040004096737E-4</v>
      </c>
      <c r="I95" s="40">
        <f t="shared" si="158"/>
        <v>13.666783400455262</v>
      </c>
      <c r="J95" s="198">
        <f>SUMIFS('C.Pagar'!G$2:G$4509,'C.Pagar'!D$2:D$4509,TRIM(A95),'C.Pagar'!K$2:K$4509,"&gt;=01/01/2026",'C.Pagar'!K$2:K$4509,"&lt;=31/01/2026")</f>
        <v>4069.08</v>
      </c>
      <c r="K95" s="40">
        <f t="shared" si="112"/>
        <v>4.3149350305402637E-3</v>
      </c>
      <c r="L95" s="40">
        <f t="shared" si="67"/>
        <v>3.8579069267687016</v>
      </c>
      <c r="M95" s="39">
        <f>SUMIFS('C.Pagar'!$G$2:$G$4509,'C.Pagar'!$D$2:$D$4509,TRIM($A95),'C.Pagar'!$K$2:$K$4509,"&gt;=01/02/2026",'C.Pagar'!$K$2:$K$4509,"&lt;=28/02/2026")</f>
        <v>955.49</v>
      </c>
      <c r="N95" s="40">
        <f t="shared" si="113"/>
        <v>1.3812759101268736E-3</v>
      </c>
      <c r="O95" s="40">
        <f t="shared" si="69"/>
        <v>-0.7651827931620907</v>
      </c>
      <c r="P95" s="39">
        <f>SUMIFS('C.Pagar'!$G$2:$G$4509,'C.Pagar'!$D$2:$D$4509,TRIM($A95),'C.Pagar'!$K$2:$K$4509,"&gt;=01/03/2026",'C.Pagar'!$K$2:$K$4509,"&lt;=31/03/2026")</f>
        <v>878.96999999999991</v>
      </c>
      <c r="Q95" s="40">
        <f t="shared" si="164"/>
        <v>8.4833122822904115E-4</v>
      </c>
      <c r="R95" s="40">
        <f t="shared" si="165"/>
        <v>-8.0084563941014708E-2</v>
      </c>
      <c r="S95" s="39">
        <f>SUMIFS('C.Pagar'!$G$2:$G$4509,'C.Pagar'!$D$2:$D$4509,TRIM($A95),'C.Pagar'!$K$2:$K$4509,"&gt;=01/04/2026",'C.Pagar'!$K$2:$K$4509,"&lt;=30/04/2026")</f>
        <v>1149.18</v>
      </c>
      <c r="T95" s="40">
        <f t="shared" si="166"/>
        <v>1.3004182526587351E-3</v>
      </c>
      <c r="U95" s="40">
        <f t="shared" si="167"/>
        <v>0.30741663538004738</v>
      </c>
    </row>
    <row r="96" spans="1:21" x14ac:dyDescent="0.3">
      <c r="A96" s="37" t="s">
        <v>1785</v>
      </c>
      <c r="B96" s="39">
        <f>SUMIFS('C.Pagar'!G$2:G$4509,'C.Pagar'!D$2:D$4509,TRIM(A96),'C.Pagar'!K$2:K$4509,"&gt;=01/10/2025",'C.Pagar'!K$2:K$4509,"&lt;=31/10/2025")</f>
        <v>0</v>
      </c>
      <c r="C96" s="70">
        <f t="shared" si="109"/>
        <v>0</v>
      </c>
      <c r="D96" s="39">
        <f>SUMIFS('C.Pagar'!G$2:G$4509,'C.Pagar'!D$2:D$4509,TRIM(A96),'C.Pagar'!K$2:K$4509,"&gt;=01/11/2025",'C.Pagar'!K$2:K$4509,"&lt;=30/11/2025")</f>
        <v>0</v>
      </c>
      <c r="E96" s="40">
        <f t="shared" si="110"/>
        <v>0</v>
      </c>
      <c r="F96" s="40">
        <f t="shared" si="174"/>
        <v>0</v>
      </c>
      <c r="G96" s="39">
        <f>SUMIFS('C.Pagar'!G$2:G$4509,'C.Pagar'!D$2:D$4509,TRIM(A96),'C.Pagar'!K$2:K$4509,"&gt;=01/12/2025",'C.Pagar'!K$2:K$4509,"&lt;=31/12/2025")</f>
        <v>0</v>
      </c>
      <c r="H96" s="40">
        <f t="shared" si="111"/>
        <v>0</v>
      </c>
      <c r="I96" s="40">
        <f t="shared" si="158"/>
        <v>0</v>
      </c>
      <c r="J96" s="198">
        <f>SUMIFS('C.Pagar'!G$2:G$4509,'C.Pagar'!D$2:D$4509,TRIM(A96),'C.Pagar'!K$2:K$4509,"&gt;=01/01/2026",'C.Pagar'!K$2:K$4509,"&lt;=31/01/2026")</f>
        <v>0</v>
      </c>
      <c r="K96" s="40">
        <f t="shared" si="112"/>
        <v>0</v>
      </c>
      <c r="L96" s="40">
        <f t="shared" si="67"/>
        <v>0</v>
      </c>
      <c r="M96" s="39">
        <f>SUMIFS('C.Pagar'!$G$2:$G$4509,'C.Pagar'!$D$2:$D$4509,TRIM($A96),'C.Pagar'!$K$2:$K$4509,"&gt;=01/02/2026",'C.Pagar'!$K$2:$K$4509,"&lt;=28/02/2026")</f>
        <v>0</v>
      </c>
      <c r="N96" s="40">
        <f t="shared" si="113"/>
        <v>0</v>
      </c>
      <c r="O96" s="40">
        <f t="shared" si="69"/>
        <v>0</v>
      </c>
      <c r="P96" s="39">
        <f>SUMIFS('C.Pagar'!$G$2:$G$4509,'C.Pagar'!$D$2:$D$4509,TRIM($A96),'C.Pagar'!$K$2:$K$4509,"&gt;=01/03/2026",'C.Pagar'!$K$2:$K$4509,"&lt;=31/03/2026")</f>
        <v>0</v>
      </c>
      <c r="Q96" s="40">
        <f t="shared" si="164"/>
        <v>0</v>
      </c>
      <c r="R96" s="40">
        <f t="shared" si="165"/>
        <v>0</v>
      </c>
      <c r="S96" s="39">
        <f>SUMIFS('C.Pagar'!$G$2:$G$4509,'C.Pagar'!$D$2:$D$4509,TRIM($A96),'C.Pagar'!$K$2:$K$4509,"&gt;=01/04/2026",'C.Pagar'!$K$2:$K$4509,"&lt;=30/04/2026")</f>
        <v>0</v>
      </c>
      <c r="T96" s="40">
        <f t="shared" si="166"/>
        <v>0</v>
      </c>
      <c r="U96" s="40">
        <f t="shared" si="167"/>
        <v>0</v>
      </c>
    </row>
    <row r="97" spans="1:21" x14ac:dyDescent="0.3">
      <c r="A97" s="37" t="s">
        <v>1786</v>
      </c>
      <c r="B97" s="39">
        <f>SUMIFS('C.Pagar'!G$2:G$4509,'C.Pagar'!D$2:D$4509,TRIM(A97),'C.Pagar'!K$2:K$4509,"&gt;=01/10/2025",'C.Pagar'!K$2:K$4509,"&lt;=31/10/2025")</f>
        <v>0</v>
      </c>
      <c r="C97" s="70">
        <f t="shared" si="109"/>
        <v>0</v>
      </c>
      <c r="D97" s="39">
        <f>SUMIFS('C.Pagar'!G$2:G$4509,'C.Pagar'!D$2:D$4509,TRIM(A97),'C.Pagar'!K$2:K$4509,"&gt;=01/11/2025",'C.Pagar'!K$2:K$4509,"&lt;=30/11/2025")</f>
        <v>165</v>
      </c>
      <c r="E97" s="40">
        <f t="shared" si="110"/>
        <v>1.6683680144407464E-4</v>
      </c>
      <c r="F97" s="40">
        <f t="shared" si="174"/>
        <v>0</v>
      </c>
      <c r="G97" s="39">
        <f>SUMIFS('C.Pagar'!G$2:G$4509,'C.Pagar'!D$2:D$4509,TRIM(A97),'C.Pagar'!K$2:K$4509,"&gt;=01/12/2025",'C.Pagar'!K$2:K$4509,"&lt;=31/12/2025")</f>
        <v>8552.75</v>
      </c>
      <c r="H97" s="40">
        <f t="shared" si="111"/>
        <v>7.8357534101984004E-3</v>
      </c>
      <c r="I97" s="40">
        <f t="shared" si="158"/>
        <v>50.834848484848486</v>
      </c>
      <c r="J97" s="39">
        <f>SUMIFS('C.Pagar'!G$2:G$4509,'C.Pagar'!D$2:D$4509,TRIM(A97),'C.Pagar'!K$2:K$4509,"&gt;=01/01/2026",'C.Pagar'!K$2:K$4509,"&lt;=31/01/2026")</f>
        <v>0</v>
      </c>
      <c r="K97" s="40">
        <f t="shared" si="112"/>
        <v>0</v>
      </c>
      <c r="L97" s="40">
        <f t="shared" si="67"/>
        <v>-1</v>
      </c>
      <c r="M97" s="39">
        <f>SUMIFS('C.Pagar'!$G$2:$G$4509,'C.Pagar'!$D$2:$D$4509,TRIM($A97),'C.Pagar'!$K$2:$K$4509,"&gt;=01/02/2026",'C.Pagar'!$K$2:$K$4509,"&lt;=28/02/2026")</f>
        <v>0</v>
      </c>
      <c r="N97" s="40">
        <f t="shared" si="113"/>
        <v>0</v>
      </c>
      <c r="O97" s="40">
        <f t="shared" si="69"/>
        <v>0</v>
      </c>
      <c r="P97" s="39">
        <f>SUMIFS('C.Pagar'!$G$2:$G$4509,'C.Pagar'!$D$2:$D$4509,TRIM($A97),'C.Pagar'!$K$2:$K$4509,"&gt;=01/03/2026",'C.Pagar'!$K$2:$K$4509,"&lt;=31/03/2026")</f>
        <v>446.54</v>
      </c>
      <c r="Q97" s="40">
        <f t="shared" si="164"/>
        <v>4.309746938500701E-4</v>
      </c>
      <c r="R97" s="40">
        <f t="shared" si="165"/>
        <v>0</v>
      </c>
      <c r="S97" s="39">
        <f>SUMIFS('C.Pagar'!$G$2:$G$4509,'C.Pagar'!$D$2:$D$4509,TRIM($A97),'C.Pagar'!$K$2:$K$4509,"&gt;=01/04/2026",'C.Pagar'!$K$2:$K$4509,"&lt;=30/04/2026")</f>
        <v>1450.06</v>
      </c>
      <c r="T97" s="40">
        <f t="shared" si="166"/>
        <v>1.6408956746987637E-3</v>
      </c>
      <c r="U97" s="40">
        <f t="shared" si="167"/>
        <v>2.2473238679625562</v>
      </c>
    </row>
    <row r="98" spans="1:21" x14ac:dyDescent="0.3">
      <c r="A98" s="37" t="s">
        <v>1787</v>
      </c>
      <c r="B98" s="39">
        <f>SUMIFS('C.Pagar'!G$2:G$4509,'C.Pagar'!D$2:D$4509,TRIM(A98),'C.Pagar'!K$2:K$4509,"&gt;=01/10/2025",'C.Pagar'!K$2:K$4509,"&lt;=31/10/2025")</f>
        <v>0</v>
      </c>
      <c r="C98" s="70">
        <f t="shared" si="109"/>
        <v>0</v>
      </c>
      <c r="D98" s="39">
        <f>SUMIFS('C.Pagar'!G$2:G$4509,'C.Pagar'!D$2:D$4509,TRIM(A98),'C.Pagar'!K$2:K$4509,"&gt;=01/11/2025",'C.Pagar'!K$2:K$4509,"&lt;=30/11/2025")</f>
        <v>0</v>
      </c>
      <c r="E98" s="40">
        <f t="shared" si="110"/>
        <v>0</v>
      </c>
      <c r="F98" s="40">
        <f t="shared" si="174"/>
        <v>0</v>
      </c>
      <c r="G98" s="39">
        <f>SUMIFS('C.Pagar'!G$2:G$4509,'C.Pagar'!D$2:D$4509,TRIM(A98),'C.Pagar'!K$2:K$4509,"&gt;=01/12/2025",'C.Pagar'!K$2:K$4509,"&lt;=31/12/2025")</f>
        <v>0</v>
      </c>
      <c r="H98" s="40">
        <f t="shared" si="111"/>
        <v>0</v>
      </c>
      <c r="I98" s="40">
        <f t="shared" si="158"/>
        <v>0</v>
      </c>
      <c r="J98" s="39">
        <f>SUMIFS('C.Pagar'!G$2:G$4509,'C.Pagar'!D$2:D$4509,TRIM(A98),'C.Pagar'!K$2:K$4509,"&gt;=01/01/2026",'C.Pagar'!K$2:K$4509,"&lt;=31/01/2026")</f>
        <v>0</v>
      </c>
      <c r="K98" s="40">
        <f t="shared" si="112"/>
        <v>0</v>
      </c>
      <c r="L98" s="40">
        <f t="shared" si="67"/>
        <v>0</v>
      </c>
      <c r="M98" s="39">
        <f>SUMIFS('C.Pagar'!$G$2:$G$4509,'C.Pagar'!$D$2:$D$4509,TRIM($A98),'C.Pagar'!$K$2:$K$4509,"&gt;=01/02/2026",'C.Pagar'!$K$2:$K$4509,"&lt;=28/02/2026")</f>
        <v>0</v>
      </c>
      <c r="N98" s="40">
        <f t="shared" si="113"/>
        <v>0</v>
      </c>
      <c r="O98" s="40">
        <f t="shared" si="69"/>
        <v>0</v>
      </c>
      <c r="P98" s="39">
        <f>SUMIFS('C.Pagar'!$G$2:$G$4509,'C.Pagar'!$D$2:$D$4509,TRIM($A98),'C.Pagar'!$K$2:$K$4509,"&gt;=01/03/2026",'C.Pagar'!$K$2:$K$4509,"&lt;=31/03/2026")</f>
        <v>0</v>
      </c>
      <c r="Q98" s="40">
        <f t="shared" si="164"/>
        <v>0</v>
      </c>
      <c r="R98" s="40">
        <f t="shared" si="165"/>
        <v>0</v>
      </c>
      <c r="S98" s="39">
        <f>SUMIFS('C.Pagar'!$G$2:$G$4509,'C.Pagar'!$D$2:$D$4509,TRIM($A98),'C.Pagar'!$K$2:$K$4509,"&gt;=01/04/2026",'C.Pagar'!$K$2:$K$4509,"&lt;=30/04/2026")</f>
        <v>0</v>
      </c>
      <c r="T98" s="40">
        <f t="shared" si="166"/>
        <v>0</v>
      </c>
      <c r="U98" s="40">
        <f t="shared" si="167"/>
        <v>0</v>
      </c>
    </row>
    <row r="99" spans="1:21" x14ac:dyDescent="0.3">
      <c r="A99" s="44" t="s">
        <v>1788</v>
      </c>
      <c r="B99" s="45">
        <f>SUM(B100:B107)</f>
        <v>1324.95</v>
      </c>
      <c r="C99" s="73">
        <f t="shared" si="109"/>
        <v>1.1797098559280397E-3</v>
      </c>
      <c r="D99" s="45">
        <f>SUM(D100:D107)</f>
        <v>8194.41</v>
      </c>
      <c r="E99" s="46">
        <f t="shared" si="110"/>
        <v>8.2856312370990295E-3</v>
      </c>
      <c r="F99" s="46">
        <f t="shared" si="174"/>
        <v>5.1846937620287559</v>
      </c>
      <c r="G99" s="45">
        <f>SUM(G100:G107)</f>
        <v>2827.99</v>
      </c>
      <c r="H99" s="46">
        <f t="shared" si="111"/>
        <v>2.5909131316251464E-3</v>
      </c>
      <c r="I99" s="46">
        <f t="shared" si="158"/>
        <v>-0.65488790529153418</v>
      </c>
      <c r="J99" s="45">
        <f>SUM(J100:J107)</f>
        <v>500.68999999999994</v>
      </c>
      <c r="K99" s="46">
        <f t="shared" si="112"/>
        <v>5.309418395414207E-4</v>
      </c>
      <c r="L99" s="46">
        <f t="shared" si="67"/>
        <v>-0.82295199063645907</v>
      </c>
      <c r="M99" s="45">
        <f>SUM(M100:M107)</f>
        <v>2431.48</v>
      </c>
      <c r="N99" s="46">
        <f t="shared" si="113"/>
        <v>3.5149972788362941E-3</v>
      </c>
      <c r="O99" s="46">
        <f t="shared" si="69"/>
        <v>3.8562583634584282</v>
      </c>
      <c r="P99" s="45">
        <f>SUM(P100:P107)</f>
        <v>5184.55</v>
      </c>
      <c r="Q99" s="46">
        <f t="shared" si="164"/>
        <v>5.0038291060159916E-3</v>
      </c>
      <c r="R99" s="46">
        <f t="shared" si="165"/>
        <v>1.1322610097553754</v>
      </c>
      <c r="S99" s="45">
        <f>SUM(S100:S107)</f>
        <v>39377.32</v>
      </c>
      <c r="T99" s="46">
        <f t="shared" si="166"/>
        <v>4.4559586547611219E-2</v>
      </c>
      <c r="U99" s="46">
        <f t="shared" si="167"/>
        <v>6.5951278317308155</v>
      </c>
    </row>
    <row r="100" spans="1:21" x14ac:dyDescent="0.3">
      <c r="A100" s="37" t="s">
        <v>1789</v>
      </c>
      <c r="B100" s="39">
        <f>SUMIFS('C.Pagar'!G$2:G$4509,'C.Pagar'!D$2:D$4509,TRIM(A100),'C.Pagar'!K$2:K$4509,"&gt;=01/10/2025",'C.Pagar'!K$2:K$4509,"&lt;=31/10/2025")</f>
        <v>0</v>
      </c>
      <c r="C100" s="70">
        <f t="shared" si="109"/>
        <v>0</v>
      </c>
      <c r="D100" s="39">
        <f>SUMIFS('C.Pagar'!G$2:G$4509,'C.Pagar'!D$2:D$4509,TRIM(A100),'C.Pagar'!K$2:K$4509,"&gt;=01/11/2025",'C.Pagar'!K$2:K$4509,"&lt;=30/11/2025")</f>
        <v>0</v>
      </c>
      <c r="E100" s="40">
        <f t="shared" si="110"/>
        <v>0</v>
      </c>
      <c r="F100" s="40">
        <f>IFERROR(D100/B100-1,0)</f>
        <v>0</v>
      </c>
      <c r="G100" s="39">
        <f>SUMIFS('C.Pagar'!G$2:G$4509,'C.Pagar'!D$2:D$4509,TRIM(A100),'C.Pagar'!K$2:K$4509,"&gt;=01/12/2025",'C.Pagar'!K$2:K$4509,"&lt;=31/12/2025")</f>
        <v>0</v>
      </c>
      <c r="H100" s="40">
        <f t="shared" si="111"/>
        <v>0</v>
      </c>
      <c r="I100" s="40">
        <f t="shared" si="158"/>
        <v>0</v>
      </c>
      <c r="J100" s="39">
        <f>SUMIFS('C.Pagar'!G$2:G$4509,'C.Pagar'!D$2:D$4509,TRIM(A100),'C.Pagar'!K$2:K$4509,"&gt;=01/01/2026",'C.Pagar'!K$2:K$4509,"&lt;=31/01/2026")</f>
        <v>0</v>
      </c>
      <c r="K100" s="40">
        <f t="shared" si="112"/>
        <v>0</v>
      </c>
      <c r="L100" s="40">
        <f t="shared" ref="L100:L105" si="175">IFERROR(J100/G100-1,0)</f>
        <v>0</v>
      </c>
      <c r="M100" s="39">
        <f>SUMIFS('C.Pagar'!$G$2:$G$4509,'C.Pagar'!$D$2:$D$4509,TRIM($A100),'C.Pagar'!$K$2:$K$4509,"&gt;=01/02/2026",'C.Pagar'!$K$2:$K$4509,"&lt;=28/02/2026")</f>
        <v>0</v>
      </c>
      <c r="N100" s="40">
        <f t="shared" si="113"/>
        <v>0</v>
      </c>
      <c r="O100" s="40">
        <f t="shared" ref="O100:O105" si="176">IFERROR(M100/J100-1,0)</f>
        <v>0</v>
      </c>
      <c r="P100" s="39">
        <f>SUMIFS('C.Pagar'!$G$2:$G$4509,'C.Pagar'!$D$2:$D$4509,TRIM($A100),'C.Pagar'!$K$2:$K$4509,"&gt;=01/03/2026",'C.Pagar'!$K$2:$K$4509,"&lt;=31/03/2026")</f>
        <v>0</v>
      </c>
      <c r="Q100" s="40">
        <f t="shared" si="164"/>
        <v>0</v>
      </c>
      <c r="R100" s="40">
        <f t="shared" si="165"/>
        <v>0</v>
      </c>
      <c r="S100" s="39">
        <f>SUMIFS('C.Pagar'!$G$2:$G$4509,'C.Pagar'!$D$2:$D$4509,TRIM($A100),'C.Pagar'!$K$2:$K$4509,"&gt;=01/04/2026",'C.Pagar'!$K$2:$K$4509,"&lt;=30/04/2026")</f>
        <v>0</v>
      </c>
      <c r="T100" s="40">
        <f t="shared" si="166"/>
        <v>0</v>
      </c>
      <c r="U100" s="40">
        <f t="shared" si="167"/>
        <v>0</v>
      </c>
    </row>
    <row r="101" spans="1:21" x14ac:dyDescent="0.3">
      <c r="A101" s="37" t="s">
        <v>1790</v>
      </c>
      <c r="B101" s="39">
        <f>SUMIFS('C.Pagar'!G$2:G$4509,'C.Pagar'!D$2:D$4509,TRIM(A101),'C.Pagar'!K$2:K$4509,"&gt;=01/10/2025",'C.Pagar'!K$2:K$4509,"&lt;=31/10/2025")</f>
        <v>0</v>
      </c>
      <c r="C101" s="70">
        <f t="shared" si="109"/>
        <v>0</v>
      </c>
      <c r="D101" s="39">
        <f>SUMIFS('C.Pagar'!G$2:G$4509,'C.Pagar'!D$2:D$4509,TRIM(A101),'C.Pagar'!K$2:K$4509,"&gt;=01/11/2025",'C.Pagar'!K$2:K$4509,"&lt;=30/11/2025")</f>
        <v>0</v>
      </c>
      <c r="E101" s="40">
        <f t="shared" si="110"/>
        <v>0</v>
      </c>
      <c r="F101" s="40">
        <f t="shared" si="174"/>
        <v>0</v>
      </c>
      <c r="G101" s="39">
        <f>SUMIFS('C.Pagar'!G$2:G$4509,'C.Pagar'!D$2:D$4509,TRIM(A101),'C.Pagar'!K$2:K$4509,"&gt;=01/12/2025",'C.Pagar'!K$2:K$4509,"&lt;=31/12/2025")</f>
        <v>1440</v>
      </c>
      <c r="H101" s="40">
        <f t="shared" si="111"/>
        <v>1.3192815071977663E-3</v>
      </c>
      <c r="I101" s="40">
        <f t="shared" si="158"/>
        <v>0</v>
      </c>
      <c r="J101" s="39">
        <f>SUMIFS('C.Pagar'!G$2:G$4509,'C.Pagar'!D$2:D$4509,TRIM(A101),'C.Pagar'!K$2:K$4509,"&gt;=01/01/2026",'C.Pagar'!K$2:K$4509,"&lt;=31/01/2026")</f>
        <v>0</v>
      </c>
      <c r="K101" s="40">
        <f t="shared" si="112"/>
        <v>0</v>
      </c>
      <c r="L101" s="40">
        <f t="shared" si="175"/>
        <v>-1</v>
      </c>
      <c r="M101" s="39">
        <f>SUMIFS('C.Pagar'!$G$2:$G$4509,'C.Pagar'!$D$2:$D$4509,TRIM($A101),'C.Pagar'!$K$2:$K$4509,"&gt;=01/02/2026",'C.Pagar'!$K$2:$K$4509,"&lt;=28/02/2026")</f>
        <v>0</v>
      </c>
      <c r="N101" s="40">
        <f t="shared" si="113"/>
        <v>0</v>
      </c>
      <c r="O101" s="40">
        <f t="shared" si="176"/>
        <v>0</v>
      </c>
      <c r="P101" s="39">
        <f>SUMIFS('C.Pagar'!$G$2:$G$4509,'C.Pagar'!$D$2:$D$4509,TRIM($A101),'C.Pagar'!$K$2:$K$4509,"&gt;=01/03/2026",'C.Pagar'!$K$2:$K$4509,"&lt;=31/03/2026")</f>
        <v>0</v>
      </c>
      <c r="Q101" s="40">
        <f t="shared" si="164"/>
        <v>0</v>
      </c>
      <c r="R101" s="40">
        <f t="shared" si="165"/>
        <v>0</v>
      </c>
      <c r="S101" s="39">
        <f>SUMIFS('C.Pagar'!$G$2:$G$4509,'C.Pagar'!$D$2:$D$4509,TRIM($A101),'C.Pagar'!$K$2:$K$4509,"&gt;=01/04/2026",'C.Pagar'!$K$2:$K$4509,"&lt;=30/04/2026")</f>
        <v>0</v>
      </c>
      <c r="T101" s="40">
        <f t="shared" si="166"/>
        <v>0</v>
      </c>
      <c r="U101" s="40">
        <f t="shared" si="167"/>
        <v>0</v>
      </c>
    </row>
    <row r="102" spans="1:21" x14ac:dyDescent="0.3">
      <c r="A102" s="38" t="s">
        <v>1791</v>
      </c>
      <c r="B102" s="39">
        <f>SUMIFS('C.Pagar'!G$2:G$4509,'C.Pagar'!D$2:D$4509,TRIM(A102),'C.Pagar'!K$2:K$4509,"&gt;=01/10/2025",'C.Pagar'!K$2:K$4509,"&lt;=31/10/2025")</f>
        <v>0</v>
      </c>
      <c r="C102" s="70">
        <f t="shared" si="109"/>
        <v>0</v>
      </c>
      <c r="D102" s="39">
        <f>SUMIFS('C.Pagar'!G$2:G$4509,'C.Pagar'!D$2:D$4509,TRIM(A102),'C.Pagar'!K$2:K$4509,"&gt;=01/11/2025",'C.Pagar'!K$2:K$4509,"&lt;=30/11/2025")</f>
        <v>0</v>
      </c>
      <c r="E102" s="40">
        <v>3</v>
      </c>
      <c r="F102" s="40">
        <f t="shared" si="174"/>
        <v>0</v>
      </c>
      <c r="G102" s="39">
        <f>SUMIFS('C.Pagar'!G$2:G$4509,'C.Pagar'!D$2:D$4509,TRIM(A102),'C.Pagar'!K$2:K$4509,"&gt;=01/12/2025",'C.Pagar'!K$2:K$4509,"&lt;=31/12/2025")</f>
        <v>372.46</v>
      </c>
      <c r="H102" s="40">
        <f t="shared" si="111"/>
        <v>3.4123582650755555E-4</v>
      </c>
      <c r="I102" s="40">
        <f t="shared" si="158"/>
        <v>0</v>
      </c>
      <c r="J102" s="39">
        <f>SUMIFS('C.Pagar'!G$2:G$4509,'C.Pagar'!D$2:D$4509,TRIM(A102),'C.Pagar'!K$2:K$4509,"&gt;=01/01/2026",'C.Pagar'!K$2:K$4509,"&lt;=31/01/2026")</f>
        <v>0</v>
      </c>
      <c r="K102" s="40">
        <f t="shared" si="112"/>
        <v>0</v>
      </c>
      <c r="L102" s="40">
        <f t="shared" si="175"/>
        <v>-1</v>
      </c>
      <c r="M102" s="39">
        <f>SUMIFS('C.Pagar'!$G$2:$G$4509,'C.Pagar'!$D$2:$D$4509,TRIM($A102),'C.Pagar'!$K$2:$K$4509,"&gt;=01/02/2026",'C.Pagar'!$K$2:$K$4509,"&lt;=28/02/2026")</f>
        <v>0</v>
      </c>
      <c r="N102" s="40">
        <f t="shared" si="113"/>
        <v>0</v>
      </c>
      <c r="O102" s="40">
        <f t="shared" si="176"/>
        <v>0</v>
      </c>
      <c r="P102" s="39">
        <f>SUMIFS('C.Pagar'!$G$2:$G$4509,'C.Pagar'!$D$2:$D$4509,TRIM($A102),'C.Pagar'!$K$2:$K$4509,"&gt;=01/03/2026",'C.Pagar'!$K$2:$K$4509,"&lt;=31/03/2026")</f>
        <v>0</v>
      </c>
      <c r="Q102" s="40">
        <f t="shared" si="164"/>
        <v>0</v>
      </c>
      <c r="R102" s="40">
        <f t="shared" si="165"/>
        <v>0</v>
      </c>
      <c r="S102" s="39">
        <f>SUMIFS('C.Pagar'!$G$2:$G$4509,'C.Pagar'!$D$2:$D$4509,TRIM($A102),'C.Pagar'!$K$2:$K$4509,"&gt;=01/04/2026",'C.Pagar'!$K$2:$K$4509,"&lt;=30/04/2026")</f>
        <v>1244.3</v>
      </c>
      <c r="T102" s="40">
        <f t="shared" si="166"/>
        <v>1.4080565549202597E-3</v>
      </c>
      <c r="U102" s="40">
        <f t="shared" si="167"/>
        <v>0</v>
      </c>
    </row>
    <row r="103" spans="1:21" x14ac:dyDescent="0.3">
      <c r="A103" s="37" t="s">
        <v>1792</v>
      </c>
      <c r="B103" s="39">
        <f>SUMIFS('C.Pagar'!G$2:G$4509,'C.Pagar'!D$2:D$4509,TRIM(A103),'C.Pagar'!K$2:K$4509,"&gt;=01/10/2025",'C.Pagar'!K$2:K$4509,"&lt;=31/10/2025")</f>
        <v>0</v>
      </c>
      <c r="C103" s="70">
        <f t="shared" si="109"/>
        <v>0</v>
      </c>
      <c r="D103" s="39">
        <f>SUMIFS('C.Pagar'!G$2:G$4509,'C.Pagar'!D$2:D$4509,TRIM(A103),'C.Pagar'!K$2:K$4509,"&gt;=01/11/2025",'C.Pagar'!K$2:K$4509,"&lt;=30/11/2025")</f>
        <v>34.229999999999997</v>
      </c>
      <c r="E103" s="40">
        <f t="shared" ref="E103:E166" si="177">D103/D$3</f>
        <v>3.4611052808670757E-5</v>
      </c>
      <c r="F103" s="40">
        <f t="shared" si="174"/>
        <v>0</v>
      </c>
      <c r="G103" s="39">
        <f>SUMIFS('C.Pagar'!G$2:G$4509,'C.Pagar'!D$2:D$4509,TRIM(A103),'C.Pagar'!K$2:K$4509,"&gt;=01/12/2025",'C.Pagar'!K$2:K$4509,"&lt;=31/12/2025")</f>
        <v>0</v>
      </c>
      <c r="H103" s="40">
        <f t="shared" si="111"/>
        <v>0</v>
      </c>
      <c r="I103" s="40">
        <f t="shared" si="158"/>
        <v>-1</v>
      </c>
      <c r="J103" s="39">
        <f>SUMIFS('C.Pagar'!G$2:G$4509,'C.Pagar'!D$2:D$4509,TRIM(A103),'C.Pagar'!K$2:K$4509,"&gt;=01/01/2026",'C.Pagar'!K$2:K$4509,"&lt;=31/01/2026")</f>
        <v>0</v>
      </c>
      <c r="K103" s="40">
        <f t="shared" si="112"/>
        <v>0</v>
      </c>
      <c r="L103" s="40">
        <f t="shared" si="175"/>
        <v>0</v>
      </c>
      <c r="M103" s="39">
        <f>SUMIFS('C.Pagar'!$G$2:$G$4509,'C.Pagar'!$D$2:$D$4509,TRIM($A103),'C.Pagar'!$K$2:$K$4509,"&gt;=01/02/2026",'C.Pagar'!$K$2:$K$4509,"&lt;=28/02/2026")</f>
        <v>0</v>
      </c>
      <c r="N103" s="40">
        <f t="shared" si="113"/>
        <v>0</v>
      </c>
      <c r="O103" s="40">
        <f t="shared" si="176"/>
        <v>0</v>
      </c>
      <c r="P103" s="39">
        <f>SUMIFS('C.Pagar'!$G$2:$G$4509,'C.Pagar'!$D$2:$D$4509,TRIM($A103),'C.Pagar'!$K$2:$K$4509,"&gt;=01/03/2026",'C.Pagar'!$K$2:$K$4509,"&lt;=31/03/2026")</f>
        <v>0</v>
      </c>
      <c r="Q103" s="40">
        <f t="shared" si="164"/>
        <v>0</v>
      </c>
      <c r="R103" s="40">
        <f t="shared" si="165"/>
        <v>0</v>
      </c>
      <c r="S103" s="39">
        <f>SUMIFS('C.Pagar'!$G$2:$G$4509,'C.Pagar'!$D$2:$D$4509,TRIM($A103),'C.Pagar'!$K$2:$K$4509,"&gt;=01/04/2026",'C.Pagar'!$K$2:$K$4509,"&lt;=30/04/2026")</f>
        <v>222.23</v>
      </c>
      <c r="T103" s="40">
        <f t="shared" si="166"/>
        <v>2.5147666013013685E-4</v>
      </c>
      <c r="U103" s="40">
        <f t="shared" si="167"/>
        <v>0</v>
      </c>
    </row>
    <row r="104" spans="1:21" x14ac:dyDescent="0.3">
      <c r="A104" s="38" t="s">
        <v>1793</v>
      </c>
      <c r="B104" s="39">
        <f>SUMIFS('C.Pagar'!G$2:G$4509,'C.Pagar'!D$2:D$4509,TRIM(A104),'C.Pagar'!K$2:K$4509,"&gt;=01/10/2025",'C.Pagar'!K$2:K$4509,"&lt;=31/10/2025")</f>
        <v>0</v>
      </c>
      <c r="C104" s="70">
        <f t="shared" ref="C104" si="178">B104/B$3</f>
        <v>0</v>
      </c>
      <c r="D104" s="39">
        <f>SUMIFS('C.Pagar'!G$2:G$4509,'C.Pagar'!D$2:D$4509,TRIM(A104),'C.Pagar'!K$2:K$4509,"&gt;=01/11/2025",'C.Pagar'!K$2:K$4509,"&lt;=30/11/2025")</f>
        <v>25.31</v>
      </c>
      <c r="E104" s="40">
        <f t="shared" ref="E104" si="179">D104/D$3</f>
        <v>2.5591754209391087E-5</v>
      </c>
      <c r="F104" s="40">
        <f t="shared" ref="F104" si="180">IFERROR(D104/B104-1,0)</f>
        <v>0</v>
      </c>
      <c r="G104" s="39">
        <f>SUMIFS('C.Pagar'!G$2:G$4509,'C.Pagar'!D$2:D$4509,TRIM(A104),'C.Pagar'!K$2:K$4509,"&gt;=01/12/2025",'C.Pagar'!K$2:K$4509,"&lt;=31/12/2025")</f>
        <v>0</v>
      </c>
      <c r="H104" s="40">
        <f t="shared" ref="H104" si="181">G104/G$3</f>
        <v>0</v>
      </c>
      <c r="I104" s="40">
        <f t="shared" ref="I104" si="182">IFERROR(G104/D104-1,0)</f>
        <v>-1</v>
      </c>
      <c r="J104" s="39">
        <f>SUMIFS('C.Pagar'!G$2:G$4509,'C.Pagar'!D$2:D$4509,TRIM(A104),'C.Pagar'!K$2:K$4509,"&gt;=01/01/2026",'C.Pagar'!K$2:K$4509,"&lt;=31/01/2026")</f>
        <v>0</v>
      </c>
      <c r="K104" s="40">
        <f t="shared" si="112"/>
        <v>0</v>
      </c>
      <c r="L104" s="40">
        <f t="shared" si="175"/>
        <v>0</v>
      </c>
      <c r="M104" s="39">
        <f>SUMIFS('C.Pagar'!$G$2:$G$4509,'C.Pagar'!$D$2:$D$4509,TRIM($A104),'C.Pagar'!$K$2:$K$4509,"&gt;=01/02/2026",'C.Pagar'!$K$2:$K$4509,"&lt;=28/02/2026")</f>
        <v>0</v>
      </c>
      <c r="N104" s="40">
        <f t="shared" si="113"/>
        <v>0</v>
      </c>
      <c r="O104" s="40">
        <f t="shared" si="176"/>
        <v>0</v>
      </c>
      <c r="P104" s="39">
        <f>SUMIFS('C.Pagar'!$G$2:$G$4509,'C.Pagar'!$D$2:$D$4509,TRIM($A104),'C.Pagar'!$K$2:$K$4509,"&gt;=01/03/2026",'C.Pagar'!$K$2:$K$4509,"&lt;=31/03/2026")</f>
        <v>0</v>
      </c>
      <c r="Q104" s="40">
        <f t="shared" si="164"/>
        <v>0</v>
      </c>
      <c r="R104" s="40">
        <f t="shared" si="165"/>
        <v>0</v>
      </c>
      <c r="S104" s="39">
        <f>SUMIFS('C.Pagar'!$G$2:$G$4509,'C.Pagar'!$D$2:$D$4509,TRIM($A104),'C.Pagar'!$K$2:$K$4509,"&gt;=01/04/2026",'C.Pagar'!$K$2:$K$4509,"&lt;=30/04/2026")</f>
        <v>0</v>
      </c>
      <c r="T104" s="40">
        <f t="shared" si="166"/>
        <v>0</v>
      </c>
      <c r="U104" s="40">
        <f t="shared" si="167"/>
        <v>0</v>
      </c>
    </row>
    <row r="105" spans="1:21" x14ac:dyDescent="0.3">
      <c r="A105" s="38" t="s">
        <v>1794</v>
      </c>
      <c r="B105" s="39">
        <f>SUMIFS('C.Pagar'!G$2:G$4509,'C.Pagar'!D$2:D$4509,TRIM(A105),'C.Pagar'!K$2:K$4509,"&gt;=01/10/2025",'C.Pagar'!K$2:K$4509,"&lt;=31/10/2025")</f>
        <v>16.329999999999998</v>
      </c>
      <c r="C105" s="70">
        <f t="shared" si="109"/>
        <v>1.453991618348231E-5</v>
      </c>
      <c r="D105" s="39">
        <f>SUMIFS('C.Pagar'!G$2:G$4509,'C.Pagar'!D$2:D$4509,TRIM(A105),'C.Pagar'!K$2:K$4509,"&gt;=01/11/2025",'C.Pagar'!K$2:K$4509,"&lt;=30/11/2025")</f>
        <v>16</v>
      </c>
      <c r="E105" s="40">
        <f t="shared" si="177"/>
        <v>1.6178114079425421E-5</v>
      </c>
      <c r="F105" s="40">
        <f t="shared" si="174"/>
        <v>-2.0208205756276687E-2</v>
      </c>
      <c r="G105" s="39">
        <f>SUMIFS('C.Pagar'!G$2:G$4509,'C.Pagar'!D$2:D$4509,TRIM(A105),'C.Pagar'!K$2:K$4509,"&gt;=01/12/2025",'C.Pagar'!K$2:K$4509,"&lt;=31/12/2025")</f>
        <v>0</v>
      </c>
      <c r="H105" s="40">
        <f t="shared" si="111"/>
        <v>0</v>
      </c>
      <c r="I105" s="40">
        <f t="shared" si="158"/>
        <v>-1</v>
      </c>
      <c r="J105" s="39">
        <f>SUMIFS('C.Pagar'!G$2:G$4509,'C.Pagar'!D$2:D$4509,TRIM(A105),'C.Pagar'!K$2:K$4509,"&gt;=01/01/2026",'C.Pagar'!K$2:K$4509,"&lt;=31/01/2026")</f>
        <v>16</v>
      </c>
      <c r="K105" s="40">
        <f t="shared" si="112"/>
        <v>1.6966724785121998E-5</v>
      </c>
      <c r="L105" s="40">
        <f t="shared" si="175"/>
        <v>0</v>
      </c>
      <c r="M105" s="39">
        <f>SUMIFS('C.Pagar'!$G$2:$G$4509,'C.Pagar'!$D$2:$D$4509,TRIM($A105),'C.Pagar'!$K$2:$K$4509,"&gt;=01/02/2026",'C.Pagar'!$K$2:$K$4509,"&lt;=28/02/2026")</f>
        <v>1991.89</v>
      </c>
      <c r="N105" s="40">
        <f t="shared" si="113"/>
        <v>2.8795169730950806E-3</v>
      </c>
      <c r="O105" s="40">
        <f t="shared" si="176"/>
        <v>123.49312500000001</v>
      </c>
      <c r="P105" s="39">
        <f>SUMIFS('C.Pagar'!$G$2:$G$4509,'C.Pagar'!$D$2:$D$4509,TRIM($A105),'C.Pagar'!$K$2:$K$4509,"&gt;=01/03/2026",'C.Pagar'!$K$2:$K$4509,"&lt;=31/03/2026")</f>
        <v>16</v>
      </c>
      <c r="Q105" s="40">
        <f t="shared" si="164"/>
        <v>1.5442278634839254E-5</v>
      </c>
      <c r="R105" s="40">
        <f t="shared" si="165"/>
        <v>-0.99196742792021653</v>
      </c>
      <c r="S105" s="39">
        <f>SUMIFS('C.Pagar'!$G$2:$G$4509,'C.Pagar'!$D$2:$D$4509,TRIM($A105),'C.Pagar'!$K$2:$K$4509,"&gt;=01/04/2026",'C.Pagar'!$K$2:$K$4509,"&lt;=30/04/2026")</f>
        <v>0</v>
      </c>
      <c r="T105" s="40">
        <f t="shared" si="166"/>
        <v>0</v>
      </c>
      <c r="U105" s="40">
        <f t="shared" si="167"/>
        <v>-1</v>
      </c>
    </row>
    <row r="106" spans="1:21" x14ac:dyDescent="0.3">
      <c r="A106" s="38" t="s">
        <v>1795</v>
      </c>
      <c r="B106" s="39">
        <f>SUMIFS('C.Pagar'!G$2:G$4509,'C.Pagar'!D$2:D$4509,TRIM(A106),'C.Pagar'!K$2:K$4509,"&gt;=01/10/2025",'C.Pagar'!K$2:K$4509,"&lt;=31/10/2025")</f>
        <v>199.49</v>
      </c>
      <c r="C106" s="70">
        <f>B106/B$3</f>
        <v>1.7762203793281607E-4</v>
      </c>
      <c r="D106" s="39">
        <f>SUMIFS('C.Pagar'!G$2:G$4509,'C.Pagar'!D$2:D$4509,TRIM(A106),'C.Pagar'!K$2:K$4509,"&gt;=01/11/2025",'C.Pagar'!K$2:K$4509,"&lt;=30/11/2025")</f>
        <v>0</v>
      </c>
      <c r="E106" s="40">
        <f>D106/D$3</f>
        <v>0</v>
      </c>
      <c r="F106" s="40">
        <f>IFERROR(D106/B106-1,0)</f>
        <v>-1</v>
      </c>
      <c r="G106" s="39">
        <f>SUMIFS('C.Pagar'!G$2:G$4509,'C.Pagar'!D$2:D$4509,TRIM(A106),'C.Pagar'!K$2:K$4509,"&gt;=01/12/2025",'C.Pagar'!K$2:K$4509,"&lt;=31/12/2025")</f>
        <v>0</v>
      </c>
      <c r="H106" s="40">
        <f>G106/G$3</f>
        <v>0</v>
      </c>
      <c r="I106" s="40">
        <f>IFERROR(G106/D106-1,0)</f>
        <v>0</v>
      </c>
      <c r="J106" s="198">
        <f>SUMIFS('C.Pagar'!G$2:G$4509,'C.Pagar'!D$2:D$4509,TRIM(A106),'C.Pagar'!K$2:K$4509,"&gt;=01/01/2026",'C.Pagar'!K$2:K$4509,"&lt;=31/01/2026")</f>
        <v>-22.99</v>
      </c>
      <c r="K106" s="40">
        <f>J106/J$3</f>
        <v>-2.4379062675622167E-5</v>
      </c>
      <c r="L106" s="40">
        <f>IFERROR(J106/G106-1,0)</f>
        <v>0</v>
      </c>
      <c r="M106" s="39">
        <f>SUMIFS('C.Pagar'!$G$2:$G$4509,'C.Pagar'!$D$2:$D$4509,TRIM($A106),'C.Pagar'!$K$2:$K$4509,"&gt;=01/02/2026",'C.Pagar'!$K$2:$K$4509,"&lt;=28/02/2026")</f>
        <v>0</v>
      </c>
      <c r="N106" s="40">
        <f>M106/M$3</f>
        <v>0</v>
      </c>
      <c r="O106" s="40">
        <f>IFERROR(M106/J106-1,0)</f>
        <v>-1</v>
      </c>
      <c r="P106" s="39">
        <f>SUMIFS('C.Pagar'!$G$2:$G$4509,'C.Pagar'!$D$2:$D$4509,TRIM($A106),'C.Pagar'!$K$2:$K$4509,"&gt;=01/03/2026",'C.Pagar'!$K$2:$K$4509,"&lt;=31/03/2026")</f>
        <v>976.62000000000012</v>
      </c>
      <c r="Q106" s="40">
        <f>P106/P$3</f>
        <v>9.4257738502229464E-4</v>
      </c>
      <c r="R106" s="40">
        <f>IFERROR(P106/M106-1,0)</f>
        <v>0</v>
      </c>
      <c r="S106" s="39">
        <f>SUMIFS('C.Pagar'!$G$2:$G$4509,'C.Pagar'!$D$2:$D$4509,TRIM($A106),'C.Pagar'!$K$2:$K$4509,"&gt;=01/04/2026",'C.Pagar'!$K$2:$K$4509,"&lt;=30/04/2026")</f>
        <v>1202.69</v>
      </c>
      <c r="T106" s="40">
        <f>S106/S$3</f>
        <v>1.3609704557076647E-3</v>
      </c>
      <c r="U106" s="40">
        <f>IFERROR(S106/P106-1,0)</f>
        <v>0.23148205033687597</v>
      </c>
    </row>
    <row r="107" spans="1:21" x14ac:dyDescent="0.3">
      <c r="A107" s="38" t="s">
        <v>1796</v>
      </c>
      <c r="B107" s="39">
        <f>SUMIFS('C.Pagar'!G$2:G$4509,'C.Pagar'!D$2:D$4509,TRIM(A107),'C.Pagar'!K$2:K$4509,"&gt;=01/10/2025",'C.Pagar'!K$2:K$4509,"&lt;=31/10/2025")</f>
        <v>1109.1300000000001</v>
      </c>
      <c r="C107" s="70">
        <f t="shared" si="109"/>
        <v>9.8754790181174146E-4</v>
      </c>
      <c r="D107" s="39">
        <f>SUMIFS('C.Pagar'!G$2:G$4509,'C.Pagar'!D$2:D$4509,TRIM(A107),'C.Pagar'!K$2:K$4509,"&gt;=01/11/2025",'C.Pagar'!K$2:K$4509,"&lt;=30/11/2025")</f>
        <v>8118.87</v>
      </c>
      <c r="E107" s="40">
        <f t="shared" si="177"/>
        <v>8.2092503160015422E-3</v>
      </c>
      <c r="F107" s="40">
        <f t="shared" si="174"/>
        <v>6.320034621730545</v>
      </c>
      <c r="G107" s="39">
        <f>SUMIFS('C.Pagar'!G$2:G$4509,'C.Pagar'!D$2:D$4509,TRIM(A107),'C.Pagar'!K$2:K$4509,"&gt;=01/12/2025",'C.Pagar'!K$2:K$4509,"&lt;=31/12/2025")</f>
        <v>1015.53</v>
      </c>
      <c r="H107" s="40">
        <f t="shared" si="111"/>
        <v>9.3039579791982471E-4</v>
      </c>
      <c r="I107" s="40">
        <f t="shared" si="158"/>
        <v>-0.87491732223819318</v>
      </c>
      <c r="J107" s="198">
        <f>SUMIFS('C.Pagar'!G$2:G$4509,'C.Pagar'!D$2:D$4509,TRIM(A107),'C.Pagar'!K$2:K$4509,"&gt;=01/01/2026",'C.Pagar'!K$2:K$4509,"&lt;=31/01/2026")</f>
        <v>507.67999999999995</v>
      </c>
      <c r="K107" s="40">
        <f t="shared" ref="K107:K132" si="183">J107/J$3</f>
        <v>5.3835417743192094E-4</v>
      </c>
      <c r="L107" s="40">
        <f t="shared" ref="L107:L132" si="184">IFERROR(J107/G107-1,0)</f>
        <v>-0.50008370013687431</v>
      </c>
      <c r="M107" s="198">
        <f>SUMIFS('C.Pagar'!$G$2:$G$4509,'C.Pagar'!$D$2:$D$4509,TRIM($A107),'C.Pagar'!$K$2:$K$4509,"&gt;=01/02/2026",'C.Pagar'!$K$2:$K$4509,"&lt;=28/02/2026")</f>
        <v>439.59</v>
      </c>
      <c r="N107" s="40">
        <f t="shared" ref="N107:N132" si="185">M107/M$3</f>
        <v>6.3548030574121371E-4</v>
      </c>
      <c r="O107" s="40">
        <f t="shared" ref="O107:O132" si="186">IFERROR(M107/J107-1,0)</f>
        <v>-0.13411991805861956</v>
      </c>
      <c r="P107" s="198">
        <f>SUMIFS('C.Pagar'!$G$2:$G$4509,'C.Pagar'!$D$2:$D$4509,TRIM($A107),'C.Pagar'!$K$2:$K$4509,"&gt;=01/03/2026",'C.Pagar'!$K$2:$K$4509,"&lt;=31/03/2026")</f>
        <v>4191.93</v>
      </c>
      <c r="Q107" s="40">
        <f t="shared" ref="Q107:Q132" si="187">P107/P$3</f>
        <v>4.0458094423588579E-3</v>
      </c>
      <c r="R107" s="40">
        <f t="shared" ref="R107:R132" si="188">IFERROR(P107/M107-1,0)</f>
        <v>8.5359994540367179</v>
      </c>
      <c r="S107" s="531">
        <f>SUMIFS('C.Pagar'!$G$2:$G$4509,'C.Pagar'!$D$2:$D$4509,TRIM($A107),'C.Pagar'!$K$2:$K$4509,"&gt;=01/04/2026",'C.Pagar'!$K$2:$K$4509,"&lt;=30/04/2026")</f>
        <v>36708.1</v>
      </c>
      <c r="T107" s="40">
        <f t="shared" ref="T107:T132" si="189">S107/S$3</f>
        <v>4.1539082876853158E-2</v>
      </c>
      <c r="U107" s="40">
        <f t="shared" ref="U107:U132" si="190">IFERROR(S107/P107-1,0)</f>
        <v>7.7568494702917263</v>
      </c>
    </row>
    <row r="108" spans="1:21" x14ac:dyDescent="0.3">
      <c r="A108" s="41" t="s">
        <v>1797</v>
      </c>
      <c r="B108" s="42">
        <f>SUM(B109:B112)</f>
        <v>630</v>
      </c>
      <c r="C108" s="72">
        <f t="shared" si="109"/>
        <v>5.6093981601921963E-4</v>
      </c>
      <c r="D108" s="42">
        <f>SUM(D109:D112)</f>
        <v>340.38</v>
      </c>
      <c r="E108" s="43">
        <f t="shared" si="177"/>
        <v>3.4416915439717654E-4</v>
      </c>
      <c r="F108" s="43">
        <f t="shared" si="174"/>
        <v>-0.45971428571428574</v>
      </c>
      <c r="G108" s="42">
        <f>SUM(G109:G112)</f>
        <v>350</v>
      </c>
      <c r="H108" s="43">
        <f t="shared" si="111"/>
        <v>3.2065869966612374E-4</v>
      </c>
      <c r="I108" s="43">
        <f t="shared" si="158"/>
        <v>2.826253011340274E-2</v>
      </c>
      <c r="J108" s="42">
        <f>SUM(J109:J112)</f>
        <v>435</v>
      </c>
      <c r="K108" s="43">
        <f t="shared" si="183"/>
        <v>4.612828300955043E-4</v>
      </c>
      <c r="L108" s="43">
        <f t="shared" si="184"/>
        <v>0.24285714285714288</v>
      </c>
      <c r="M108" s="42">
        <f>SUM(M109:M112)</f>
        <v>435</v>
      </c>
      <c r="N108" s="43">
        <f t="shared" si="185"/>
        <v>6.288449077491026E-4</v>
      </c>
      <c r="O108" s="43">
        <f t="shared" si="186"/>
        <v>0</v>
      </c>
      <c r="P108" s="42">
        <f>SUM(P109:P112)</f>
        <v>17305</v>
      </c>
      <c r="Q108" s="43">
        <f t="shared" si="187"/>
        <v>1.6701789485993331E-2</v>
      </c>
      <c r="R108" s="43">
        <f t="shared" si="188"/>
        <v>38.781609195402297</v>
      </c>
      <c r="S108" s="42">
        <f>SUM(S109:S112)</f>
        <v>15467.419999999998</v>
      </c>
      <c r="T108" s="43">
        <f t="shared" si="189"/>
        <v>1.7503015445394777E-2</v>
      </c>
      <c r="U108" s="43">
        <f t="shared" si="190"/>
        <v>-0.10618780699219887</v>
      </c>
    </row>
    <row r="109" spans="1:21" x14ac:dyDescent="0.3">
      <c r="A109" s="38" t="s">
        <v>1798</v>
      </c>
      <c r="B109" s="39">
        <f>SUMIFS('C.Pagar'!G$2:G$4509,'C.Pagar'!D$2:D$4509,TRIM(A109),'C.Pagar'!K$2:K$4509,"&gt;=01/10/2025",'C.Pagar'!K$2:K$4509,"&lt;=31/10/2025")</f>
        <v>630</v>
      </c>
      <c r="C109" s="70">
        <f t="shared" ref="C109:C110" si="191">B109/B$3</f>
        <v>5.6093981601921963E-4</v>
      </c>
      <c r="D109" s="39">
        <f>SUMIFS('C.Pagar'!G$2:G$4509,'C.Pagar'!D$2:D$4509,TRIM(A109),'C.Pagar'!K$2:K$4509,"&gt;=01/11/2025",'C.Pagar'!K$2:K$4509,"&lt;=30/11/2025")</f>
        <v>340.38</v>
      </c>
      <c r="E109" s="40">
        <f t="shared" ref="E109:E110" si="192">D109/D$3</f>
        <v>3.4416915439717654E-4</v>
      </c>
      <c r="F109" s="40">
        <f t="shared" ref="F109:F110" si="193">IFERROR(D109/B109-1,0)</f>
        <v>-0.45971428571428574</v>
      </c>
      <c r="G109" s="39">
        <f>SUMIFS('C.Pagar'!G$2:G$4509,'C.Pagar'!D$2:D$4509,TRIM(A109),'C.Pagar'!K$2:K$4509,"&gt;=01/12/2025",'C.Pagar'!K$2:K$4509,"&lt;=31/12/2025")</f>
        <v>0</v>
      </c>
      <c r="H109" s="40">
        <f t="shared" ref="H109:H110" si="194">G109/G$3</f>
        <v>0</v>
      </c>
      <c r="I109" s="40">
        <f t="shared" ref="I109:I110" si="195">IFERROR(G109/D109-1,0)</f>
        <v>-1</v>
      </c>
      <c r="J109" s="39">
        <f>SUMIFS('C.Pagar'!G$2:G$4509,'C.Pagar'!D$2:D$4509,TRIM(A109),'C.Pagar'!K$2:K$4509,"&gt;=01/01/2026",'C.Pagar'!K$2:K$4509,"&lt;=31/01/2026")</f>
        <v>435</v>
      </c>
      <c r="K109" s="40">
        <f t="shared" si="183"/>
        <v>4.612828300955043E-4</v>
      </c>
      <c r="L109" s="40">
        <f t="shared" si="184"/>
        <v>0</v>
      </c>
      <c r="M109" s="39">
        <f>SUMIFS('C.Pagar'!$G$2:$G$4509,'C.Pagar'!$D$2:$D$4509,TRIM($A109),'C.Pagar'!$K$2:$K$4509,"&gt;=01/02/2026",'C.Pagar'!$K$2:$K$4509,"&lt;=28/02/2026")</f>
        <v>435</v>
      </c>
      <c r="N109" s="40">
        <f t="shared" si="185"/>
        <v>6.288449077491026E-4</v>
      </c>
      <c r="O109" s="40">
        <f t="shared" si="186"/>
        <v>0</v>
      </c>
      <c r="P109" s="39">
        <f>SUMIFS('C.Pagar'!$G$2:$G$4509,'C.Pagar'!$D$2:$D$4509,TRIM($A109),'C.Pagar'!$K$2:$K$4509,"&gt;=01/03/2026",'C.Pagar'!$K$2:$K$4509,"&lt;=31/03/2026")</f>
        <v>4555</v>
      </c>
      <c r="Q109" s="40">
        <f t="shared" si="187"/>
        <v>4.3962236988558008E-3</v>
      </c>
      <c r="R109" s="40">
        <f t="shared" si="188"/>
        <v>9.4712643678160919</v>
      </c>
      <c r="S109" s="531">
        <f>SUMIFS('C.Pagar'!$G$2:$G$4509,'C.Pagar'!$D$2:$D$4509,TRIM($A109),'C.Pagar'!$K$2:$K$4509,"&gt;=01/04/2026",'C.Pagar'!$K$2:$K$4509,"&lt;=30/04/2026")</f>
        <v>14107.529999999999</v>
      </c>
      <c r="T109" s="40">
        <f t="shared" si="189"/>
        <v>1.5964156626403769E-2</v>
      </c>
      <c r="U109" s="40">
        <f t="shared" si="190"/>
        <v>2.0971525795828758</v>
      </c>
    </row>
    <row r="110" spans="1:21" x14ac:dyDescent="0.3">
      <c r="A110" s="38" t="s">
        <v>1799</v>
      </c>
      <c r="B110" s="39">
        <f>SUMIFS('C.Pagar'!G$2:G$4509,'C.Pagar'!D$2:D$4509,TRIM(A110),'C.Pagar'!K$2:K$4509,"&gt;=01/10/2025",'C.Pagar'!K$2:K$4509,"&lt;=31/10/2025")</f>
        <v>0</v>
      </c>
      <c r="C110" s="70">
        <f t="shared" si="191"/>
        <v>0</v>
      </c>
      <c r="D110" s="39">
        <f>SUMIFS('C.Pagar'!G$2:G$4509,'C.Pagar'!D$2:D$4509,TRIM(A110),'C.Pagar'!K$2:K$4509,"&gt;=01/11/2025",'C.Pagar'!K$2:K$4509,"&lt;=30/11/2025")</f>
        <v>0</v>
      </c>
      <c r="E110" s="40">
        <f t="shared" si="192"/>
        <v>0</v>
      </c>
      <c r="F110" s="40">
        <f t="shared" si="193"/>
        <v>0</v>
      </c>
      <c r="G110" s="39">
        <f>SUMIFS('C.Pagar'!G$2:G$4509,'C.Pagar'!D$2:D$4509,TRIM(A110),'C.Pagar'!K$2:K$4509,"&gt;=01/12/2025",'C.Pagar'!K$2:K$4509,"&lt;=31/12/2025")</f>
        <v>350</v>
      </c>
      <c r="H110" s="40">
        <f t="shared" si="194"/>
        <v>3.2065869966612374E-4</v>
      </c>
      <c r="I110" s="40">
        <f t="shared" si="195"/>
        <v>0</v>
      </c>
      <c r="J110" s="39">
        <f>SUMIFS('C.Pagar'!G$2:G$4509,'C.Pagar'!D$2:D$4509,TRIM(A110),'C.Pagar'!K$2:K$4509,"&gt;=01/01/2026",'C.Pagar'!K$2:K$4509,"&lt;=31/01/2026")</f>
        <v>0</v>
      </c>
      <c r="K110" s="40">
        <f t="shared" ref="K110" si="196">J110/J$3</f>
        <v>0</v>
      </c>
      <c r="L110" s="40">
        <f t="shared" ref="L110" si="197">IFERROR(J110/G110-1,0)</f>
        <v>-1</v>
      </c>
      <c r="M110" s="39">
        <f>SUMIFS('C.Pagar'!$G$2:$G$4509,'C.Pagar'!$D$2:$D$4509,TRIM($A110),'C.Pagar'!$K$2:$K$4509,"&gt;=01/02/2026",'C.Pagar'!$K$2:$K$4509,"&lt;=28/02/2026")</f>
        <v>0</v>
      </c>
      <c r="N110" s="40">
        <f t="shared" ref="N110" si="198">M110/M$3</f>
        <v>0</v>
      </c>
      <c r="O110" s="40">
        <f t="shared" ref="O110" si="199">IFERROR(M110/J110-1,0)</f>
        <v>0</v>
      </c>
      <c r="P110" s="39">
        <f>SUMIFS('C.Pagar'!$G$2:$G$4509,'C.Pagar'!$D$2:$D$4509,TRIM($A110),'C.Pagar'!$K$2:$K$4509,"&gt;=01/03/2026",'C.Pagar'!$K$2:$K$4509,"&lt;=31/03/2026")</f>
        <v>0</v>
      </c>
      <c r="Q110" s="40">
        <f t="shared" ref="Q110" si="200">P110/P$3</f>
        <v>0</v>
      </c>
      <c r="R110" s="40">
        <f t="shared" ref="R110" si="201">IFERROR(P110/M110-1,0)</f>
        <v>0</v>
      </c>
      <c r="S110" s="39">
        <f>SUMIFS('C.Pagar'!$G$2:$G$4509,'C.Pagar'!$D$2:$D$4509,TRIM($A110),'C.Pagar'!$K$2:$K$4509,"&gt;=01/04/2026",'C.Pagar'!$K$2:$K$4509,"&lt;=30/04/2026")</f>
        <v>0</v>
      </c>
      <c r="T110" s="40">
        <f t="shared" si="189"/>
        <v>0</v>
      </c>
      <c r="U110" s="40">
        <f t="shared" si="190"/>
        <v>0</v>
      </c>
    </row>
    <row r="111" spans="1:21" x14ac:dyDescent="0.3">
      <c r="A111" s="38" t="s">
        <v>1800</v>
      </c>
      <c r="B111" s="39">
        <f>SUMIFS('C.Pagar'!G$2:G$4509,'C.Pagar'!D$2:D$4509,TRIM(A111),'C.Pagar'!K$2:K$4509,"&gt;=01/10/2025",'C.Pagar'!K$2:K$4509,"&lt;=31/10/2025")</f>
        <v>0</v>
      </c>
      <c r="C111" s="70">
        <f t="shared" ref="C111" si="202">B111/B$3</f>
        <v>0</v>
      </c>
      <c r="D111" s="39">
        <f>SUMIFS('C.Pagar'!G$2:G$4509,'C.Pagar'!D$2:D$4509,TRIM(A111),'C.Pagar'!K$2:K$4509,"&gt;=01/11/2025",'C.Pagar'!K$2:K$4509,"&lt;=30/11/2025")</f>
        <v>0</v>
      </c>
      <c r="E111" s="40">
        <f t="shared" ref="E111" si="203">D111/D$3</f>
        <v>0</v>
      </c>
      <c r="F111" s="40">
        <f t="shared" ref="F111" si="204">IFERROR(D111/B111-1,0)</f>
        <v>0</v>
      </c>
      <c r="G111" s="39">
        <f>SUMIFS('C.Pagar'!G$2:G$4509,'C.Pagar'!D$2:D$4509,TRIM(A111),'C.Pagar'!K$2:K$4509,"&gt;=01/12/2025",'C.Pagar'!K$2:K$4509,"&lt;=31/12/2025")</f>
        <v>0</v>
      </c>
      <c r="H111" s="40">
        <f t="shared" ref="H111" si="205">G111/G$3</f>
        <v>0</v>
      </c>
      <c r="I111" s="40">
        <f t="shared" ref="I111" si="206">IFERROR(G111/D111-1,0)</f>
        <v>0</v>
      </c>
      <c r="J111" s="39">
        <f>SUMIFS('C.Pagar'!G$2:G$4509,'C.Pagar'!D$2:D$4509,TRIM(A111),'C.Pagar'!K$2:K$4509,"&gt;=01/01/2026",'C.Pagar'!K$2:K$4509,"&lt;=31/01/2026")</f>
        <v>0</v>
      </c>
      <c r="K111" s="40">
        <f t="shared" ref="K111" si="207">J111/J$3</f>
        <v>0</v>
      </c>
      <c r="L111" s="40">
        <f t="shared" ref="L111" si="208">IFERROR(J111/G111-1,0)</f>
        <v>0</v>
      </c>
      <c r="M111" s="39">
        <f>SUMIFS('C.Pagar'!$G$2:$G$4509,'C.Pagar'!$D$2:$D$4509,TRIM($A111),'C.Pagar'!$K$2:$K$4509,"&gt;=01/02/2026",'C.Pagar'!$K$2:$K$4509,"&lt;=28/02/2026")</f>
        <v>0</v>
      </c>
      <c r="N111" s="40">
        <f t="shared" ref="N111" si="209">M111/M$3</f>
        <v>0</v>
      </c>
      <c r="O111" s="40">
        <f t="shared" ref="O111" si="210">IFERROR(M111/J111-1,0)</f>
        <v>0</v>
      </c>
      <c r="P111" s="39">
        <f>SUMIFS('C.Pagar'!$G$2:$G$4509,'C.Pagar'!$D$2:$D$4509,TRIM($A111),'C.Pagar'!$K$2:$K$4509,"&gt;=01/03/2026",'C.Pagar'!$K$2:$K$4509,"&lt;=31/03/2026")</f>
        <v>6750</v>
      </c>
      <c r="Q111" s="40">
        <f t="shared" ref="Q111" si="211">P111/P$3</f>
        <v>6.5147112990728111E-3</v>
      </c>
      <c r="R111" s="40">
        <f t="shared" ref="R111" si="212">IFERROR(P111/M111-1,0)</f>
        <v>0</v>
      </c>
      <c r="S111" s="39">
        <f>SUMIFS('C.Pagar'!$G$2:$G$4509,'C.Pagar'!$D$2:$D$4509,TRIM($A111),'C.Pagar'!$K$2:$K$4509,"&gt;=01/04/2026",'C.Pagar'!$K$2:$K$4509,"&lt;=30/04/2026")</f>
        <v>1359.89</v>
      </c>
      <c r="T111" s="40">
        <f t="shared" si="189"/>
        <v>1.5388588189910086E-3</v>
      </c>
      <c r="U111" s="40">
        <f t="shared" si="190"/>
        <v>-0.79853481481481481</v>
      </c>
    </row>
    <row r="112" spans="1:21" x14ac:dyDescent="0.3">
      <c r="A112" s="38" t="s">
        <v>1801</v>
      </c>
      <c r="B112" s="39">
        <f>SUMIFS('C.Pagar'!G$2:G$4509,'C.Pagar'!D$2:D$4509,TRIM(A112),'C.Pagar'!K$2:K$4509,"&gt;=01/10/2025",'C.Pagar'!K$2:K$4509,"&lt;=31/10/2025")</f>
        <v>0</v>
      </c>
      <c r="C112" s="70">
        <f t="shared" si="109"/>
        <v>0</v>
      </c>
      <c r="D112" s="39">
        <f>SUMIFS('C.Pagar'!G$2:G$4509,'C.Pagar'!D$2:D$4509,TRIM(A112),'C.Pagar'!K$2:K$4509,"&gt;=01/11/2025",'C.Pagar'!K$2:K$4509,"&lt;=30/11/2025")</f>
        <v>0</v>
      </c>
      <c r="E112" s="40">
        <f t="shared" si="177"/>
        <v>0</v>
      </c>
      <c r="F112" s="40">
        <f t="shared" si="174"/>
        <v>0</v>
      </c>
      <c r="G112" s="39">
        <f>SUMIFS('C.Pagar'!G$2:G$4509,'C.Pagar'!D$2:D$4509,TRIM(A112),'C.Pagar'!K$2:K$4509,"&gt;=01/12/2025",'C.Pagar'!K$2:K$4509,"&lt;=31/12/2025")</f>
        <v>0</v>
      </c>
      <c r="H112" s="40">
        <f t="shared" si="111"/>
        <v>0</v>
      </c>
      <c r="I112" s="40">
        <f t="shared" si="158"/>
        <v>0</v>
      </c>
      <c r="J112" s="39">
        <f>SUMIFS('C.Pagar'!G$2:G$4509,'C.Pagar'!D$2:D$4509,TRIM(A112),'C.Pagar'!K$2:K$4509,"&gt;=01/01/2026",'C.Pagar'!K$2:K$4509,"&lt;=31/01/2026")</f>
        <v>0</v>
      </c>
      <c r="K112" s="40">
        <f t="shared" si="183"/>
        <v>0</v>
      </c>
      <c r="L112" s="40">
        <f t="shared" si="184"/>
        <v>0</v>
      </c>
      <c r="M112" s="39">
        <f>SUMIFS('C.Pagar'!$G$2:$G$4509,'C.Pagar'!$D$2:$D$4509,TRIM($A112),'C.Pagar'!$K$2:$K$4509,"&gt;=01/02/2026",'C.Pagar'!$K$2:$K$4509,"&lt;=28/02/2026")</f>
        <v>0</v>
      </c>
      <c r="N112" s="40">
        <f t="shared" si="185"/>
        <v>0</v>
      </c>
      <c r="O112" s="40">
        <f t="shared" si="186"/>
        <v>0</v>
      </c>
      <c r="P112" s="39">
        <f>SUMIFS('C.Pagar'!$G$2:$G$4509,'C.Pagar'!$D$2:$D$4509,TRIM($A112),'C.Pagar'!$K$2:$K$4509,"&gt;=01/03/2026",'C.Pagar'!$K$2:$K$4509,"&lt;=31/03/2026")</f>
        <v>6000</v>
      </c>
      <c r="Q112" s="40">
        <f t="shared" si="187"/>
        <v>5.7908544880647204E-3</v>
      </c>
      <c r="R112" s="40">
        <f t="shared" si="188"/>
        <v>0</v>
      </c>
      <c r="S112" s="531">
        <f>SUMIFS('C.Pagar'!$G$2:$G$4509,'C.Pagar'!$D$2:$D$4509,TRIM($A112),'C.Pagar'!$K$2:$K$4509,"&gt;=01/04/2026",'C.Pagar'!$K$2:$K$4509,"&lt;=30/04/2026")</f>
        <v>0</v>
      </c>
      <c r="T112" s="40">
        <f t="shared" si="189"/>
        <v>0</v>
      </c>
      <c r="U112" s="40">
        <f t="shared" si="190"/>
        <v>-1</v>
      </c>
    </row>
    <row r="113" spans="1:21" x14ac:dyDescent="0.3">
      <c r="A113" s="41" t="s">
        <v>1802</v>
      </c>
      <c r="B113" s="42">
        <f>SUM(B114:B120)</f>
        <v>2593.6799999999998</v>
      </c>
      <c r="C113" s="72">
        <f t="shared" si="109"/>
        <v>2.3093625111313167E-3</v>
      </c>
      <c r="D113" s="42">
        <f>SUM(D114:D120)</f>
        <v>995.81</v>
      </c>
      <c r="E113" s="43">
        <f t="shared" si="177"/>
        <v>1.0068954863395392E-3</v>
      </c>
      <c r="F113" s="43">
        <f t="shared" si="174"/>
        <v>-0.61606289133586256</v>
      </c>
      <c r="G113" s="42">
        <f>SUM(G114:G120)</f>
        <v>8057.25</v>
      </c>
      <c r="H113" s="43">
        <f t="shared" si="111"/>
        <v>7.3817923082425017E-3</v>
      </c>
      <c r="I113" s="43">
        <f t="shared" si="158"/>
        <v>7.0911519265723388</v>
      </c>
      <c r="J113" s="42">
        <f>SUM(J114:J120)</f>
        <v>3914.5899999999997</v>
      </c>
      <c r="K113" s="43">
        <f t="shared" si="183"/>
        <v>4.1511106985369197E-3</v>
      </c>
      <c r="L113" s="43">
        <f t="shared" si="184"/>
        <v>-0.51415309193583425</v>
      </c>
      <c r="M113" s="42">
        <f>SUM(M114:M120)</f>
        <v>5587.09</v>
      </c>
      <c r="N113" s="43">
        <f t="shared" si="185"/>
        <v>8.0768117141055938E-3</v>
      </c>
      <c r="O113" s="43">
        <f t="shared" si="186"/>
        <v>0.42724780883821811</v>
      </c>
      <c r="P113" s="42">
        <f>SUM(P114:P120)</f>
        <v>3751.2499999999995</v>
      </c>
      <c r="Q113" s="43">
        <f t="shared" si="187"/>
        <v>3.6204904830587966E-3</v>
      </c>
      <c r="R113" s="43">
        <f t="shared" si="188"/>
        <v>-0.32858607969443854</v>
      </c>
      <c r="S113" s="42">
        <f>SUM(S114:S120)</f>
        <v>1783.4199999999998</v>
      </c>
      <c r="T113" s="43">
        <f t="shared" si="189"/>
        <v>2.0181276389744348E-3</v>
      </c>
      <c r="U113" s="43">
        <f t="shared" si="190"/>
        <v>-0.52457980673108962</v>
      </c>
    </row>
    <row r="114" spans="1:21" x14ac:dyDescent="0.3">
      <c r="A114" s="38" t="s">
        <v>1803</v>
      </c>
      <c r="B114" s="39">
        <f>SUMIFS('C.Pagar'!G$2:G$4509,'C.Pagar'!D$2:D$4509,TRIM(A114),'C.Pagar'!K$2:K$4509,"&gt;=01/10/2025",'C.Pagar'!K$2:K$4509,"&lt;=31/10/2025")</f>
        <v>2303.6799999999998</v>
      </c>
      <c r="C114" s="70">
        <f t="shared" si="109"/>
        <v>2.0511521196304059E-3</v>
      </c>
      <c r="D114" s="39">
        <f>SUMIFS('C.Pagar'!G$2:G$4509,'C.Pagar'!D$2:D$4509,TRIM(A114),'C.Pagar'!K$2:K$4509,"&gt;=01/11/2025",'C.Pagar'!K$2:K$4509,"&lt;=30/11/2025")</f>
        <v>888.81</v>
      </c>
      <c r="E114" s="40">
        <f t="shared" si="177"/>
        <v>8.9870434843338171E-4</v>
      </c>
      <c r="F114" s="40">
        <f t="shared" si="174"/>
        <v>-0.61417818447006534</v>
      </c>
      <c r="G114" s="39">
        <f>SUMIFS('C.Pagar'!G$2:G$4509,'C.Pagar'!D$2:D$4509,TRIM(A114),'C.Pagar'!K$2:K$4509,"&gt;=01/12/2025",'C.Pagar'!K$2:K$4509,"&lt;=31/12/2025")</f>
        <v>2891.87</v>
      </c>
      <c r="H114" s="40">
        <f t="shared" si="111"/>
        <v>2.6494379251527809E-3</v>
      </c>
      <c r="I114" s="40">
        <f t="shared" si="158"/>
        <v>2.2536425107728313</v>
      </c>
      <c r="J114" s="39">
        <f>SUMIFS('C.Pagar'!G$2:G$4509,'C.Pagar'!D$2:D$4509,TRIM(A114),'C.Pagar'!K$2:K$4509,"&gt;=01/01/2026",'C.Pagar'!K$2:K$4509,"&lt;=31/01/2026")</f>
        <v>1236.1399999999999</v>
      </c>
      <c r="K114" s="40">
        <f t="shared" si="183"/>
        <v>1.3108279484925439E-3</v>
      </c>
      <c r="L114" s="40">
        <f t="shared" si="184"/>
        <v>-0.57254648376310135</v>
      </c>
      <c r="M114" s="39">
        <f>SUMIFS('C.Pagar'!$G$2:$G$4509,'C.Pagar'!$D$2:$D$4509,TRIM($A114),'C.Pagar'!$K$2:$K$4509,"&gt;=01/02/2026",'C.Pagar'!$K$2:$K$4509,"&lt;=28/02/2026")</f>
        <v>1713.81</v>
      </c>
      <c r="N114" s="40">
        <f t="shared" si="185"/>
        <v>2.4775188306884813E-3</v>
      </c>
      <c r="O114" s="40">
        <f t="shared" si="186"/>
        <v>0.38642063196725296</v>
      </c>
      <c r="P114" s="39">
        <f>SUMIFS('C.Pagar'!$G$2:$G$4509,'C.Pagar'!$D$2:$D$4509,TRIM($A114),'C.Pagar'!$K$2:$K$4509,"&gt;=01/03/2026",'C.Pagar'!$K$2:$K$4509,"&lt;=31/03/2026")</f>
        <v>2716.3599999999997</v>
      </c>
      <c r="Q114" s="40">
        <f t="shared" si="187"/>
        <v>2.621674249533247E-3</v>
      </c>
      <c r="R114" s="40">
        <f t="shared" si="188"/>
        <v>0.58498316616194312</v>
      </c>
      <c r="S114" s="39">
        <f>SUMIFS('C.Pagar'!$G$2:$G$4509,'C.Pagar'!$D$2:$D$4509,TRIM($A114),'C.Pagar'!$K$2:$K$4509,"&gt;=01/04/2026",'C.Pagar'!$K$2:$K$4509,"&lt;=30/04/2026")</f>
        <v>1349.12</v>
      </c>
      <c r="T114" s="40">
        <f t="shared" si="189"/>
        <v>1.5266714292164435E-3</v>
      </c>
      <c r="U114" s="40">
        <f t="shared" si="190"/>
        <v>-0.50333534583044948</v>
      </c>
    </row>
    <row r="115" spans="1:21" x14ac:dyDescent="0.3">
      <c r="A115" s="37" t="s">
        <v>1804</v>
      </c>
      <c r="B115" s="39">
        <f>SUMIFS('C.Pagar'!G$2:G$4509,'C.Pagar'!D$2:D$4509,TRIM(A115),'C.Pagar'!K$2:K$4509,"&gt;=01/10/2025",'C.Pagar'!K$2:K$4509,"&lt;=31/10/2025")</f>
        <v>0</v>
      </c>
      <c r="C115" s="70">
        <f t="shared" si="109"/>
        <v>0</v>
      </c>
      <c r="D115" s="39">
        <f>SUMIFS('C.Pagar'!G$2:G$4509,'C.Pagar'!D$2:D$4509,TRIM(A115),'C.Pagar'!K$2:K$4509,"&gt;=01/11/2025",'C.Pagar'!K$2:K$4509,"&lt;=30/11/2025")</f>
        <v>0</v>
      </c>
      <c r="E115" s="40">
        <f t="shared" si="177"/>
        <v>0</v>
      </c>
      <c r="F115" s="40">
        <f t="shared" si="174"/>
        <v>0</v>
      </c>
      <c r="G115" s="39">
        <f>SUMIFS('C.Pagar'!G$2:G$4509,'C.Pagar'!D$2:D$4509,TRIM(A115),'C.Pagar'!K$2:K$4509,"&gt;=01/12/2025",'C.Pagar'!K$2:K$4509,"&lt;=31/12/2025")</f>
        <v>0</v>
      </c>
      <c r="H115" s="40">
        <f t="shared" si="111"/>
        <v>0</v>
      </c>
      <c r="I115" s="40">
        <f t="shared" si="158"/>
        <v>0</v>
      </c>
      <c r="J115" s="39">
        <f>SUMIFS('C.Pagar'!G$2:G$4509,'C.Pagar'!D$2:D$4509,TRIM(A115),'C.Pagar'!K$2:K$4509,"&gt;=01/01/2026",'C.Pagar'!K$2:K$4509,"&lt;=31/01/2026")</f>
        <v>1705.54</v>
      </c>
      <c r="K115" s="40">
        <f t="shared" si="183"/>
        <v>1.8085892368760606E-3</v>
      </c>
      <c r="L115" s="40">
        <f t="shared" si="184"/>
        <v>0</v>
      </c>
      <c r="M115" s="39">
        <f>SUMIFS('C.Pagar'!$G$2:$G$4509,'C.Pagar'!$D$2:$D$4509,TRIM($A115),'C.Pagar'!$K$2:$K$4509,"&gt;=01/02/2026",'C.Pagar'!$K$2:$K$4509,"&lt;=28/02/2026")</f>
        <v>2900.37</v>
      </c>
      <c r="N115" s="40">
        <f t="shared" si="185"/>
        <v>4.1928342645707233E-3</v>
      </c>
      <c r="O115" s="40">
        <f t="shared" si="186"/>
        <v>0.700558180986667</v>
      </c>
      <c r="P115" s="39">
        <f>SUMIFS('C.Pagar'!$G$2:$G$4509,'C.Pagar'!$D$2:$D$4509,TRIM($A115),'C.Pagar'!$K$2:$K$4509,"&gt;=01/03/2026",'C.Pagar'!$K$2:$K$4509,"&lt;=31/03/2026")</f>
        <v>0</v>
      </c>
      <c r="Q115" s="40">
        <f t="shared" si="187"/>
        <v>0</v>
      </c>
      <c r="R115" s="40">
        <f t="shared" si="188"/>
        <v>-1</v>
      </c>
      <c r="S115" s="39">
        <f>SUMIFS('C.Pagar'!$G$2:$G$4509,'C.Pagar'!$D$2:$D$4509,TRIM($A115),'C.Pagar'!$K$2:$K$4509,"&gt;=01/04/2026",'C.Pagar'!$K$2:$K$4509,"&lt;=30/04/2026")</f>
        <v>0</v>
      </c>
      <c r="T115" s="40">
        <f t="shared" si="189"/>
        <v>0</v>
      </c>
      <c r="U115" s="40">
        <f t="shared" si="190"/>
        <v>0</v>
      </c>
    </row>
    <row r="116" spans="1:21" x14ac:dyDescent="0.3">
      <c r="A116" s="37" t="s">
        <v>1805</v>
      </c>
      <c r="B116" s="39">
        <f>SUMIFS('C.Pagar'!G$2:G$4509,'C.Pagar'!D$2:D$4509,TRIM(A116),'C.Pagar'!K$2:K$4509,"&gt;=01/10/2025",'C.Pagar'!K$2:K$4509,"&lt;=31/10/2025")</f>
        <v>0</v>
      </c>
      <c r="C116" s="70">
        <f t="shared" si="109"/>
        <v>0</v>
      </c>
      <c r="D116" s="39">
        <f>SUMIFS('C.Pagar'!G$2:G$4509,'C.Pagar'!D$2:D$4509,TRIM(A116),'C.Pagar'!K$2:K$4509,"&gt;=01/11/2025",'C.Pagar'!K$2:K$4509,"&lt;=30/11/2025")</f>
        <v>0</v>
      </c>
      <c r="E116" s="40">
        <f t="shared" si="177"/>
        <v>0</v>
      </c>
      <c r="F116" s="40">
        <f t="shared" si="174"/>
        <v>0</v>
      </c>
      <c r="G116" s="39">
        <f>SUMIFS('C.Pagar'!G$2:G$4509,'C.Pagar'!D$2:D$4509,TRIM(A116),'C.Pagar'!K$2:K$4509,"&gt;=01/12/2025",'C.Pagar'!K$2:K$4509,"&lt;=31/12/2025")</f>
        <v>4067.74</v>
      </c>
      <c r="H116" s="40">
        <f t="shared" si="111"/>
        <v>3.7267320542282234E-3</v>
      </c>
      <c r="I116" s="40">
        <f t="shared" si="158"/>
        <v>0</v>
      </c>
      <c r="J116" s="39">
        <f>SUMIFS('C.Pagar'!G$2:G$4509,'C.Pagar'!D$2:D$4509,TRIM(A116),'C.Pagar'!K$2:K$4509,"&gt;=01/01/2026",'C.Pagar'!K$2:K$4509,"&lt;=31/01/2026")</f>
        <v>972.91</v>
      </c>
      <c r="K116" s="40">
        <f t="shared" si="183"/>
        <v>1.0316935131683151E-3</v>
      </c>
      <c r="L116" s="40">
        <f t="shared" si="184"/>
        <v>-0.76082296311957009</v>
      </c>
      <c r="M116" s="39">
        <f>SUMIFS('C.Pagar'!$G$2:$G$4509,'C.Pagar'!$D$2:$D$4509,TRIM($A116),'C.Pagar'!$K$2:$K$4509,"&gt;=01/02/2026",'C.Pagar'!$K$2:$K$4509,"&lt;=28/02/2026")</f>
        <v>972.91</v>
      </c>
      <c r="N116" s="40">
        <f t="shared" si="185"/>
        <v>1.4064586188463893E-3</v>
      </c>
      <c r="O116" s="40">
        <f t="shared" si="186"/>
        <v>0</v>
      </c>
      <c r="P116" s="39">
        <f>SUMIFS('C.Pagar'!$G$2:$G$4509,'C.Pagar'!$D$2:$D$4509,TRIM($A116),'C.Pagar'!$K$2:$K$4509,"&gt;=01/03/2026",'C.Pagar'!$K$2:$K$4509,"&lt;=31/03/2026")</f>
        <v>972.89</v>
      </c>
      <c r="Q116" s="40">
        <f t="shared" si="187"/>
        <v>9.3897740381554764E-4</v>
      </c>
      <c r="R116" s="40">
        <f t="shared" si="188"/>
        <v>-2.0556886042855105E-5</v>
      </c>
      <c r="S116" s="39">
        <f>SUMIFS('C.Pagar'!$G$2:$G$4509,'C.Pagar'!$D$2:$D$4509,TRIM($A116),'C.Pagar'!$K$2:$K$4509,"&gt;=01/04/2026",'C.Pagar'!$K$2:$K$4509,"&lt;=30/04/2026")</f>
        <v>434.3</v>
      </c>
      <c r="T116" s="40">
        <f t="shared" si="189"/>
        <v>4.914562097579915E-4</v>
      </c>
      <c r="U116" s="40">
        <f t="shared" si="190"/>
        <v>-0.55359804294421777</v>
      </c>
    </row>
    <row r="117" spans="1:21" x14ac:dyDescent="0.3">
      <c r="A117" s="37" t="s">
        <v>1806</v>
      </c>
      <c r="B117" s="39">
        <f>SUMIFS('C.Pagar'!G$2:G$4509,'C.Pagar'!D$2:D$4509,TRIM(A117),'C.Pagar'!K$2:K$4509,"&gt;=01/10/2025",'C.Pagar'!K$2:K$4509,"&lt;=31/10/2025")</f>
        <v>0</v>
      </c>
      <c r="C117" s="70">
        <f t="shared" ref="C117" si="213">B117/B$3</f>
        <v>0</v>
      </c>
      <c r="D117" s="39">
        <f>SUMIFS('C.Pagar'!G$2:G$4509,'C.Pagar'!D$2:D$4509,TRIM(A117),'C.Pagar'!K$2:K$4509,"&gt;=01/11/2025",'C.Pagar'!K$2:K$4509,"&lt;=30/11/2025")</f>
        <v>0</v>
      </c>
      <c r="E117" s="40">
        <f t="shared" ref="E117" si="214">D117/D$3</f>
        <v>0</v>
      </c>
      <c r="F117" s="40">
        <f t="shared" ref="F117" si="215">IFERROR(D117/B117-1,0)</f>
        <v>0</v>
      </c>
      <c r="G117" s="39">
        <f>SUMIFS('C.Pagar'!G$2:G$4509,'C.Pagar'!D$2:D$4509,TRIM(A117),'C.Pagar'!K$2:K$4509,"&gt;=01/12/2025",'C.Pagar'!K$2:K$4509,"&lt;=31/12/2025")</f>
        <v>917.64</v>
      </c>
      <c r="H117" s="40">
        <f t="shared" ref="H117" si="216">G117/G$3</f>
        <v>8.4071214046177662E-4</v>
      </c>
      <c r="I117" s="40">
        <f t="shared" ref="I117" si="217">IFERROR(G117/D117-1,0)</f>
        <v>0</v>
      </c>
      <c r="J117" s="39">
        <f>SUMIFS('C.Pagar'!G$2:G$4509,'C.Pagar'!D$2:D$4509,TRIM(A117),'C.Pagar'!K$2:K$4509,"&gt;=01/01/2026",'C.Pagar'!K$2:K$4509,"&lt;=31/01/2026")</f>
        <v>0</v>
      </c>
      <c r="K117" s="40">
        <f t="shared" ref="K117" si="218">J117/J$3</f>
        <v>0</v>
      </c>
      <c r="L117" s="40">
        <f t="shared" ref="L117" si="219">IFERROR(J117/G117-1,0)</f>
        <v>-1</v>
      </c>
      <c r="M117" s="39">
        <f>SUMIFS('C.Pagar'!$G$2:$G$4509,'C.Pagar'!$D$2:$D$4509,TRIM($A117),'C.Pagar'!$K$2:$K$4509,"&gt;=01/02/2026",'C.Pagar'!$K$2:$K$4509,"&lt;=28/02/2026")</f>
        <v>0</v>
      </c>
      <c r="N117" s="40">
        <f t="shared" ref="N117" si="220">M117/M$3</f>
        <v>0</v>
      </c>
      <c r="O117" s="40">
        <f t="shared" ref="O117" si="221">IFERROR(M117/J117-1,0)</f>
        <v>0</v>
      </c>
      <c r="P117" s="39">
        <f>SUMIFS('C.Pagar'!$G$2:$G$4509,'C.Pagar'!$D$2:$D$4509,TRIM($A117),'C.Pagar'!$K$2:$K$4509,"&gt;=01/03/2026",'C.Pagar'!$K$2:$K$4509,"&lt;=31/03/2026")</f>
        <v>0</v>
      </c>
      <c r="Q117" s="40">
        <f t="shared" si="187"/>
        <v>0</v>
      </c>
      <c r="R117" s="40">
        <f t="shared" si="188"/>
        <v>0</v>
      </c>
      <c r="S117" s="39">
        <f>SUMIFS('C.Pagar'!$G$2:$G$4509,'C.Pagar'!$D$2:$D$4509,TRIM($A117),'C.Pagar'!$K$2:$K$4509,"&gt;=01/04/2026",'C.Pagar'!$K$2:$K$4509,"&lt;=30/04/2026")</f>
        <v>0</v>
      </c>
      <c r="T117" s="40">
        <f t="shared" si="189"/>
        <v>0</v>
      </c>
      <c r="U117" s="40">
        <f t="shared" si="190"/>
        <v>0</v>
      </c>
    </row>
    <row r="118" spans="1:21" x14ac:dyDescent="0.3">
      <c r="A118" s="37" t="s">
        <v>1807</v>
      </c>
      <c r="B118" s="39">
        <f>SUMIFS('C.Pagar'!G$2:G$4509,'C.Pagar'!D$2:D$4509,TRIM(A118),'C.Pagar'!K$2:K$4509,"&gt;=01/10/2025",'C.Pagar'!K$2:K$4509,"&lt;=31/10/2025")</f>
        <v>290</v>
      </c>
      <c r="C118" s="70">
        <f t="shared" si="109"/>
        <v>2.5821039150091061E-4</v>
      </c>
      <c r="D118" s="39">
        <f>SUMIFS('C.Pagar'!G$2:G$4509,'C.Pagar'!D$2:D$4509,TRIM(A118),'C.Pagar'!K$2:K$4509,"&gt;=01/11/2025",'C.Pagar'!K$2:K$4509,"&lt;=30/11/2025")</f>
        <v>107</v>
      </c>
      <c r="E118" s="40">
        <f t="shared" si="177"/>
        <v>1.081911379061575E-4</v>
      </c>
      <c r="F118" s="40">
        <f t="shared" si="174"/>
        <v>-0.63103448275862073</v>
      </c>
      <c r="G118" s="39">
        <f>SUMIFS('C.Pagar'!G$2:G$4509,'C.Pagar'!D$2:D$4509,TRIM(A118),'C.Pagar'!K$2:K$4509,"&gt;=01/12/2025",'C.Pagar'!K$2:K$4509,"&lt;=31/12/2025")</f>
        <v>180</v>
      </c>
      <c r="H118" s="40">
        <f t="shared" si="111"/>
        <v>1.6491018839972078E-4</v>
      </c>
      <c r="I118" s="40">
        <f t="shared" si="158"/>
        <v>0.68224299065420557</v>
      </c>
      <c r="J118" s="39">
        <f>SUMIFS('C.Pagar'!G$2:G$4509,'C.Pagar'!D$2:D$4509,TRIM(A118),'C.Pagar'!K$2:K$4509,"&gt;=01/01/2026",'C.Pagar'!K$2:K$4509,"&lt;=31/01/2026")</f>
        <v>0</v>
      </c>
      <c r="K118" s="40">
        <f t="shared" si="183"/>
        <v>0</v>
      </c>
      <c r="L118" s="40">
        <f t="shared" si="184"/>
        <v>-1</v>
      </c>
      <c r="M118" s="39">
        <f>SUMIFS('C.Pagar'!$G$2:$G$4509,'C.Pagar'!$D$2:$D$4509,TRIM($A118),'C.Pagar'!$K$2:$K$4509,"&gt;=01/02/2026",'C.Pagar'!$K$2:$K$4509,"&lt;=28/02/2026")</f>
        <v>0</v>
      </c>
      <c r="N118" s="40">
        <f t="shared" si="185"/>
        <v>0</v>
      </c>
      <c r="O118" s="40">
        <f t="shared" si="186"/>
        <v>0</v>
      </c>
      <c r="P118" s="39">
        <f>SUMIFS('C.Pagar'!$G$2:$G$4509,'C.Pagar'!$D$2:$D$4509,TRIM($A118),'C.Pagar'!$K$2:$K$4509,"&gt;=01/03/2026",'C.Pagar'!$K$2:$K$4509,"&lt;=31/03/2026")</f>
        <v>62</v>
      </c>
      <c r="Q118" s="40">
        <f t="shared" si="187"/>
        <v>5.9838829710002112E-5</v>
      </c>
      <c r="R118" s="40">
        <f t="shared" si="188"/>
        <v>0</v>
      </c>
      <c r="S118" s="39">
        <f>SUMIFS('C.Pagar'!$G$2:$G$4509,'C.Pagar'!$D$2:$D$4509,TRIM($A118),'C.Pagar'!$K$2:$K$4509,"&gt;=01/04/2026",'C.Pagar'!$K$2:$K$4509,"&lt;=30/04/2026")</f>
        <v>0</v>
      </c>
      <c r="T118" s="40">
        <f t="shared" si="189"/>
        <v>0</v>
      </c>
      <c r="U118" s="40">
        <f t="shared" si="190"/>
        <v>-1</v>
      </c>
    </row>
    <row r="119" spans="1:21" x14ac:dyDescent="0.3">
      <c r="A119" s="37" t="s">
        <v>1808</v>
      </c>
      <c r="B119" s="39">
        <f>SUMIFS('C.Pagar'!G$2:G$4509,'C.Pagar'!D$2:D$4509,TRIM(A119),'C.Pagar'!K$2:K$4509,"&gt;=01/10/2025",'C.Pagar'!K$2:K$4509,"&lt;=31/10/2025")</f>
        <v>0</v>
      </c>
      <c r="C119" s="70">
        <f t="shared" si="109"/>
        <v>0</v>
      </c>
      <c r="D119" s="39">
        <f>SUMIFS('C.Pagar'!G$2:G$4509,'C.Pagar'!D$2:D$4509,TRIM(A119),'C.Pagar'!K$2:K$4509,"&gt;=01/11/2025",'C.Pagar'!K$2:K$4509,"&lt;=30/11/2025")</f>
        <v>0</v>
      </c>
      <c r="E119" s="40">
        <f t="shared" si="177"/>
        <v>0</v>
      </c>
      <c r="F119" s="40">
        <f t="shared" si="174"/>
        <v>0</v>
      </c>
      <c r="G119" s="39">
        <f>SUMIFS('C.Pagar'!G$2:G$4509,'C.Pagar'!D$2:D$4509,TRIM(A119),'C.Pagar'!K$2:K$4509,"&gt;=01/12/2025",'C.Pagar'!K$2:K$4509,"&lt;=31/12/2025")</f>
        <v>0</v>
      </c>
      <c r="H119" s="40">
        <f t="shared" si="111"/>
        <v>0</v>
      </c>
      <c r="I119" s="40">
        <f t="shared" si="158"/>
        <v>0</v>
      </c>
      <c r="J119" s="39">
        <f>SUMIFS('C.Pagar'!G$2:G$4509,'C.Pagar'!D$2:D$4509,TRIM(A119),'C.Pagar'!K$2:K$4509,"&gt;=01/01/2026",'C.Pagar'!K$2:K$4509,"&lt;=31/01/2026")</f>
        <v>0</v>
      </c>
      <c r="K119" s="40">
        <f t="shared" si="183"/>
        <v>0</v>
      </c>
      <c r="L119" s="40">
        <f t="shared" si="184"/>
        <v>0</v>
      </c>
      <c r="M119" s="39">
        <f>SUMIFS('C.Pagar'!$G$2:$G$4509,'C.Pagar'!$D$2:$D$4509,TRIM($A119),'C.Pagar'!$K$2:$K$4509,"&gt;=01/02/2026",'C.Pagar'!$K$2:$K$4509,"&lt;=28/02/2026")</f>
        <v>0</v>
      </c>
      <c r="N119" s="40">
        <f t="shared" si="185"/>
        <v>0</v>
      </c>
      <c r="O119" s="40">
        <f t="shared" si="186"/>
        <v>0</v>
      </c>
      <c r="P119" s="39">
        <f>SUMIFS('C.Pagar'!$G$2:$G$4509,'C.Pagar'!$D$2:$D$4509,TRIM($A119),'C.Pagar'!$K$2:$K$4509,"&gt;=01/03/2026",'C.Pagar'!$K$2:$K$4509,"&lt;=31/03/2026")</f>
        <v>0</v>
      </c>
      <c r="Q119" s="40">
        <f t="shared" si="187"/>
        <v>0</v>
      </c>
      <c r="R119" s="40">
        <f t="shared" si="188"/>
        <v>0</v>
      </c>
      <c r="S119" s="39">
        <f>SUMIFS('C.Pagar'!$G$2:$G$4509,'C.Pagar'!$D$2:$D$4509,TRIM($A119),'C.Pagar'!$K$2:$K$4509,"&gt;=01/04/2026",'C.Pagar'!$K$2:$K$4509,"&lt;=30/04/2026")</f>
        <v>0</v>
      </c>
      <c r="T119" s="40">
        <f t="shared" si="189"/>
        <v>0</v>
      </c>
      <c r="U119" s="40">
        <f t="shared" si="190"/>
        <v>0</v>
      </c>
    </row>
    <row r="120" spans="1:21" x14ac:dyDescent="0.3">
      <c r="A120" s="37" t="s">
        <v>1809</v>
      </c>
      <c r="B120" s="39">
        <f>SUMIFS('C.Pagar'!G$2:G$4509,'C.Pagar'!D$2:D$4509,TRIM(A120),'C.Pagar'!K$2:K$4509,"&gt;=01/10/2025",'C.Pagar'!K$2:K$4509,"&lt;=31/10/2025")</f>
        <v>0</v>
      </c>
      <c r="C120" s="70">
        <f t="shared" si="109"/>
        <v>0</v>
      </c>
      <c r="D120" s="39">
        <f>SUMIFS('C.Pagar'!G$2:G$4509,'C.Pagar'!D$2:D$4509,TRIM(A120),'C.Pagar'!K$2:K$4509,"&gt;=01/11/2025",'C.Pagar'!K$2:K$4509,"&lt;=30/11/2025")</f>
        <v>0</v>
      </c>
      <c r="E120" s="40">
        <f t="shared" si="177"/>
        <v>0</v>
      </c>
      <c r="F120" s="40">
        <f t="shared" si="174"/>
        <v>0</v>
      </c>
      <c r="G120" s="39">
        <f>SUMIFS('C.Pagar'!G$2:G$4509,'C.Pagar'!D$2:D$4509,TRIM(A120),'C.Pagar'!K$2:K$4509,"&gt;=01/12/2025",'C.Pagar'!K$2:K$4509,"&lt;=31/12/2025")</f>
        <v>0</v>
      </c>
      <c r="H120" s="40">
        <f t="shared" si="111"/>
        <v>0</v>
      </c>
      <c r="I120" s="40">
        <f t="shared" si="158"/>
        <v>0</v>
      </c>
      <c r="J120" s="39">
        <f>SUMIFS('C.Pagar'!G$2:G$4509,'C.Pagar'!D$2:D$4509,TRIM(A120),'C.Pagar'!K$2:K$4509,"&gt;=01/01/2026",'C.Pagar'!K$2:K$4509,"&lt;=31/01/2026")</f>
        <v>0</v>
      </c>
      <c r="K120" s="40">
        <f t="shared" si="183"/>
        <v>0</v>
      </c>
      <c r="L120" s="40">
        <f t="shared" si="184"/>
        <v>0</v>
      </c>
      <c r="M120" s="39">
        <f>SUMIFS('C.Pagar'!$G$2:$G$4509,'C.Pagar'!$D$2:$D$4509,TRIM($A120),'C.Pagar'!$K$2:$K$4509,"&gt;=01/02/2026",'C.Pagar'!$K$2:$K$4509,"&lt;=28/02/2026")</f>
        <v>0</v>
      </c>
      <c r="N120" s="40">
        <f t="shared" si="185"/>
        <v>0</v>
      </c>
      <c r="O120" s="40">
        <f t="shared" si="186"/>
        <v>0</v>
      </c>
      <c r="P120" s="39">
        <f>SUMIFS('C.Pagar'!$G$2:$G$4509,'C.Pagar'!$D$2:$D$4509,TRIM($A120),'C.Pagar'!$K$2:$K$4509,"&gt;=01/03/2026",'C.Pagar'!$K$2:$K$4509,"&lt;=31/03/2026")</f>
        <v>0</v>
      </c>
      <c r="Q120" s="40">
        <f t="shared" si="187"/>
        <v>0</v>
      </c>
      <c r="R120" s="40">
        <f t="shared" si="188"/>
        <v>0</v>
      </c>
      <c r="S120" s="39">
        <f>SUMIFS('C.Pagar'!$G$2:$G$4509,'C.Pagar'!$D$2:$D$4509,TRIM($A120),'C.Pagar'!$K$2:$K$4509,"&gt;=01/04/2026",'C.Pagar'!$K$2:$K$4509,"&lt;=30/04/2026")</f>
        <v>0</v>
      </c>
      <c r="T120" s="40">
        <f t="shared" si="189"/>
        <v>0</v>
      </c>
      <c r="U120" s="40">
        <f t="shared" si="190"/>
        <v>0</v>
      </c>
    </row>
    <row r="121" spans="1:21" x14ac:dyDescent="0.3">
      <c r="A121" s="41" t="s">
        <v>1810</v>
      </c>
      <c r="B121" s="42">
        <f>SUM(B122)</f>
        <v>7180.24</v>
      </c>
      <c r="C121" s="72">
        <f t="shared" si="109"/>
        <v>6.3931468326568911E-3</v>
      </c>
      <c r="D121" s="42">
        <f>SUM(D122)</f>
        <v>4148.8999999999996</v>
      </c>
      <c r="E121" s="43">
        <f t="shared" si="177"/>
        <v>4.1950860940080078E-3</v>
      </c>
      <c r="F121" s="43">
        <f t="shared" si="174"/>
        <v>-0.42217808875469343</v>
      </c>
      <c r="G121" s="42">
        <f>SUM(G122)</f>
        <v>930.47</v>
      </c>
      <c r="H121" s="43">
        <f t="shared" si="111"/>
        <v>8.5246657222382341E-4</v>
      </c>
      <c r="I121" s="43">
        <f t="shared" si="158"/>
        <v>-0.77573091662850391</v>
      </c>
      <c r="J121" s="42">
        <f>SUM(J122)</f>
        <v>0</v>
      </c>
      <c r="K121" s="43">
        <f t="shared" si="183"/>
        <v>0</v>
      </c>
      <c r="L121" s="43">
        <f t="shared" si="184"/>
        <v>-1</v>
      </c>
      <c r="M121" s="42">
        <f>SUM(M122)</f>
        <v>1820.75</v>
      </c>
      <c r="N121" s="43">
        <f t="shared" si="185"/>
        <v>2.63211348456133E-3</v>
      </c>
      <c r="O121" s="43">
        <f t="shared" si="186"/>
        <v>0</v>
      </c>
      <c r="P121" s="42">
        <f>SUM(P122)</f>
        <v>2567.1299999999997</v>
      </c>
      <c r="Q121" s="43">
        <f t="shared" si="187"/>
        <v>2.4776460469909307E-3</v>
      </c>
      <c r="R121" s="43">
        <f t="shared" si="188"/>
        <v>0.40992997391184938</v>
      </c>
      <c r="S121" s="42">
        <f>SUM(S122)</f>
        <v>382.96</v>
      </c>
      <c r="T121" s="43">
        <f t="shared" si="189"/>
        <v>4.333595903498052E-4</v>
      </c>
      <c r="U121" s="43">
        <f t="shared" si="190"/>
        <v>-0.85082173477774792</v>
      </c>
    </row>
    <row r="122" spans="1:21" x14ac:dyDescent="0.3">
      <c r="A122" s="37" t="s">
        <v>1811</v>
      </c>
      <c r="B122" s="39">
        <f>SUMIFS('C.Pagar'!G$2:G$4509,'C.Pagar'!D$2:D$4509,TRIM(A122),'C.Pagar'!K$2:K$4509,"&gt;=01/10/2025",'C.Pagar'!K$2:K$4509,"&lt;=31/10/2025")</f>
        <v>7180.24</v>
      </c>
      <c r="C122" s="70">
        <f t="shared" si="109"/>
        <v>6.3931468326568911E-3</v>
      </c>
      <c r="D122" s="39">
        <f>SUMIFS('C.Pagar'!G$2:G$4509,'C.Pagar'!D$2:D$4509,TRIM(A122),'C.Pagar'!K$2:K$4509,"&gt;=01/11/2025",'C.Pagar'!K$2:K$4509,"&lt;=30/11/2025")</f>
        <v>4148.8999999999996</v>
      </c>
      <c r="E122" s="40">
        <f t="shared" si="177"/>
        <v>4.1950860940080078E-3</v>
      </c>
      <c r="F122" s="40">
        <f t="shared" si="174"/>
        <v>-0.42217808875469343</v>
      </c>
      <c r="G122" s="39">
        <f>SUMIFS('C.Pagar'!G$2:G$4509,'C.Pagar'!D$2:D$4509,TRIM(A122),'C.Pagar'!K$2:K$4509,"&gt;=01/12/2025",'C.Pagar'!K$2:K$4509,"&lt;=31/12/2025")</f>
        <v>930.47</v>
      </c>
      <c r="H122" s="40">
        <f t="shared" si="111"/>
        <v>8.5246657222382341E-4</v>
      </c>
      <c r="I122" s="40">
        <f t="shared" si="158"/>
        <v>-0.77573091662850391</v>
      </c>
      <c r="J122" s="39">
        <f>SUMIFS('C.Pagar'!G$2:G$4509,'C.Pagar'!D$2:D$4509,TRIM(A122),'C.Pagar'!K$2:K$4509,"&gt;=01/01/2026",'C.Pagar'!K$2:K$4509,"&lt;=31/01/2026")</f>
        <v>0</v>
      </c>
      <c r="K122" s="40">
        <f t="shared" si="183"/>
        <v>0</v>
      </c>
      <c r="L122" s="40">
        <f t="shared" si="184"/>
        <v>-1</v>
      </c>
      <c r="M122" s="39">
        <f>SUMIFS('C.Pagar'!$G$2:$G$4509,'C.Pagar'!$D$2:$D$4509,TRIM($A122),'C.Pagar'!$K$2:$K$4509,"&gt;=01/02/2026",'C.Pagar'!$K$2:$K$4509,"&lt;=28/02/2026")</f>
        <v>1820.75</v>
      </c>
      <c r="N122" s="40">
        <f t="shared" si="185"/>
        <v>2.63211348456133E-3</v>
      </c>
      <c r="O122" s="40">
        <f t="shared" si="186"/>
        <v>0</v>
      </c>
      <c r="P122" s="39">
        <f>SUMIFS('C.Pagar'!$G$2:$G$4509,'C.Pagar'!$D$2:$D$4509,TRIM($A122),'C.Pagar'!$K$2:$K$4509,"&gt;=01/03/2026",'C.Pagar'!$K$2:$K$4509,"&lt;=31/03/2026")</f>
        <v>2567.1299999999997</v>
      </c>
      <c r="Q122" s="40">
        <f t="shared" si="187"/>
        <v>2.4776460469909307E-3</v>
      </c>
      <c r="R122" s="40">
        <f t="shared" si="188"/>
        <v>0.40992997391184938</v>
      </c>
      <c r="S122" s="39">
        <f>SUMIFS('C.Pagar'!$G$2:$G$4509,'C.Pagar'!$D$2:$D$4509,TRIM($A122),'C.Pagar'!$K$2:$K$4509,"&gt;=01/04/2026",'C.Pagar'!$K$2:$K$4509,"&lt;=30/04/2026")</f>
        <v>382.96</v>
      </c>
      <c r="T122" s="40">
        <f t="shared" si="189"/>
        <v>4.333595903498052E-4</v>
      </c>
      <c r="U122" s="40">
        <f t="shared" si="190"/>
        <v>-0.85082173477774792</v>
      </c>
    </row>
    <row r="123" spans="1:21" x14ac:dyDescent="0.3">
      <c r="A123" s="41" t="s">
        <v>1812</v>
      </c>
      <c r="B123" s="42">
        <f>SUM(B124:B126)</f>
        <v>154.04</v>
      </c>
      <c r="C123" s="72">
        <f t="shared" si="109"/>
        <v>1.3715423692000093E-4</v>
      </c>
      <c r="D123" s="42">
        <f>SUM(D124:D126)</f>
        <v>291.63</v>
      </c>
      <c r="E123" s="43">
        <f t="shared" si="177"/>
        <v>2.9487646306142722E-4</v>
      </c>
      <c r="F123" s="43">
        <f t="shared" si="174"/>
        <v>0.89320955595949103</v>
      </c>
      <c r="G123" s="42">
        <f>SUM(G124:G126)</f>
        <v>287.31</v>
      </c>
      <c r="H123" s="43">
        <f t="shared" si="111"/>
        <v>2.6322414571735436E-4</v>
      </c>
      <c r="I123" s="43">
        <f t="shared" si="158"/>
        <v>-1.4813290813702307E-2</v>
      </c>
      <c r="J123" s="42">
        <f>SUM(J124:J126)</f>
        <v>248.83</v>
      </c>
      <c r="K123" s="43">
        <f t="shared" si="183"/>
        <v>2.6386438301761919E-4</v>
      </c>
      <c r="L123" s="43">
        <f t="shared" si="184"/>
        <v>-0.13393198983676169</v>
      </c>
      <c r="M123" s="42">
        <f>SUM(M124:M126)</f>
        <v>10298.1</v>
      </c>
      <c r="N123" s="43">
        <f t="shared" si="185"/>
        <v>1.4887144240209272E-2</v>
      </c>
      <c r="O123" s="43">
        <f t="shared" si="186"/>
        <v>40.386086886629428</v>
      </c>
      <c r="P123" s="42">
        <f>SUM(P124:P126)</f>
        <v>596.55999999999995</v>
      </c>
      <c r="Q123" s="43">
        <f t="shared" si="187"/>
        <v>5.7576535889998157E-4</v>
      </c>
      <c r="R123" s="43">
        <f t="shared" si="188"/>
        <v>-0.94207086744156687</v>
      </c>
      <c r="S123" s="42">
        <f>SUM(S124:S126)</f>
        <v>9388.76</v>
      </c>
      <c r="T123" s="43">
        <f t="shared" si="189"/>
        <v>1.0624371181044071E-2</v>
      </c>
      <c r="U123" s="43">
        <f t="shared" si="190"/>
        <v>14.73816548209736</v>
      </c>
    </row>
    <row r="124" spans="1:21" x14ac:dyDescent="0.3">
      <c r="A124" s="38" t="s">
        <v>1813</v>
      </c>
      <c r="B124" s="39">
        <f>SUMIFS('C.Pagar'!G$2:G$4509,'C.Pagar'!D$2:D$4509,TRIM(A124),'C.Pagar'!K$2:K$4509,"&gt;=01/10/2025",'C.Pagar'!K$2:K$4509,"&lt;=31/10/2025")</f>
        <v>154.04</v>
      </c>
      <c r="C124" s="70">
        <f t="shared" si="109"/>
        <v>1.3715423692000093E-4</v>
      </c>
      <c r="D124" s="39">
        <f>SUMIFS('C.Pagar'!G$2:G$4509,'C.Pagar'!D$2:D$4509,TRIM(A124),'C.Pagar'!K$2:K$4509,"&gt;=01/11/2025",'C.Pagar'!K$2:K$4509,"&lt;=30/11/2025")</f>
        <v>291.63</v>
      </c>
      <c r="E124" s="40">
        <f t="shared" si="177"/>
        <v>2.9487646306142722E-4</v>
      </c>
      <c r="F124" s="40">
        <f t="shared" si="174"/>
        <v>0.89320955595949103</v>
      </c>
      <c r="G124" s="39">
        <f>SUMIFS('C.Pagar'!G$2:G$4509,'C.Pagar'!D$2:D$4509,TRIM(A124),'C.Pagar'!K$2:K$4509,"&gt;=01/12/2025",'C.Pagar'!K$2:K$4509,"&lt;=31/12/2025")</f>
        <v>219.19</v>
      </c>
      <c r="H124" s="40">
        <f t="shared" si="111"/>
        <v>2.0081480108519333E-4</v>
      </c>
      <c r="I124" s="40">
        <f t="shared" si="158"/>
        <v>-0.2483969413297672</v>
      </c>
      <c r="J124" s="39">
        <f>SUMIFS('C.Pagar'!G$2:G$4509,'C.Pagar'!D$2:D$4509,TRIM(A124),'C.Pagar'!K$2:K$4509,"&gt;=01/01/2026",'C.Pagar'!K$2:K$4509,"&lt;=31/01/2026")</f>
        <v>248.83</v>
      </c>
      <c r="K124" s="40">
        <f t="shared" si="183"/>
        <v>2.6386438301761919E-4</v>
      </c>
      <c r="L124" s="40">
        <f t="shared" si="184"/>
        <v>0.13522514713262468</v>
      </c>
      <c r="M124" s="39">
        <f>SUMIFS('C.Pagar'!$G$2:$G$4509,'C.Pagar'!$D$2:$D$4509,TRIM($A124),'C.Pagar'!$K$2:$K$4509,"&gt;=01/02/2026",'C.Pagar'!$K$2:$K$4509,"&lt;=28/02/2026")</f>
        <v>353.1</v>
      </c>
      <c r="N124" s="40">
        <f t="shared" si="185"/>
        <v>5.1044859063496123E-4</v>
      </c>
      <c r="O124" s="40">
        <f t="shared" si="186"/>
        <v>0.41904111240606046</v>
      </c>
      <c r="P124" s="39">
        <f>SUMIFS('C.Pagar'!$G$2:$G$4509,'C.Pagar'!$D$2:$D$4509,TRIM($A124),'C.Pagar'!$K$2:$K$4509,"&gt;=01/03/2026",'C.Pagar'!$K$2:$K$4509,"&lt;=31/03/2026")</f>
        <v>334.27</v>
      </c>
      <c r="Q124" s="40">
        <f t="shared" si="187"/>
        <v>3.2261815495423233E-4</v>
      </c>
      <c r="R124" s="40">
        <f t="shared" si="188"/>
        <v>-5.3327669215519791E-2</v>
      </c>
      <c r="S124" s="531">
        <f>SUMIFS('C.Pagar'!$G$2:$G$4509,'C.Pagar'!$D$2:$D$4509,TRIM($A124),'C.Pagar'!$K$2:$K$4509,"&gt;=01/04/2026",'C.Pagar'!$K$2:$K$4509,"&lt;=30/04/2026")</f>
        <v>9285.84</v>
      </c>
      <c r="T124" s="40">
        <f t="shared" si="189"/>
        <v>1.0507906356940242E-2</v>
      </c>
      <c r="U124" s="40">
        <f t="shared" si="190"/>
        <v>26.779459718191884</v>
      </c>
    </row>
    <row r="125" spans="1:21" x14ac:dyDescent="0.3">
      <c r="A125" s="37" t="s">
        <v>1814</v>
      </c>
      <c r="B125" s="39">
        <f>SUMIFS('C.Pagar'!G$2:G$4509,'C.Pagar'!D$2:D$4509,TRIM(A125),'C.Pagar'!K$2:K$4509,"&gt;=01/10/2025",'C.Pagar'!K$2:K$4509,"&lt;=31/10/2025")</f>
        <v>0</v>
      </c>
      <c r="C125" s="70">
        <f t="shared" si="109"/>
        <v>0</v>
      </c>
      <c r="D125" s="39">
        <f>SUMIFS('C.Pagar'!G$2:G$4509,'C.Pagar'!D$2:D$4509,TRIM(A125),'C.Pagar'!K$2:K$4509,"&gt;=01/11/2025",'C.Pagar'!K$2:K$4509,"&lt;=30/11/2025")</f>
        <v>0</v>
      </c>
      <c r="E125" s="40">
        <f t="shared" si="177"/>
        <v>0</v>
      </c>
      <c r="F125" s="40">
        <f t="shared" si="174"/>
        <v>0</v>
      </c>
      <c r="G125" s="39">
        <f>SUMIFS('C.Pagar'!G$2:G$4509,'C.Pagar'!D$2:D$4509,TRIM(A125),'C.Pagar'!K$2:K$4509,"&gt;=01/12/2025",'C.Pagar'!K$2:K$4509,"&lt;=31/12/2025")</f>
        <v>0</v>
      </c>
      <c r="H125" s="40">
        <f t="shared" si="111"/>
        <v>0</v>
      </c>
      <c r="I125" s="40">
        <f t="shared" si="158"/>
        <v>0</v>
      </c>
      <c r="J125" s="39">
        <f>SUMIFS('C.Pagar'!G$2:G$4509,'C.Pagar'!D$2:D$4509,TRIM(A125),'C.Pagar'!K$2:K$4509,"&gt;=01/01/2026",'C.Pagar'!K$2:K$4509,"&lt;=31/01/2026")</f>
        <v>0</v>
      </c>
      <c r="K125" s="40">
        <f t="shared" si="183"/>
        <v>0</v>
      </c>
      <c r="L125" s="40">
        <f t="shared" si="184"/>
        <v>0</v>
      </c>
      <c r="M125" s="39">
        <v>9945</v>
      </c>
      <c r="N125" s="40">
        <f t="shared" si="185"/>
        <v>1.4376695649574311E-2</v>
      </c>
      <c r="O125" s="40">
        <f t="shared" si="186"/>
        <v>0</v>
      </c>
      <c r="P125" s="39">
        <f>SUMIFS('C.Pagar'!$G$2:$G$4509,'C.Pagar'!$D$2:$D$4509,TRIM($A125),'C.Pagar'!$K$2:$K$4509,"&gt;=01/03/2026",'C.Pagar'!$K$2:$K$4509,"&lt;=31/03/2026")</f>
        <v>0</v>
      </c>
      <c r="Q125" s="40">
        <f t="shared" si="187"/>
        <v>0</v>
      </c>
      <c r="R125" s="40">
        <f t="shared" si="188"/>
        <v>-1</v>
      </c>
      <c r="S125" s="39">
        <f>SUMIFS('C.Pagar'!$G$2:$G$4509,'C.Pagar'!$D$2:$D$4509,TRIM($A125),'C.Pagar'!$K$2:$K$4509,"&gt;=01/04/2026",'C.Pagar'!$K$2:$K$4509,"&lt;=30/04/2026")</f>
        <v>0</v>
      </c>
      <c r="T125" s="40">
        <f t="shared" si="189"/>
        <v>0</v>
      </c>
      <c r="U125" s="40">
        <f t="shared" si="190"/>
        <v>0</v>
      </c>
    </row>
    <row r="126" spans="1:21" x14ac:dyDescent="0.3">
      <c r="A126" s="37" t="s">
        <v>1815</v>
      </c>
      <c r="B126" s="39">
        <f>SUMIFS('C.Pagar'!G$2:G$4509,'C.Pagar'!D$2:D$4509,TRIM(A126),'C.Pagar'!K$2:K$4509,"&gt;=01/10/2025",'C.Pagar'!K$2:K$4509,"&lt;=31/10/2025")</f>
        <v>0</v>
      </c>
      <c r="C126" s="70">
        <f t="shared" si="109"/>
        <v>0</v>
      </c>
      <c r="D126" s="39">
        <f>SUMIFS('C.Pagar'!G$2:G$4509,'C.Pagar'!D$2:D$4509,TRIM(A126),'C.Pagar'!K$2:K$4509,"&gt;=01/11/2025",'C.Pagar'!K$2:K$4509,"&lt;=30/11/2025")</f>
        <v>0</v>
      </c>
      <c r="E126" s="40">
        <f t="shared" si="177"/>
        <v>0</v>
      </c>
      <c r="F126" s="40">
        <f t="shared" si="174"/>
        <v>0</v>
      </c>
      <c r="G126" s="39">
        <f>SUMIFS('C.Pagar'!G$2:G$4509,'C.Pagar'!D$2:D$4509,TRIM(A126),'C.Pagar'!K$2:K$4509,"&gt;=01/12/2025",'C.Pagar'!K$2:K$4509,"&lt;=31/12/2025")</f>
        <v>68.12</v>
      </c>
      <c r="H126" s="40">
        <f t="shared" si="111"/>
        <v>6.2409344632161003E-5</v>
      </c>
      <c r="I126" s="40">
        <f t="shared" si="158"/>
        <v>0</v>
      </c>
      <c r="J126" s="39">
        <f>SUMIFS('C.Pagar'!G$2:G$4509,'C.Pagar'!D$2:D$4509,TRIM(A126),'C.Pagar'!K$2:K$4509,"&gt;=01/01/2026",'C.Pagar'!K$2:K$4509,"&lt;=31/01/2026")</f>
        <v>0</v>
      </c>
      <c r="K126" s="40">
        <f t="shared" si="183"/>
        <v>0</v>
      </c>
      <c r="L126" s="40">
        <f t="shared" si="184"/>
        <v>-1</v>
      </c>
      <c r="M126" s="39">
        <f>SUMIFS('C.Pagar'!$G$2:$G$4509,'C.Pagar'!$D$2:$D$4509,TRIM($A126),'C.Pagar'!$K$2:$K$4509,"&gt;=01/02/2026",'C.Pagar'!$K$2:$K$4509,"&lt;=28/02/2026")</f>
        <v>0</v>
      </c>
      <c r="N126" s="40">
        <f t="shared" si="185"/>
        <v>0</v>
      </c>
      <c r="O126" s="40">
        <f t="shared" si="186"/>
        <v>0</v>
      </c>
      <c r="P126" s="39">
        <f>SUMIFS('C.Pagar'!$G$2:$G$4509,'C.Pagar'!$D$2:$D$4509,TRIM($A126),'C.Pagar'!$K$2:$K$4509,"&gt;=01/03/2026",'C.Pagar'!$K$2:$K$4509,"&lt;=31/03/2026")</f>
        <v>262.29000000000002</v>
      </c>
      <c r="Q126" s="40">
        <f t="shared" si="187"/>
        <v>2.5314720394574929E-4</v>
      </c>
      <c r="R126" s="40">
        <f t="shared" si="188"/>
        <v>0</v>
      </c>
      <c r="S126" s="39">
        <f>SUMIFS('C.Pagar'!$G$2:$G$4509,'C.Pagar'!$D$2:$D$4509,TRIM($A126),'C.Pagar'!$K$2:$K$4509,"&gt;=01/04/2026",'C.Pagar'!$K$2:$K$4509,"&lt;=30/04/2026")</f>
        <v>102.92</v>
      </c>
      <c r="T126" s="40">
        <f t="shared" si="189"/>
        <v>1.1646482410382796E-4</v>
      </c>
      <c r="U126" s="40">
        <f t="shared" si="190"/>
        <v>-0.60760989744176297</v>
      </c>
    </row>
    <row r="127" spans="1:21" x14ac:dyDescent="0.3">
      <c r="A127" s="41" t="s">
        <v>1816</v>
      </c>
      <c r="B127" s="42">
        <f>SUM(B128)</f>
        <v>0</v>
      </c>
      <c r="C127" s="72">
        <f t="shared" ref="C127:C166" si="222">B127/B$3</f>
        <v>0</v>
      </c>
      <c r="D127" s="42">
        <f>SUM(D128)</f>
        <v>0</v>
      </c>
      <c r="E127" s="43">
        <f t="shared" si="177"/>
        <v>0</v>
      </c>
      <c r="F127" s="43">
        <f t="shared" si="174"/>
        <v>0</v>
      </c>
      <c r="G127" s="42">
        <f>SUM(G128)</f>
        <v>0</v>
      </c>
      <c r="H127" s="43">
        <f t="shared" ref="H127:H166" si="223">G127/G$3</f>
        <v>0</v>
      </c>
      <c r="I127" s="43">
        <f t="shared" si="158"/>
        <v>0</v>
      </c>
      <c r="J127" s="42">
        <f>SUM(J128)</f>
        <v>0</v>
      </c>
      <c r="K127" s="43">
        <f t="shared" si="183"/>
        <v>0</v>
      </c>
      <c r="L127" s="43">
        <f t="shared" si="184"/>
        <v>0</v>
      </c>
      <c r="M127" s="42">
        <f>SUM(M128)</f>
        <v>0</v>
      </c>
      <c r="N127" s="43">
        <f t="shared" si="185"/>
        <v>0</v>
      </c>
      <c r="O127" s="43">
        <f t="shared" si="186"/>
        <v>0</v>
      </c>
      <c r="P127" s="42">
        <f>SUM(P128)</f>
        <v>0</v>
      </c>
      <c r="Q127" s="43">
        <f t="shared" si="187"/>
        <v>0</v>
      </c>
      <c r="R127" s="43">
        <f t="shared" si="188"/>
        <v>0</v>
      </c>
      <c r="S127" s="42">
        <f>SUM(S128)</f>
        <v>0</v>
      </c>
      <c r="T127" s="43">
        <f t="shared" si="189"/>
        <v>0</v>
      </c>
      <c r="U127" s="43">
        <f t="shared" si="190"/>
        <v>0</v>
      </c>
    </row>
    <row r="128" spans="1:21" x14ac:dyDescent="0.3">
      <c r="A128" s="37" t="s">
        <v>1817</v>
      </c>
      <c r="B128" s="39">
        <f>SUMIFS('C.Pagar'!G$2:G$4509,'C.Pagar'!D$2:D$4509,TRIM(A128),'C.Pagar'!K$2:K$4509,"&gt;=01/10/2025",'C.Pagar'!K$2:K$4509,"&lt;=31/10/2025")</f>
        <v>0</v>
      </c>
      <c r="C128" s="70">
        <f t="shared" si="222"/>
        <v>0</v>
      </c>
      <c r="D128" s="39">
        <f>SUMIFS('C.Pagar'!G$2:G$4509,'C.Pagar'!D$2:D$4509,TRIM(A128),'C.Pagar'!K$2:K$4509,"&gt;=01/11/2025",'C.Pagar'!K$2:K$4509,"&lt;=30/11/2025")</f>
        <v>0</v>
      </c>
      <c r="E128" s="40">
        <f t="shared" si="177"/>
        <v>0</v>
      </c>
      <c r="F128" s="40">
        <f t="shared" si="174"/>
        <v>0</v>
      </c>
      <c r="G128" s="39">
        <f>SUMIFS('C.Pagar'!G$2:G$4509,'C.Pagar'!D$2:D$4509,TRIM(A128),'C.Pagar'!K$2:K$4509,"&gt;=01/12/2025",'C.Pagar'!K$2:K$4509,"&lt;=31/12/2025")</f>
        <v>0</v>
      </c>
      <c r="H128" s="40">
        <f t="shared" si="223"/>
        <v>0</v>
      </c>
      <c r="I128" s="40">
        <f t="shared" si="158"/>
        <v>0</v>
      </c>
      <c r="J128" s="39">
        <f>SUMIFS('C.Pagar'!G$2:G$4509,'C.Pagar'!D$2:D$4509,TRIM(A128),'C.Pagar'!K$2:K$4509,"&gt;=01/01/2026",'C.Pagar'!K$2:K$4509,"&lt;=31/01/2026")</f>
        <v>0</v>
      </c>
      <c r="K128" s="40">
        <f t="shared" si="183"/>
        <v>0</v>
      </c>
      <c r="L128" s="40">
        <f t="shared" si="184"/>
        <v>0</v>
      </c>
      <c r="M128" s="39">
        <f>SUMIFS('C.Pagar'!$G$2:$G$4509,'C.Pagar'!$D$2:$D$4509,TRIM($A128),'C.Pagar'!$K$2:$K$4509,"&gt;=01/02/2026",'C.Pagar'!$K$2:$K$4509,"&lt;=28/02/2026")</f>
        <v>0</v>
      </c>
      <c r="N128" s="40">
        <f t="shared" si="185"/>
        <v>0</v>
      </c>
      <c r="O128" s="40">
        <f t="shared" si="186"/>
        <v>0</v>
      </c>
      <c r="P128" s="39">
        <f>SUMIFS('C.Pagar'!$G$2:$G$4509,'C.Pagar'!$D$2:$D$4509,TRIM($A128),'C.Pagar'!$K$2:$K$4509,"&gt;=01/03/2026",'C.Pagar'!$K$2:$K$4509,"&lt;=31/03/2026")</f>
        <v>0</v>
      </c>
      <c r="Q128" s="40">
        <f t="shared" si="187"/>
        <v>0</v>
      </c>
      <c r="R128" s="40">
        <f t="shared" si="188"/>
        <v>0</v>
      </c>
      <c r="S128" s="39">
        <f>SUMIFS('C.Pagar'!$G$2:$G$4509,'C.Pagar'!$D$2:$D$4509,TRIM($A128),'C.Pagar'!$K$2:$K$4509,"&gt;=01/04/2026",'C.Pagar'!$K$2:$K$4509,"&lt;=30/04/2026")</f>
        <v>0</v>
      </c>
      <c r="T128" s="40">
        <f t="shared" si="189"/>
        <v>0</v>
      </c>
      <c r="U128" s="40">
        <f t="shared" si="190"/>
        <v>0</v>
      </c>
    </row>
    <row r="129" spans="1:21" x14ac:dyDescent="0.3">
      <c r="A129" s="41" t="s">
        <v>1818</v>
      </c>
      <c r="B129" s="42">
        <f>SUM(B130:B131)</f>
        <v>0</v>
      </c>
      <c r="C129" s="72">
        <f t="shared" si="222"/>
        <v>0</v>
      </c>
      <c r="D129" s="42">
        <f>SUM(D130:D131)</f>
        <v>0</v>
      </c>
      <c r="E129" s="43">
        <f t="shared" si="177"/>
        <v>0</v>
      </c>
      <c r="F129" s="43">
        <f t="shared" si="174"/>
        <v>0</v>
      </c>
      <c r="G129" s="42">
        <f>SUM(G130:G131)</f>
        <v>0</v>
      </c>
      <c r="H129" s="43">
        <f t="shared" si="223"/>
        <v>0</v>
      </c>
      <c r="I129" s="43">
        <f t="shared" si="158"/>
        <v>0</v>
      </c>
      <c r="J129" s="42">
        <f>SUM(J130:J131)</f>
        <v>0</v>
      </c>
      <c r="K129" s="43">
        <f t="shared" si="183"/>
        <v>0</v>
      </c>
      <c r="L129" s="43">
        <f t="shared" si="184"/>
        <v>0</v>
      </c>
      <c r="M129" s="42">
        <f>SUM(M130:M131)</f>
        <v>0</v>
      </c>
      <c r="N129" s="43">
        <f t="shared" si="185"/>
        <v>0</v>
      </c>
      <c r="O129" s="43">
        <f t="shared" si="186"/>
        <v>0</v>
      </c>
      <c r="P129" s="42">
        <f>SUM(P130:P131)</f>
        <v>0</v>
      </c>
      <c r="Q129" s="43">
        <f t="shared" si="187"/>
        <v>0</v>
      </c>
      <c r="R129" s="43">
        <f t="shared" si="188"/>
        <v>0</v>
      </c>
      <c r="S129" s="42">
        <f>SUM(S130:S131)</f>
        <v>0</v>
      </c>
      <c r="T129" s="43">
        <f t="shared" si="189"/>
        <v>0</v>
      </c>
      <c r="U129" s="43">
        <f t="shared" si="190"/>
        <v>0</v>
      </c>
    </row>
    <row r="130" spans="1:21" x14ac:dyDescent="0.3">
      <c r="A130" s="37" t="s">
        <v>1819</v>
      </c>
      <c r="B130" s="39">
        <f>SUMIFS('C.Pagar'!G$2:G$4509,'C.Pagar'!D$2:D$4509,TRIM(A130),'C.Pagar'!K$2:K$4509,"&gt;=01/10/2025",'C.Pagar'!K$2:K$4509,"&lt;=31/10/2025")</f>
        <v>0</v>
      </c>
      <c r="C130" s="70">
        <f t="shared" si="222"/>
        <v>0</v>
      </c>
      <c r="D130" s="39">
        <f>SUMIFS('C.Pagar'!G$2:G$4509,'C.Pagar'!D$2:D$4509,TRIM(A130),'C.Pagar'!K$2:K$4509,"&gt;=01/11/2025",'C.Pagar'!K$2:K$4509,"&lt;=30/11/2025")</f>
        <v>0</v>
      </c>
      <c r="E130" s="40">
        <f t="shared" si="177"/>
        <v>0</v>
      </c>
      <c r="F130" s="40">
        <f t="shared" si="174"/>
        <v>0</v>
      </c>
      <c r="G130" s="39">
        <f>SUMIFS('C.Pagar'!G$2:G$4509,'C.Pagar'!D$2:D$4509,TRIM(A130),'C.Pagar'!K$2:K$4509,"&gt;=01/12/2025",'C.Pagar'!K$2:K$4509,"&lt;=31/12/2025")</f>
        <v>0</v>
      </c>
      <c r="H130" s="40">
        <f t="shared" si="223"/>
        <v>0</v>
      </c>
      <c r="I130" s="40">
        <f t="shared" si="158"/>
        <v>0</v>
      </c>
      <c r="J130" s="39">
        <f>SUMIFS('C.Pagar'!G$2:G$4509,'C.Pagar'!D$2:D$4509,TRIM(A130),'C.Pagar'!K$2:K$4509,"&gt;=01/01/2026",'C.Pagar'!K$2:K$4509,"&lt;=31/01/2026")</f>
        <v>0</v>
      </c>
      <c r="K130" s="40">
        <f t="shared" si="183"/>
        <v>0</v>
      </c>
      <c r="L130" s="40">
        <f t="shared" si="184"/>
        <v>0</v>
      </c>
      <c r="M130" s="39">
        <f>SUMIFS('C.Pagar'!$G$2:$G$4509,'C.Pagar'!$D$2:$D$4509,TRIM($A130),'C.Pagar'!$K$2:$K$4509,"&gt;=01/02/2026",'C.Pagar'!$K$2:$K$4509,"&lt;=28/02/2026")</f>
        <v>0</v>
      </c>
      <c r="N130" s="40">
        <f t="shared" si="185"/>
        <v>0</v>
      </c>
      <c r="O130" s="40">
        <f t="shared" si="186"/>
        <v>0</v>
      </c>
      <c r="P130" s="39">
        <f>SUMIFS('C.Pagar'!$G$2:$G$4509,'C.Pagar'!$D$2:$D$4509,TRIM($A130),'C.Pagar'!$K$2:$K$4509,"&gt;=01/03/2026",'C.Pagar'!$K$2:$K$4509,"&lt;=31/03/2026")</f>
        <v>0</v>
      </c>
      <c r="Q130" s="40">
        <f t="shared" si="187"/>
        <v>0</v>
      </c>
      <c r="R130" s="40">
        <f t="shared" si="188"/>
        <v>0</v>
      </c>
      <c r="S130" s="39">
        <f>SUMIFS('C.Pagar'!$G$2:$G$4509,'C.Pagar'!$D$2:$D$4509,TRIM($A130),'C.Pagar'!$K$2:$K$4509,"&gt;=01/04/2026",'C.Pagar'!$K$2:$K$4509,"&lt;=30/04/2026")</f>
        <v>0</v>
      </c>
      <c r="T130" s="40">
        <f t="shared" si="189"/>
        <v>0</v>
      </c>
      <c r="U130" s="40">
        <f t="shared" si="190"/>
        <v>0</v>
      </c>
    </row>
    <row r="131" spans="1:21" x14ac:dyDescent="0.3">
      <c r="A131" s="37" t="s">
        <v>1820</v>
      </c>
      <c r="B131" s="39">
        <f>SUMIFS('C.Pagar'!G$2:G$4509,'C.Pagar'!D$2:D$4509,TRIM(A131),'C.Pagar'!K$2:K$4509,"&gt;=01/10/2025",'C.Pagar'!K$2:K$4509,"&lt;=31/10/2025")</f>
        <v>0</v>
      </c>
      <c r="C131" s="70">
        <f t="shared" si="222"/>
        <v>0</v>
      </c>
      <c r="D131" s="39">
        <f>SUMIFS('C.Pagar'!G$2:G$4509,'C.Pagar'!D$2:D$4509,TRIM(A131),'C.Pagar'!K$2:K$4509,"&gt;=01/11/2025",'C.Pagar'!K$2:K$4509,"&lt;=30/11/2025")</f>
        <v>0</v>
      </c>
      <c r="E131" s="40">
        <f t="shared" si="177"/>
        <v>0</v>
      </c>
      <c r="F131" s="40">
        <f t="shared" si="174"/>
        <v>0</v>
      </c>
      <c r="G131" s="39">
        <f>SUMIFS('C.Pagar'!G$2:G$4509,'C.Pagar'!D$2:D$4509,TRIM(A131),'C.Pagar'!K$2:K$4509,"&gt;=01/12/2025",'C.Pagar'!K$2:K$4509,"&lt;=31/12/2025")</f>
        <v>0</v>
      </c>
      <c r="H131" s="40">
        <f t="shared" si="223"/>
        <v>0</v>
      </c>
      <c r="I131" s="40">
        <f t="shared" si="158"/>
        <v>0</v>
      </c>
      <c r="J131" s="39">
        <f>SUMIFS('C.Pagar'!G$2:G$4509,'C.Pagar'!D$2:D$4509,TRIM(A131),'C.Pagar'!K$2:K$4509,"&gt;=01/01/2026",'C.Pagar'!K$2:K$4509,"&lt;=31/01/2026")</f>
        <v>0</v>
      </c>
      <c r="K131" s="40">
        <f t="shared" si="183"/>
        <v>0</v>
      </c>
      <c r="L131" s="40">
        <f t="shared" si="184"/>
        <v>0</v>
      </c>
      <c r="M131" s="39">
        <f>SUMIFS('C.Pagar'!$G$2:$G$4509,'C.Pagar'!$D$2:$D$4509,TRIM($A131),'C.Pagar'!$K$2:$K$4509,"&gt;=01/02/2026",'C.Pagar'!$K$2:$K$4509,"&lt;=28/02/2026")</f>
        <v>0</v>
      </c>
      <c r="N131" s="40">
        <f t="shared" si="185"/>
        <v>0</v>
      </c>
      <c r="O131" s="40">
        <f t="shared" si="186"/>
        <v>0</v>
      </c>
      <c r="P131" s="39">
        <f>SUMIFS('C.Pagar'!$G$2:$G$4509,'C.Pagar'!$D$2:$D$4509,TRIM($A131),'C.Pagar'!$K$2:$K$4509,"&gt;=01/03/2026",'C.Pagar'!$K$2:$K$4509,"&lt;=31/03/2026")</f>
        <v>0</v>
      </c>
      <c r="Q131" s="40">
        <f t="shared" si="187"/>
        <v>0</v>
      </c>
      <c r="R131" s="40">
        <f t="shared" si="188"/>
        <v>0</v>
      </c>
      <c r="S131" s="39">
        <f>SUMIFS('C.Pagar'!$G$2:$G$4509,'C.Pagar'!$D$2:$D$4509,TRIM($A131),'C.Pagar'!$K$2:$K$4509,"&gt;=01/04/2026",'C.Pagar'!$K$2:$K$4509,"&lt;=30/04/2026")</f>
        <v>0</v>
      </c>
      <c r="T131" s="40">
        <f t="shared" si="189"/>
        <v>0</v>
      </c>
      <c r="U131" s="40">
        <f t="shared" si="190"/>
        <v>0</v>
      </c>
    </row>
    <row r="132" spans="1:21" s="8" customFormat="1" x14ac:dyDescent="0.3">
      <c r="A132" s="30" t="s">
        <v>1690</v>
      </c>
      <c r="B132" s="31">
        <f>B35-B36</f>
        <v>29795.229999999923</v>
      </c>
      <c r="C132" s="69">
        <f t="shared" si="222"/>
        <v>2.6529096562619505E-2</v>
      </c>
      <c r="D132" s="200">
        <f>D35-D36</f>
        <v>-116031.7099999997</v>
      </c>
      <c r="E132" s="32">
        <f t="shared" si="177"/>
        <v>-0.11732339007567516</v>
      </c>
      <c r="F132" s="32">
        <f t="shared" si="174"/>
        <v>-4.8943048937699087</v>
      </c>
      <c r="G132" s="31">
        <f>G35-G36</f>
        <v>3007.5700000004726</v>
      </c>
      <c r="H132" s="32">
        <f t="shared" si="223"/>
        <v>2.7554385295857011E-3</v>
      </c>
      <c r="I132" s="32">
        <f t="shared" si="158"/>
        <v>-1.0259202419752367</v>
      </c>
      <c r="J132" s="200">
        <f>J35-J36</f>
        <v>-176334.91999999984</v>
      </c>
      <c r="K132" s="32">
        <f t="shared" si="183"/>
        <v>-0.18698912860290637</v>
      </c>
      <c r="L132" s="32">
        <f t="shared" si="184"/>
        <v>-59.630362718065456</v>
      </c>
      <c r="M132" s="200">
        <f>M35-M36</f>
        <v>-186753.85999999981</v>
      </c>
      <c r="N132" s="32">
        <f t="shared" si="185"/>
        <v>-0.26997520428388205</v>
      </c>
      <c r="O132" s="32">
        <f t="shared" si="186"/>
        <v>5.9086084594021315E-2</v>
      </c>
      <c r="P132" s="200">
        <f>P35-P36</f>
        <v>99853.730000000214</v>
      </c>
      <c r="Q132" s="32">
        <f t="shared" si="187"/>
        <v>9.6373070086750681E-2</v>
      </c>
      <c r="R132" s="32">
        <f t="shared" si="188"/>
        <v>-1.5346809431408825</v>
      </c>
      <c r="S132" s="200">
        <f>S35-S36</f>
        <v>121850.37999999989</v>
      </c>
      <c r="T132" s="32">
        <f t="shared" si="189"/>
        <v>0.13788654366191783</v>
      </c>
      <c r="U132" s="32">
        <f t="shared" si="190"/>
        <v>0.22028871630533597</v>
      </c>
    </row>
    <row r="133" spans="1:21" s="8" customFormat="1" x14ac:dyDescent="0.3">
      <c r="A133" s="33" t="s">
        <v>1691</v>
      </c>
      <c r="B133" s="35">
        <f>SUM(B134:B135)</f>
        <v>0</v>
      </c>
      <c r="C133" s="71">
        <f>B133/B$3</f>
        <v>0</v>
      </c>
      <c r="D133" s="35">
        <f>SUM(D134:D135)</f>
        <v>0</v>
      </c>
      <c r="E133" s="36">
        <f>D133/D$3</f>
        <v>0</v>
      </c>
      <c r="F133" s="36">
        <f>IFERROR(D133/B133-1,0)</f>
        <v>0</v>
      </c>
      <c r="G133" s="35">
        <f>SUM(G134:G135)</f>
        <v>0</v>
      </c>
      <c r="H133" s="36">
        <f>G133/G$3</f>
        <v>0</v>
      </c>
      <c r="I133" s="36">
        <f>IFERROR(G133/D133-1,0)</f>
        <v>0</v>
      </c>
      <c r="J133" s="35">
        <f>SUM(J134:J135)</f>
        <v>0</v>
      </c>
      <c r="K133" s="36">
        <f>J133/J$3</f>
        <v>0</v>
      </c>
      <c r="L133" s="36">
        <f>IFERROR(J133/G133-1,0)</f>
        <v>0</v>
      </c>
      <c r="M133" s="35">
        <f>SUM(M134:M135)</f>
        <v>0</v>
      </c>
      <c r="N133" s="36">
        <f>M133/M$3</f>
        <v>0</v>
      </c>
      <c r="O133" s="36">
        <f>IFERROR(M133/J133-1,0)</f>
        <v>0</v>
      </c>
      <c r="P133" s="35">
        <f>SUM(P134:P135)</f>
        <v>0</v>
      </c>
      <c r="Q133" s="36">
        <f>P133/P$3</f>
        <v>0</v>
      </c>
      <c r="R133" s="36">
        <f>IFERROR(P133/M133-1,0)</f>
        <v>0</v>
      </c>
      <c r="S133" s="35">
        <f>SUM(S134:S135)</f>
        <v>0</v>
      </c>
      <c r="T133" s="36">
        <f>S133/S$3</f>
        <v>0</v>
      </c>
      <c r="U133" s="36">
        <f>IFERROR(S133/P133-1,0)</f>
        <v>0</v>
      </c>
    </row>
    <row r="134" spans="1:21" x14ac:dyDescent="0.3">
      <c r="A134" s="37" t="s">
        <v>1821</v>
      </c>
      <c r="B134" s="39">
        <f>SUMIFS('C.Pagar'!G$2:G$4509,'C.Pagar'!D$2:D$4509,TRIM(A134),'C.Pagar'!K$2:K$4509,"&gt;=01/10/2025",'C.Pagar'!K$2:K$4509,"&lt;=31/10/2025")</f>
        <v>0</v>
      </c>
      <c r="C134" s="70">
        <f>B134/B$3</f>
        <v>0</v>
      </c>
      <c r="D134" s="39">
        <f>SUMIFS('C.Pagar'!G$2:G$4509,'C.Pagar'!D$2:D$4509,TRIM(A134),'C.Pagar'!K$2:K$4509,"&gt;=01/11/2025",'C.Pagar'!K$2:K$4509,"&lt;=30/11/2025")</f>
        <v>0</v>
      </c>
      <c r="E134" s="40">
        <f>D134/D$3</f>
        <v>0</v>
      </c>
      <c r="F134" s="40">
        <f>IFERROR(D134/B134-1,0)</f>
        <v>0</v>
      </c>
      <c r="G134" s="39">
        <f>SUMIFS('C.Pagar'!G$2:G$4509,'C.Pagar'!D$2:D$4509,TRIM(A134),'C.Pagar'!K$2:K$4509,"&gt;=01/12/2025",'C.Pagar'!K$2:K$4509,"&lt;=31/12/2025")</f>
        <v>0</v>
      </c>
      <c r="H134" s="40">
        <f>G134/G$3</f>
        <v>0</v>
      </c>
      <c r="I134" s="40">
        <f>IFERROR(G134/D134-1,0)</f>
        <v>0</v>
      </c>
      <c r="J134" s="39">
        <f>SUMIFS('C.Pagar'!G$2:G$4509,'C.Pagar'!D$2:D$4509,TRIM(A134),'C.Pagar'!K$2:K$4509,"&gt;=01/01/2026",'C.Pagar'!K$2:K$4509,"&lt;=31/01/2026")</f>
        <v>0</v>
      </c>
      <c r="K134" s="40">
        <f>J134/J$3</f>
        <v>0</v>
      </c>
      <c r="L134" s="40">
        <f>IFERROR(J134/G134-1,0)</f>
        <v>0</v>
      </c>
      <c r="M134" s="39">
        <f>SUMIFS('C.Pagar'!$G$2:$G$4509,'C.Pagar'!$D$2:$D$4509,TRIM($A134),'C.Pagar'!$K$2:$K$4509,"&gt;=01/02/2026",'C.Pagar'!$K$2:$K$4509,"&lt;=28/02/2026")</f>
        <v>0</v>
      </c>
      <c r="N134" s="40">
        <f>M134/M$3</f>
        <v>0</v>
      </c>
      <c r="O134" s="40">
        <f>IFERROR(M134/J134-1,0)</f>
        <v>0</v>
      </c>
      <c r="P134" s="39">
        <f>SUMIFS('C.Pagar'!$G$2:$G$4509,'C.Pagar'!$D$2:$D$4509,TRIM($A134),'C.Pagar'!$K$2:$K$4509,"&gt;=01/03/2026",'C.Pagar'!$K$2:$K$4509,"&lt;=31/03/2026")</f>
        <v>0</v>
      </c>
      <c r="Q134" s="40">
        <f>P134/P$3</f>
        <v>0</v>
      </c>
      <c r="R134" s="40">
        <f>IFERROR(P134/M134-1,0)</f>
        <v>0</v>
      </c>
      <c r="S134" s="39">
        <f>SUMIFS('C.Pagar'!$G$2:$G$4509,'C.Pagar'!$D$2:$D$4509,TRIM($A134),'C.Pagar'!$K$2:$K$4509,"&gt;=01/04/2026",'C.Pagar'!$K$2:$K$4509,"&lt;=30/04/2026")</f>
        <v>0</v>
      </c>
      <c r="T134" s="40">
        <f>S134/S$3</f>
        <v>0</v>
      </c>
      <c r="U134" s="40">
        <f>IFERROR(S134/P134-1,0)</f>
        <v>0</v>
      </c>
    </row>
    <row r="135" spans="1:21" x14ac:dyDescent="0.3">
      <c r="A135" s="37" t="s">
        <v>1822</v>
      </c>
      <c r="B135" s="39">
        <f>SUMIFS('C.Pagar'!G$2:G$4509,'C.Pagar'!D$2:D$4509,TRIM(A135),'C.Pagar'!K$2:K$4509,"&gt;=01/10/2025",'C.Pagar'!K$2:K$4509,"&lt;=31/10/2025")</f>
        <v>0</v>
      </c>
      <c r="C135" s="70">
        <f>B135/B$3</f>
        <v>0</v>
      </c>
      <c r="D135" s="39">
        <f>SUMIFS('C.Pagar'!G$2:G$4509,'C.Pagar'!D$2:D$4509,TRIM(A135),'C.Pagar'!K$2:K$4509,"&gt;=01/11/2025",'C.Pagar'!K$2:K$4509,"&lt;=30/11/2025")</f>
        <v>0</v>
      </c>
      <c r="E135" s="40">
        <f>D135/D$3</f>
        <v>0</v>
      </c>
      <c r="F135" s="40">
        <f>IFERROR(D135/B135-1,0)</f>
        <v>0</v>
      </c>
      <c r="G135" s="39">
        <f>SUMIFS('C.Pagar'!G$2:G$4509,'C.Pagar'!D$2:D$4509,TRIM(A135),'C.Pagar'!K$2:K$4509,"&gt;=01/12/2025",'C.Pagar'!K$2:K$4509,"&lt;=31/12/2025")</f>
        <v>0</v>
      </c>
      <c r="H135" s="40">
        <f>G135/G$3</f>
        <v>0</v>
      </c>
      <c r="I135" s="40">
        <f>IFERROR(G135/D135-1,0)</f>
        <v>0</v>
      </c>
      <c r="J135" s="39">
        <f>SUMIFS('C.Pagar'!G$2:G$4509,'C.Pagar'!D$2:D$4509,TRIM(A135),'C.Pagar'!K$2:K$4509,"&gt;=01/01/2026",'C.Pagar'!K$2:K$4509,"&lt;=31/01/2026")</f>
        <v>0</v>
      </c>
      <c r="K135" s="40">
        <f>J135/J$3</f>
        <v>0</v>
      </c>
      <c r="L135" s="40">
        <f>IFERROR(J135/G135-1,0)</f>
        <v>0</v>
      </c>
      <c r="M135" s="39">
        <f>SUMIFS('C.Pagar'!$G$2:$G$4509,'C.Pagar'!$D$2:$D$4509,TRIM($A135),'C.Pagar'!$K$2:$K$4509,"&gt;=01/02/2026",'C.Pagar'!$K$2:$K$4509,"&lt;=28/02/2026")</f>
        <v>0</v>
      </c>
      <c r="N135" s="40">
        <f>M135/M$3</f>
        <v>0</v>
      </c>
      <c r="O135" s="40">
        <f>IFERROR(M135/J135-1,0)</f>
        <v>0</v>
      </c>
      <c r="P135" s="39">
        <f>SUMIFS('C.Pagar'!$G$2:$G$4509,'C.Pagar'!$D$2:$D$4509,TRIM($A135),'C.Pagar'!$K$2:$K$4509,"&gt;=01/03/2026",'C.Pagar'!$K$2:$K$4509,"&lt;=31/03/2026")</f>
        <v>0</v>
      </c>
      <c r="Q135" s="40">
        <f>P135/P$3</f>
        <v>0</v>
      </c>
      <c r="R135" s="40">
        <f>IFERROR(P135/M135-1,0)</f>
        <v>0</v>
      </c>
      <c r="S135" s="39">
        <f>SUMIFS('C.Pagar'!$G$2:$G$4509,'C.Pagar'!$D$2:$D$4509,TRIM($A135),'C.Pagar'!$K$2:$K$4509,"&gt;=01/04/2026",'C.Pagar'!$K$2:$K$4509,"&lt;=30/04/2026")</f>
        <v>0</v>
      </c>
      <c r="T135" s="40">
        <f>S135/S$3</f>
        <v>0</v>
      </c>
      <c r="U135" s="40">
        <f>IFERROR(S135/P135-1,0)</f>
        <v>0</v>
      </c>
    </row>
    <row r="136" spans="1:21" s="8" customFormat="1" x14ac:dyDescent="0.3">
      <c r="A136" s="30" t="s">
        <v>1692</v>
      </c>
      <c r="B136" s="31">
        <f>B132-B133</f>
        <v>29795.229999999923</v>
      </c>
      <c r="C136" s="69">
        <f>B136/B$3</f>
        <v>2.6529096562619505E-2</v>
      </c>
      <c r="D136" s="31">
        <f>D132-D133</f>
        <v>-116031.7099999997</v>
      </c>
      <c r="E136" s="32">
        <f>D136/D$3</f>
        <v>-0.11732339007567516</v>
      </c>
      <c r="F136" s="32">
        <f>IFERROR(D136/B136-1,0)</f>
        <v>-4.8943048937699087</v>
      </c>
      <c r="G136" s="31">
        <f>G132-G133</f>
        <v>3007.5700000004726</v>
      </c>
      <c r="H136" s="32">
        <f>G136/G$3</f>
        <v>2.7554385295857011E-3</v>
      </c>
      <c r="I136" s="32">
        <f>IFERROR(G136/D136-1,0)</f>
        <v>-1.0259202419752367</v>
      </c>
      <c r="J136" s="200">
        <f>J132-J133</f>
        <v>-176334.91999999984</v>
      </c>
      <c r="K136" s="32">
        <f>J136/J$3</f>
        <v>-0.18698912860290637</v>
      </c>
      <c r="L136" s="32">
        <f>IFERROR(J136/G136-1,0)</f>
        <v>-59.630362718065456</v>
      </c>
      <c r="M136" s="200">
        <f>M132-M133</f>
        <v>-186753.85999999981</v>
      </c>
      <c r="N136" s="32">
        <f>M136/M$3</f>
        <v>-0.26997520428388205</v>
      </c>
      <c r="O136" s="32">
        <f>IFERROR(M136/J136-1,0)</f>
        <v>5.9086084594021315E-2</v>
      </c>
      <c r="P136" s="200">
        <f>P132-P133</f>
        <v>99853.730000000214</v>
      </c>
      <c r="Q136" s="32">
        <f>P136/P$3</f>
        <v>9.6373070086750681E-2</v>
      </c>
      <c r="R136" s="32">
        <f>IFERROR(P136/M136-1,0)</f>
        <v>-1.5346809431408825</v>
      </c>
      <c r="S136" s="200">
        <f>S132-S133</f>
        <v>121850.37999999989</v>
      </c>
      <c r="T136" s="32">
        <f>S136/S$3</f>
        <v>0.13788654366191783</v>
      </c>
      <c r="U136" s="32">
        <f>IFERROR(S136/P136-1,0)</f>
        <v>0.22028871630533597</v>
      </c>
    </row>
    <row r="137" spans="1:21" x14ac:dyDescent="0.3">
      <c r="A137" s="33" t="s">
        <v>1693</v>
      </c>
      <c r="B137" s="35">
        <f>SUM(B138)</f>
        <v>0</v>
      </c>
      <c r="C137" s="71">
        <f t="shared" si="222"/>
        <v>0</v>
      </c>
      <c r="D137" s="35">
        <f>SUM(D138)</f>
        <v>63000</v>
      </c>
      <c r="E137" s="36">
        <f t="shared" si="177"/>
        <v>6.3701324187737593E-2</v>
      </c>
      <c r="F137" s="36">
        <f t="shared" si="174"/>
        <v>0</v>
      </c>
      <c r="G137" s="35">
        <f>SUM(G138)</f>
        <v>105000</v>
      </c>
      <c r="H137" s="36">
        <f t="shared" si="223"/>
        <v>9.6197609899837125E-2</v>
      </c>
      <c r="I137" s="36">
        <f t="shared" si="158"/>
        <v>0.66666666666666674</v>
      </c>
      <c r="J137" s="35">
        <f>SUM(J138)</f>
        <v>0</v>
      </c>
      <c r="K137" s="36">
        <f t="shared" ref="K137:K155" si="224">J137/J$3</f>
        <v>0</v>
      </c>
      <c r="L137" s="36">
        <f t="shared" ref="L137:L155" si="225">IFERROR(J137/G137-1,0)</f>
        <v>-1</v>
      </c>
      <c r="M137" s="35">
        <f>SUM(M138)</f>
        <v>0</v>
      </c>
      <c r="N137" s="36">
        <f t="shared" ref="N137:N155" si="226">M137/M$3</f>
        <v>0</v>
      </c>
      <c r="O137" s="36">
        <f t="shared" ref="O137:O155" si="227">IFERROR(M137/J137-1,0)</f>
        <v>0</v>
      </c>
      <c r="P137" s="35">
        <f>SUM(P138)</f>
        <v>0</v>
      </c>
      <c r="Q137" s="36">
        <f t="shared" ref="Q137:Q155" si="228">P137/P$3</f>
        <v>0</v>
      </c>
      <c r="R137" s="36">
        <f t="shared" ref="R137:R155" si="229">IFERROR(P137/M137-1,0)</f>
        <v>0</v>
      </c>
      <c r="S137" s="35">
        <f>SUM(S138)</f>
        <v>0</v>
      </c>
      <c r="T137" s="36">
        <f t="shared" ref="T137:T155" si="230">S137/S$3</f>
        <v>0</v>
      </c>
      <c r="U137" s="36">
        <f t="shared" ref="U137:U155" si="231">IFERROR(S137/P137-1,0)</f>
        <v>0</v>
      </c>
    </row>
    <row r="138" spans="1:21" x14ac:dyDescent="0.3">
      <c r="A138" s="37" t="s">
        <v>1823</v>
      </c>
      <c r="B138" s="39">
        <f>SUMIFS('C.Pagar'!G$2:G$4509,'C.Pagar'!D$2:D$4509,TRIM(A138),'C.Pagar'!K$2:K$4509,"&gt;=01/10/2025",'C.Pagar'!K$2:K$4509,"&lt;=31/10/2025")</f>
        <v>0</v>
      </c>
      <c r="C138" s="70">
        <f t="shared" si="222"/>
        <v>0</v>
      </c>
      <c r="D138" s="39">
        <f>SUMIFS('C.Pagar'!G$2:G$4509,'C.Pagar'!D$2:D$4509,TRIM(A138),'C.Pagar'!K$2:K$4509,"&gt;=01/11/2025",'C.Pagar'!K$2:K$4509,"&lt;=30/11/2025")</f>
        <v>63000</v>
      </c>
      <c r="E138" s="40">
        <f t="shared" si="177"/>
        <v>6.3701324187737593E-2</v>
      </c>
      <c r="F138" s="40">
        <f t="shared" si="174"/>
        <v>0</v>
      </c>
      <c r="G138" s="39">
        <f>SUMIFS('C.Pagar'!G$2:G$4509,'C.Pagar'!D$2:D$4509,TRIM(A138),'C.Pagar'!K$2:K$4509,"&gt;=01/12/2025",'C.Pagar'!K$2:K$4509,"&lt;=31/12/2025")</f>
        <v>105000</v>
      </c>
      <c r="H138" s="40">
        <f t="shared" si="223"/>
        <v>9.6197609899837125E-2</v>
      </c>
      <c r="I138" s="40">
        <f t="shared" si="158"/>
        <v>0.66666666666666674</v>
      </c>
      <c r="J138" s="39">
        <f>SUMIFS('C.Pagar'!G$2:G$4509,'C.Pagar'!D$2:D$4509,TRIM(A138),'C.Pagar'!K$2:K$4509,"&gt;=01/01/2026",'C.Pagar'!K$2:K$4509,"&lt;=31/01/2026")</f>
        <v>0</v>
      </c>
      <c r="K138" s="40">
        <f t="shared" si="224"/>
        <v>0</v>
      </c>
      <c r="L138" s="40">
        <f t="shared" si="225"/>
        <v>-1</v>
      </c>
      <c r="M138" s="39">
        <f>SUMIFS('C.Pagar'!$G$2:$G$4509,'C.Pagar'!$D$2:$D$4509,TRIM($A138),'C.Pagar'!$K$2:$K$4509,"&gt;=01/02/2026",'C.Pagar'!$K$2:$K$4509,"&lt;=28/02/2026")</f>
        <v>0</v>
      </c>
      <c r="N138" s="40">
        <f t="shared" si="226"/>
        <v>0</v>
      </c>
      <c r="O138" s="40">
        <f t="shared" si="227"/>
        <v>0</v>
      </c>
      <c r="P138" s="39">
        <f>SUMIFS('C.Pagar'!$G$2:$G$4509,'C.Pagar'!$D$2:$D$4509,TRIM($A138),'C.Pagar'!$K$2:$K$4509,"&gt;=01/03/2026",'C.Pagar'!$K$2:$K$4509,"&lt;=31/03/2026")</f>
        <v>0</v>
      </c>
      <c r="Q138" s="40">
        <f t="shared" si="228"/>
        <v>0</v>
      </c>
      <c r="R138" s="40">
        <f t="shared" si="229"/>
        <v>0</v>
      </c>
      <c r="S138" s="39">
        <f>SUMIFS('C.Pagar'!$G$2:$G$4509,'C.Pagar'!$D$2:$D$4509,TRIM($A138),'C.Pagar'!$K$2:$K$4509,"&gt;=01/04/2026",'C.Pagar'!$K$2:$K$4509,"&lt;=30/04/2026")</f>
        <v>0</v>
      </c>
      <c r="T138" s="40">
        <f t="shared" si="230"/>
        <v>0</v>
      </c>
      <c r="U138" s="40">
        <f t="shared" si="231"/>
        <v>0</v>
      </c>
    </row>
    <row r="139" spans="1:21" x14ac:dyDescent="0.3">
      <c r="A139" s="33" t="s">
        <v>1694</v>
      </c>
      <c r="B139" s="35">
        <f>SUM(B140:B144)</f>
        <v>0</v>
      </c>
      <c r="C139" s="71">
        <f t="shared" si="222"/>
        <v>0</v>
      </c>
      <c r="D139" s="35">
        <f>SUM(D140:D144)</f>
        <v>145000</v>
      </c>
      <c r="E139" s="36">
        <f t="shared" si="177"/>
        <v>0.14661415884479287</v>
      </c>
      <c r="F139" s="36">
        <f t="shared" si="174"/>
        <v>0</v>
      </c>
      <c r="G139" s="35">
        <f>SUM(G140:G144)</f>
        <v>206890</v>
      </c>
      <c r="H139" s="36">
        <f t="shared" si="223"/>
        <v>0.18954593821121241</v>
      </c>
      <c r="I139" s="36">
        <f t="shared" si="158"/>
        <v>0.42682758620689665</v>
      </c>
      <c r="J139" s="35">
        <f>SUM(J140:J144)</f>
        <v>125000</v>
      </c>
      <c r="K139" s="36">
        <f t="shared" si="224"/>
        <v>0.1325525373837656</v>
      </c>
      <c r="L139" s="36">
        <f t="shared" si="225"/>
        <v>-0.39581420078302476</v>
      </c>
      <c r="M139" s="35">
        <f>SUM(M140:M144)</f>
        <v>0</v>
      </c>
      <c r="N139" s="36">
        <f t="shared" si="226"/>
        <v>0</v>
      </c>
      <c r="O139" s="36">
        <f t="shared" si="227"/>
        <v>-1</v>
      </c>
      <c r="P139" s="35">
        <f>SUM(P140:P144)</f>
        <v>0</v>
      </c>
      <c r="Q139" s="36">
        <f t="shared" si="228"/>
        <v>0</v>
      </c>
      <c r="R139" s="36">
        <f t="shared" si="229"/>
        <v>0</v>
      </c>
      <c r="S139" s="35">
        <f>SUM(S140:S144)</f>
        <v>0</v>
      </c>
      <c r="T139" s="36">
        <f t="shared" si="230"/>
        <v>0</v>
      </c>
      <c r="U139" s="36">
        <f t="shared" si="231"/>
        <v>0</v>
      </c>
    </row>
    <row r="140" spans="1:21" x14ac:dyDescent="0.3">
      <c r="A140" s="37" t="s">
        <v>1824</v>
      </c>
      <c r="B140" s="39">
        <v>0</v>
      </c>
      <c r="C140" s="70">
        <f t="shared" si="222"/>
        <v>0</v>
      </c>
      <c r="D140" s="39">
        <v>0</v>
      </c>
      <c r="E140" s="40">
        <f t="shared" si="177"/>
        <v>0</v>
      </c>
      <c r="F140" s="40">
        <f t="shared" si="174"/>
        <v>0</v>
      </c>
      <c r="G140" s="39">
        <f>SUMIFS('C.Pagar'!G$2:G$4509,'C.Pagar'!D$2:D$4509,TRIM(A140),'C.Pagar'!K$2:K$4509,"&gt;=01/12/2025",'C.Pagar'!K$2:K$4509,"&lt;=31/12/2025")</f>
        <v>0</v>
      </c>
      <c r="H140" s="40">
        <f t="shared" si="223"/>
        <v>0</v>
      </c>
      <c r="I140" s="40">
        <f t="shared" si="158"/>
        <v>0</v>
      </c>
      <c r="J140" s="39">
        <f>SUMIFS('C.Pagar'!G$2:G$4509,'C.Pagar'!D$2:D$4509,TRIM(A140),'C.Pagar'!K$2:K$4509,"&gt;=01/01/2026",'C.Pagar'!K$2:K$4509,"&lt;=31/01/2026")</f>
        <v>0</v>
      </c>
      <c r="K140" s="40">
        <f t="shared" si="224"/>
        <v>0</v>
      </c>
      <c r="L140" s="40">
        <f t="shared" si="225"/>
        <v>0</v>
      </c>
      <c r="M140" s="39">
        <f>SUMIFS('C.Pagar'!$G$2:$G$4509,'C.Pagar'!$D$2:$D$4509,TRIM($A140),'C.Pagar'!$K$2:$K$4509,"&gt;=01/02/2026",'C.Pagar'!$K$2:$K$4509,"&lt;=28/02/2026")</f>
        <v>0</v>
      </c>
      <c r="N140" s="40">
        <f t="shared" si="226"/>
        <v>0</v>
      </c>
      <c r="O140" s="40">
        <f t="shared" si="227"/>
        <v>0</v>
      </c>
      <c r="P140" s="39">
        <f>SUMIFS('C.Pagar'!$G$2:$G$4509,'C.Pagar'!$D$2:$D$4509,TRIM($A140),'C.Pagar'!$K$2:$K$4509,"&gt;=01/03/2026",'C.Pagar'!$K$2:$K$4509,"&lt;=31/03/2026")</f>
        <v>0</v>
      </c>
      <c r="Q140" s="40">
        <f t="shared" si="228"/>
        <v>0</v>
      </c>
      <c r="R140" s="40">
        <f t="shared" si="229"/>
        <v>0</v>
      </c>
      <c r="S140" s="39">
        <f>SUMIFS('C.Pagar'!$G$2:$G$4509,'C.Pagar'!$D$2:$D$4509,TRIM($A140),'C.Pagar'!$K$2:$K$4509,"&gt;=01/04/2026",'C.Pagar'!$K$2:$K$4509,"&lt;=30/04/2026")</f>
        <v>0</v>
      </c>
      <c r="T140" s="40">
        <f t="shared" si="230"/>
        <v>0</v>
      </c>
      <c r="U140" s="40">
        <f t="shared" si="231"/>
        <v>0</v>
      </c>
    </row>
    <row r="141" spans="1:21" x14ac:dyDescent="0.3">
      <c r="A141" s="37" t="s">
        <v>1825</v>
      </c>
      <c r="B141" s="39">
        <v>0</v>
      </c>
      <c r="C141" s="70">
        <f t="shared" si="222"/>
        <v>0</v>
      </c>
      <c r="D141" s="39">
        <f>37000+25000+63000+20000</f>
        <v>145000</v>
      </c>
      <c r="E141" s="40">
        <f t="shared" si="177"/>
        <v>0.14661415884479287</v>
      </c>
      <c r="F141" s="40">
        <f t="shared" si="174"/>
        <v>0</v>
      </c>
      <c r="G141" s="39">
        <f>25000+74890</f>
        <v>99890</v>
      </c>
      <c r="H141" s="40">
        <f t="shared" si="223"/>
        <v>9.1515992884711725E-2</v>
      </c>
      <c r="I141" s="40">
        <f t="shared" si="158"/>
        <v>-0.31110344827586212</v>
      </c>
      <c r="J141" s="39">
        <f>SUMIFS('C.Pagar'!G$2:G$4509,'C.Pagar'!D$2:D$4509,TRIM(A141),'C.Pagar'!K$2:K$4509,"&gt;=01/01/2026",'C.Pagar'!K$2:K$4509,"&lt;=31/01/2026")</f>
        <v>0</v>
      </c>
      <c r="K141" s="40">
        <f t="shared" si="224"/>
        <v>0</v>
      </c>
      <c r="L141" s="40">
        <f t="shared" si="225"/>
        <v>-1</v>
      </c>
      <c r="M141" s="39">
        <f>SUMIFS('C.Pagar'!$G$2:$G$4509,'C.Pagar'!$D$2:$D$4509,TRIM($A141),'C.Pagar'!$K$2:$K$4509,"&gt;=01/02/2026",'C.Pagar'!$K$2:$K$4509,"&lt;=28/02/2026")</f>
        <v>0</v>
      </c>
      <c r="N141" s="40">
        <f t="shared" si="226"/>
        <v>0</v>
      </c>
      <c r="O141" s="40">
        <f t="shared" si="227"/>
        <v>0</v>
      </c>
      <c r="P141" s="39">
        <f>SUMIFS('C.Pagar'!$G$2:$G$4509,'C.Pagar'!$D$2:$D$4509,TRIM($A141),'C.Pagar'!$K$2:$K$4509,"&gt;=01/03/2026",'C.Pagar'!$K$2:$K$4509,"&lt;=31/03/2026")</f>
        <v>0</v>
      </c>
      <c r="Q141" s="40">
        <f t="shared" si="228"/>
        <v>0</v>
      </c>
      <c r="R141" s="40">
        <f t="shared" si="229"/>
        <v>0</v>
      </c>
      <c r="S141" s="39">
        <f>SUMIFS('C.Pagar'!$G$2:$G$4509,'C.Pagar'!$D$2:$D$4509,TRIM($A141),'C.Pagar'!$K$2:$K$4509,"&gt;=01/04/2026",'C.Pagar'!$K$2:$K$4509,"&lt;=30/04/2026")</f>
        <v>0</v>
      </c>
      <c r="T141" s="40">
        <f t="shared" si="230"/>
        <v>0</v>
      </c>
      <c r="U141" s="40">
        <f t="shared" si="231"/>
        <v>0</v>
      </c>
    </row>
    <row r="142" spans="1:21" x14ac:dyDescent="0.3">
      <c r="A142" s="37" t="s">
        <v>1826</v>
      </c>
      <c r="B142" s="39">
        <v>0</v>
      </c>
      <c r="C142" s="70">
        <f t="shared" si="222"/>
        <v>0</v>
      </c>
      <c r="D142" s="39">
        <v>0</v>
      </c>
      <c r="E142" s="40">
        <f t="shared" si="177"/>
        <v>0</v>
      </c>
      <c r="F142" s="40">
        <f t="shared" si="174"/>
        <v>0</v>
      </c>
      <c r="G142" s="39">
        <v>22000</v>
      </c>
      <c r="H142" s="40">
        <f t="shared" si="223"/>
        <v>2.0155689693299207E-2</v>
      </c>
      <c r="I142" s="40">
        <f t="shared" si="158"/>
        <v>0</v>
      </c>
      <c r="J142" s="39">
        <f>SUMIFS('C.Pagar'!G$2:G$4509,'C.Pagar'!D$2:D$4509,TRIM(A142),'C.Pagar'!K$2:K$4509,"&gt;=01/01/2026",'C.Pagar'!K$2:K$4509,"&lt;=31/01/2026")</f>
        <v>0</v>
      </c>
      <c r="K142" s="40">
        <f t="shared" si="224"/>
        <v>0</v>
      </c>
      <c r="L142" s="40">
        <f t="shared" si="225"/>
        <v>-1</v>
      </c>
      <c r="M142" s="39">
        <f>SUMIFS('C.Pagar'!$G$2:$G$4509,'C.Pagar'!$D$2:$D$4509,TRIM($A142),'C.Pagar'!$K$2:$K$4509,"&gt;=01/02/2026",'C.Pagar'!$K$2:$K$4509,"&lt;=28/02/2026")</f>
        <v>0</v>
      </c>
      <c r="N142" s="40">
        <f t="shared" si="226"/>
        <v>0</v>
      </c>
      <c r="O142" s="40">
        <f t="shared" si="227"/>
        <v>0</v>
      </c>
      <c r="P142" s="39">
        <f>SUMIFS('C.Pagar'!$G$2:$G$4509,'C.Pagar'!$D$2:$D$4509,TRIM($A142),'C.Pagar'!$K$2:$K$4509,"&gt;=01/03/2026",'C.Pagar'!$K$2:$K$4509,"&lt;=31/03/2026")</f>
        <v>0</v>
      </c>
      <c r="Q142" s="40">
        <f t="shared" si="228"/>
        <v>0</v>
      </c>
      <c r="R142" s="40">
        <f t="shared" si="229"/>
        <v>0</v>
      </c>
      <c r="S142" s="39">
        <f>SUMIFS('C.Pagar'!$G$2:$G$4509,'C.Pagar'!$D$2:$D$4509,TRIM($A142),'C.Pagar'!$K$2:$K$4509,"&gt;=01/04/2026",'C.Pagar'!$K$2:$K$4509,"&lt;=30/04/2026")</f>
        <v>0</v>
      </c>
      <c r="T142" s="40">
        <f t="shared" si="230"/>
        <v>0</v>
      </c>
      <c r="U142" s="40">
        <f t="shared" si="231"/>
        <v>0</v>
      </c>
    </row>
    <row r="143" spans="1:21" x14ac:dyDescent="0.3">
      <c r="A143" s="37" t="s">
        <v>1827</v>
      </c>
      <c r="B143" s="39">
        <v>0</v>
      </c>
      <c r="C143" s="70">
        <f t="shared" si="222"/>
        <v>0</v>
      </c>
      <c r="D143" s="39">
        <v>0</v>
      </c>
      <c r="E143" s="40">
        <f t="shared" si="177"/>
        <v>0</v>
      </c>
      <c r="F143" s="40">
        <f t="shared" si="174"/>
        <v>0</v>
      </c>
      <c r="G143" s="39">
        <v>85000</v>
      </c>
      <c r="H143" s="40">
        <f t="shared" si="223"/>
        <v>7.7874255633201481E-2</v>
      </c>
      <c r="I143" s="40">
        <f t="shared" si="158"/>
        <v>0</v>
      </c>
      <c r="J143" s="39">
        <v>125000</v>
      </c>
      <c r="K143" s="40">
        <f t="shared" si="224"/>
        <v>0.1325525373837656</v>
      </c>
      <c r="L143" s="40">
        <f t="shared" si="225"/>
        <v>0.47058823529411775</v>
      </c>
      <c r="M143" s="39">
        <f>SUMIFS('C.Pagar'!$G$2:$G$4509,'C.Pagar'!$D$2:$D$4509,TRIM($A143),'C.Pagar'!$K$2:$K$4509,"&gt;=01/02/2026",'C.Pagar'!$K$2:$K$4509,"&lt;=28/02/2026")</f>
        <v>0</v>
      </c>
      <c r="N143" s="40">
        <f t="shared" si="226"/>
        <v>0</v>
      </c>
      <c r="O143" s="40">
        <f t="shared" si="227"/>
        <v>-1</v>
      </c>
      <c r="P143" s="39">
        <f>SUMIFS('C.Pagar'!$G$2:$G$4509,'C.Pagar'!$D$2:$D$4509,TRIM($A143),'C.Pagar'!$K$2:$K$4509,"&gt;=01/03/2026",'C.Pagar'!$K$2:$K$4509,"&lt;=31/03/2026")</f>
        <v>0</v>
      </c>
      <c r="Q143" s="40">
        <f t="shared" si="228"/>
        <v>0</v>
      </c>
      <c r="R143" s="40">
        <f t="shared" si="229"/>
        <v>0</v>
      </c>
      <c r="S143" s="39">
        <f>SUMIFS('C.Pagar'!$G$2:$G$4509,'C.Pagar'!$D$2:$D$4509,TRIM($A143),'C.Pagar'!$K$2:$K$4509,"&gt;=01/04/2026",'C.Pagar'!$K$2:$K$4509,"&lt;=30/04/2026")</f>
        <v>0</v>
      </c>
      <c r="T143" s="40">
        <f t="shared" si="230"/>
        <v>0</v>
      </c>
      <c r="U143" s="40">
        <f t="shared" si="231"/>
        <v>0</v>
      </c>
    </row>
    <row r="144" spans="1:21" x14ac:dyDescent="0.3">
      <c r="A144" s="37" t="s">
        <v>1828</v>
      </c>
      <c r="B144" s="39">
        <v>0</v>
      </c>
      <c r="C144" s="70">
        <f t="shared" si="222"/>
        <v>0</v>
      </c>
      <c r="D144" s="39">
        <v>0</v>
      </c>
      <c r="E144" s="40">
        <f t="shared" si="177"/>
        <v>0</v>
      </c>
      <c r="F144" s="40">
        <f t="shared" si="174"/>
        <v>0</v>
      </c>
      <c r="G144" s="39">
        <f>SUMIFS('C.Pagar'!G$2:G$4509,'C.Pagar'!D$2:D$4509,TRIM(A144),'C.Pagar'!K$2:K$4509,"&gt;=01/12/2025",'C.Pagar'!K$2:K$4509,"&lt;=31/12/2025")</f>
        <v>0</v>
      </c>
      <c r="H144" s="40">
        <f t="shared" si="223"/>
        <v>0</v>
      </c>
      <c r="I144" s="40">
        <f t="shared" si="158"/>
        <v>0</v>
      </c>
      <c r="J144" s="39">
        <f>SUMIFS('C.Pagar'!G$2:G$4509,'C.Pagar'!D$2:D$4509,TRIM(A144),'C.Pagar'!K$2:K$4509,"&gt;=01/01/2026",'C.Pagar'!K$2:K$4509,"&lt;=31/01/2026")</f>
        <v>0</v>
      </c>
      <c r="K144" s="40">
        <f t="shared" si="224"/>
        <v>0</v>
      </c>
      <c r="L144" s="40">
        <f t="shared" si="225"/>
        <v>0</v>
      </c>
      <c r="M144" s="39">
        <f>SUMIFS('C.Pagar'!$G$2:$G$4509,'C.Pagar'!$D$2:$D$4509,TRIM($A144),'C.Pagar'!$K$2:$K$4509,"&gt;=01/02/2026",'C.Pagar'!$K$2:$K$4509,"&lt;=28/02/2026")</f>
        <v>0</v>
      </c>
      <c r="N144" s="40">
        <f t="shared" si="226"/>
        <v>0</v>
      </c>
      <c r="O144" s="40">
        <f t="shared" si="227"/>
        <v>0</v>
      </c>
      <c r="P144" s="39">
        <f>SUMIFS('C.Pagar'!$G$2:$G$4509,'C.Pagar'!$D$2:$D$4509,TRIM($A144),'C.Pagar'!$K$2:$K$4509,"&gt;=01/03/2026",'C.Pagar'!$K$2:$K$4509,"&lt;=31/03/2026")</f>
        <v>0</v>
      </c>
      <c r="Q144" s="40">
        <f t="shared" si="228"/>
        <v>0</v>
      </c>
      <c r="R144" s="40">
        <f t="shared" si="229"/>
        <v>0</v>
      </c>
      <c r="S144" s="39">
        <f>SUMIFS('C.Pagar'!$G$2:$G$4509,'C.Pagar'!$D$2:$D$4509,TRIM($A144),'C.Pagar'!$K$2:$K$4509,"&gt;=01/04/2026",'C.Pagar'!$K$2:$K$4509,"&lt;=30/04/2026")</f>
        <v>0</v>
      </c>
      <c r="T144" s="40">
        <f t="shared" si="230"/>
        <v>0</v>
      </c>
      <c r="U144" s="40">
        <f t="shared" si="231"/>
        <v>0</v>
      </c>
    </row>
    <row r="145" spans="1:21" s="8" customFormat="1" x14ac:dyDescent="0.3">
      <c r="A145" s="30" t="s">
        <v>1695</v>
      </c>
      <c r="B145" s="31">
        <f>B136-B137+B139</f>
        <v>29795.229999999923</v>
      </c>
      <c r="C145" s="69">
        <f t="shared" si="222"/>
        <v>2.6529096562619505E-2</v>
      </c>
      <c r="D145" s="200">
        <f>D136-D137+D139</f>
        <v>-34031.709999999701</v>
      </c>
      <c r="E145" s="32">
        <f t="shared" si="177"/>
        <v>-3.4410555418619877E-2</v>
      </c>
      <c r="F145" s="32">
        <f t="shared" si="174"/>
        <v>-2.1421865177748178</v>
      </c>
      <c r="G145" s="31">
        <f>G136-G137+G139</f>
        <v>104897.57000000047</v>
      </c>
      <c r="H145" s="32">
        <f t="shared" si="223"/>
        <v>9.6103766840960989E-2</v>
      </c>
      <c r="I145" s="32">
        <f t="shared" si="158"/>
        <v>-4.0823479043516002</v>
      </c>
      <c r="J145" s="200">
        <f>J136-J137+J139</f>
        <v>-51334.919999999838</v>
      </c>
      <c r="K145" s="32">
        <f t="shared" si="224"/>
        <v>-5.4436591219140761E-2</v>
      </c>
      <c r="L145" s="32">
        <f t="shared" si="225"/>
        <v>-1.4893814032107664</v>
      </c>
      <c r="M145" s="200">
        <f>M136-M137+M139</f>
        <v>-186753.85999999981</v>
      </c>
      <c r="N145" s="32">
        <f t="shared" si="226"/>
        <v>-0.26997520428388205</v>
      </c>
      <c r="O145" s="32">
        <f t="shared" si="227"/>
        <v>2.6379497620722971</v>
      </c>
      <c r="P145" s="200">
        <f>P136-P137+P139</f>
        <v>99853.730000000214</v>
      </c>
      <c r="Q145" s="32">
        <f t="shared" si="228"/>
        <v>9.6373070086750681E-2</v>
      </c>
      <c r="R145" s="32">
        <f t="shared" si="229"/>
        <v>-1.5346809431408825</v>
      </c>
      <c r="S145" s="200">
        <f>S136-S137+S139</f>
        <v>121850.37999999989</v>
      </c>
      <c r="T145" s="32">
        <f t="shared" si="230"/>
        <v>0.13788654366191783</v>
      </c>
      <c r="U145" s="32">
        <f t="shared" si="231"/>
        <v>0.22028871630533597</v>
      </c>
    </row>
    <row r="146" spans="1:21" x14ac:dyDescent="0.3">
      <c r="A146" s="33" t="s">
        <v>1696</v>
      </c>
      <c r="B146" s="35">
        <f>SUM(B147:B154)</f>
        <v>19320.830000000002</v>
      </c>
      <c r="C146" s="71">
        <f t="shared" si="222"/>
        <v>1.7202893373870824E-2</v>
      </c>
      <c r="D146" s="35">
        <f>SUM(D147:D154)</f>
        <v>15970.83</v>
      </c>
      <c r="E146" s="36">
        <f t="shared" si="177"/>
        <v>1.614861935519437E-2</v>
      </c>
      <c r="F146" s="36">
        <f t="shared" si="174"/>
        <v>-0.17338799627138179</v>
      </c>
      <c r="G146" s="35">
        <f>SUM(G147:G154)</f>
        <v>16822.599999999999</v>
      </c>
      <c r="H146" s="36">
        <f t="shared" si="223"/>
        <v>1.5412322974295237E-2</v>
      </c>
      <c r="I146" s="36">
        <f t="shared" si="158"/>
        <v>5.3332857465767214E-2</v>
      </c>
      <c r="J146" s="35">
        <f>SUM(J147:J154)</f>
        <v>184.17</v>
      </c>
      <c r="K146" s="36">
        <f t="shared" si="224"/>
        <v>1.9529760647974488E-4</v>
      </c>
      <c r="L146" s="36">
        <f t="shared" si="225"/>
        <v>-0.98905222736081222</v>
      </c>
      <c r="M146" s="35">
        <f>SUM(M147:M154)</f>
        <v>184.12</v>
      </c>
      <c r="N146" s="36">
        <f t="shared" si="226"/>
        <v>2.6616764233279257E-4</v>
      </c>
      <c r="O146" s="36">
        <f t="shared" si="227"/>
        <v>-2.7148829885426107E-4</v>
      </c>
      <c r="P146" s="35">
        <f>SUM(P147:P154)</f>
        <v>32125.8</v>
      </c>
      <c r="Q146" s="36">
        <f t="shared" si="228"/>
        <v>3.1005972185444933E-2</v>
      </c>
      <c r="R146" s="36">
        <f t="shared" si="229"/>
        <v>173.48294590484466</v>
      </c>
      <c r="S146" s="35">
        <f>SUM(S147:S154)</f>
        <v>16797.54</v>
      </c>
      <c r="T146" s="36">
        <f t="shared" si="230"/>
        <v>1.9008186372687662E-2</v>
      </c>
      <c r="U146" s="36">
        <f t="shared" si="231"/>
        <v>-0.47713239825934295</v>
      </c>
    </row>
    <row r="147" spans="1:21" x14ac:dyDescent="0.3">
      <c r="A147" s="38" t="s">
        <v>1829</v>
      </c>
      <c r="B147" s="39">
        <f>SUMIFS('C.Pagar'!G$2:G$4509,'C.Pagar'!D$2:D$4509,TRIM(A147),'C.Pagar'!K$2:K$4509,"&gt;=01/10/2025",'C.Pagar'!K$2:K$4509,"&lt;=31/10/2025")</f>
        <v>15970.83</v>
      </c>
      <c r="C147" s="70">
        <f t="shared" si="222"/>
        <v>1.4220118161705132E-2</v>
      </c>
      <c r="D147" s="39">
        <f>SUMIFS('C.Pagar'!G$2:G$4509,'C.Pagar'!D$2:D$4509,TRIM(A147),'C.Pagar'!K$2:K$4509,"&gt;=01/11/2025",'C.Pagar'!K$2:K$4509,"&lt;=30/11/2025")</f>
        <v>15970.83</v>
      </c>
      <c r="E147" s="40">
        <f t="shared" si="177"/>
        <v>1.614861935519437E-2</v>
      </c>
      <c r="F147" s="40">
        <f t="shared" si="174"/>
        <v>0</v>
      </c>
      <c r="G147" s="39">
        <f>SUMIFS('C.Pagar'!G$2:G$4509,'C.Pagar'!D$2:D$4509,TRIM(A147),'C.Pagar'!K$2:K$4509,"&gt;=01/12/2025",'C.Pagar'!K$2:K$4509,"&lt;=31/12/2025")</f>
        <v>16822.599999999999</v>
      </c>
      <c r="H147" s="40">
        <f t="shared" si="223"/>
        <v>1.5412322974295237E-2</v>
      </c>
      <c r="I147" s="40">
        <f t="shared" si="158"/>
        <v>5.3332857465767214E-2</v>
      </c>
      <c r="J147" s="39">
        <f>SUMIFS('C.Pagar'!G$2:G$4509,'C.Pagar'!D$2:D$4509,TRIM(A147),'C.Pagar'!K$2:K$4509,"&gt;=01/01/2026",'C.Pagar'!K$2:K$4509,"&lt;=31/01/2026")</f>
        <v>0</v>
      </c>
      <c r="K147" s="40">
        <f t="shared" si="224"/>
        <v>0</v>
      </c>
      <c r="L147" s="40">
        <f t="shared" si="225"/>
        <v>-1</v>
      </c>
      <c r="M147" s="39">
        <f>SUMIFS('C.Pagar'!$G$2:$G$4509,'C.Pagar'!$D$2:$D$4509,TRIM($A147),'C.Pagar'!$K$2:$K$4509,"&gt;=01/02/2026",'C.Pagar'!$K$2:$K$4509,"&lt;=28/02/2026")</f>
        <v>0</v>
      </c>
      <c r="N147" s="40">
        <f t="shared" si="226"/>
        <v>0</v>
      </c>
      <c r="O147" s="40">
        <f t="shared" si="227"/>
        <v>0</v>
      </c>
      <c r="P147" s="39">
        <f>SUMIFS('C.Pagar'!$G$2:$G$4509,'C.Pagar'!$D$2:$D$4509,TRIM($A147),'C.Pagar'!$K$2:$K$4509,"&gt;=01/03/2026",'C.Pagar'!$K$2:$K$4509,"&lt;=31/03/2026")</f>
        <v>31941.68</v>
      </c>
      <c r="Q147" s="40">
        <f t="shared" si="228"/>
        <v>3.0828270164054521E-2</v>
      </c>
      <c r="R147" s="40">
        <f t="shared" si="229"/>
        <v>0</v>
      </c>
      <c r="S147" s="39">
        <f>SUMIFS('C.Pagar'!$G$2:$G$4509,'C.Pagar'!$D$2:$D$4509,TRIM($A147),'C.Pagar'!$K$2:$K$4509,"&gt;=01/04/2026",'C.Pagar'!$K$2:$K$4509,"&lt;=30/04/2026")</f>
        <v>15970.84</v>
      </c>
      <c r="T147" s="40">
        <f t="shared" si="230"/>
        <v>1.8072688217939951E-2</v>
      </c>
      <c r="U147" s="40">
        <f t="shared" si="231"/>
        <v>-0.5</v>
      </c>
    </row>
    <row r="148" spans="1:21" x14ac:dyDescent="0.3">
      <c r="A148" s="38" t="s">
        <v>1830</v>
      </c>
      <c r="B148" s="39">
        <f>SUMIFS('C.Pagar'!G$2:G$4509,'C.Pagar'!D$2:D$4509,TRIM(A148),'C.Pagar'!K$2:K$4509,"&gt;=01/10/2025",'C.Pagar'!K$2:K$4509,"&lt;=31/10/2025")</f>
        <v>0</v>
      </c>
      <c r="C148" s="70">
        <f t="shared" si="222"/>
        <v>0</v>
      </c>
      <c r="D148" s="39">
        <f>SUMIFS('C.Pagar'!G$2:G$4509,'C.Pagar'!D$2:D$4509,TRIM(A148),'C.Pagar'!K$2:K$4509,"&gt;=01/11/2025",'C.Pagar'!K$2:K$4509,"&lt;=30/11/2025")</f>
        <v>0</v>
      </c>
      <c r="E148" s="40">
        <f t="shared" si="177"/>
        <v>0</v>
      </c>
      <c r="F148" s="40">
        <f t="shared" si="174"/>
        <v>0</v>
      </c>
      <c r="G148" s="39">
        <f>SUMIFS('C.Pagar'!G$2:G$4509,'C.Pagar'!D$2:D$4509,TRIM(A148),'C.Pagar'!K$2:K$4509,"&gt;=01/12/2025",'C.Pagar'!K$2:K$4509,"&lt;=31/12/2025")</f>
        <v>0</v>
      </c>
      <c r="H148" s="40">
        <f t="shared" si="223"/>
        <v>0</v>
      </c>
      <c r="I148" s="40">
        <f t="shared" si="158"/>
        <v>0</v>
      </c>
      <c r="J148" s="39">
        <f>SUMIFS('C.Pagar'!G$2:G$4509,'C.Pagar'!D$2:D$4509,TRIM(A148),'C.Pagar'!K$2:K$4509,"&gt;=01/01/2026",'C.Pagar'!K$2:K$4509,"&lt;=31/01/2026")</f>
        <v>0</v>
      </c>
      <c r="K148" s="40">
        <f t="shared" si="224"/>
        <v>0</v>
      </c>
      <c r="L148" s="40">
        <f t="shared" si="225"/>
        <v>0</v>
      </c>
      <c r="M148" s="39">
        <f>SUMIFS('C.Pagar'!$G$2:$G$4509,'C.Pagar'!$D$2:$D$4509,TRIM($A148),'C.Pagar'!$K$2:$K$4509,"&gt;=01/02/2026",'C.Pagar'!$K$2:$K$4509,"&lt;=28/02/2026")</f>
        <v>0</v>
      </c>
      <c r="N148" s="40">
        <f t="shared" si="226"/>
        <v>0</v>
      </c>
      <c r="O148" s="40">
        <f t="shared" si="227"/>
        <v>0</v>
      </c>
      <c r="P148" s="39">
        <f>SUMIFS('C.Pagar'!$G$2:$G$4509,'C.Pagar'!$D$2:$D$4509,TRIM($A148),'C.Pagar'!$K$2:$K$4509,"&gt;=01/03/2026",'C.Pagar'!$K$2:$K$4509,"&lt;=31/03/2026")</f>
        <v>0</v>
      </c>
      <c r="Q148" s="40">
        <f t="shared" si="228"/>
        <v>0</v>
      </c>
      <c r="R148" s="40">
        <f t="shared" si="229"/>
        <v>0</v>
      </c>
      <c r="S148" s="39">
        <f>SUMIFS('C.Pagar'!$G$2:$G$4509,'C.Pagar'!$D$2:$D$4509,TRIM($A148),'C.Pagar'!$K$2:$K$4509,"&gt;=01/04/2026",'C.Pagar'!$K$2:$K$4509,"&lt;=30/04/2026")</f>
        <v>0</v>
      </c>
      <c r="T148" s="40">
        <f t="shared" si="230"/>
        <v>0</v>
      </c>
      <c r="U148" s="40">
        <f t="shared" si="231"/>
        <v>0</v>
      </c>
    </row>
    <row r="149" spans="1:21" x14ac:dyDescent="0.3">
      <c r="A149" s="38" t="s">
        <v>1831</v>
      </c>
      <c r="B149" s="39">
        <f>SUMIFS('C.Pagar'!G$2:G$4509,'C.Pagar'!D$2:D$4509,TRIM(A149),'C.Pagar'!K$2:K$4509,"&gt;=01/10/2025",'C.Pagar'!K$2:K$4509,"&lt;=31/10/2025")</f>
        <v>0</v>
      </c>
      <c r="C149" s="70">
        <f t="shared" si="222"/>
        <v>0</v>
      </c>
      <c r="D149" s="39">
        <f>SUMIFS('C.Pagar'!G$2:G$4509,'C.Pagar'!D$2:D$4509,TRIM(A149),'C.Pagar'!K$2:K$4509,"&gt;=01/11/2025",'C.Pagar'!K$2:K$4509,"&lt;=30/11/2025")</f>
        <v>0</v>
      </c>
      <c r="E149" s="40">
        <f t="shared" si="177"/>
        <v>0</v>
      </c>
      <c r="F149" s="40">
        <f t="shared" si="174"/>
        <v>0</v>
      </c>
      <c r="G149" s="39">
        <f>SUMIFS('C.Pagar'!G$2:G$4509,'C.Pagar'!D$2:D$4509,TRIM(A149),'C.Pagar'!K$2:K$4509,"&gt;=01/12/2025",'C.Pagar'!K$2:K$4509,"&lt;=31/12/2025")</f>
        <v>0</v>
      </c>
      <c r="H149" s="40">
        <f t="shared" si="223"/>
        <v>0</v>
      </c>
      <c r="I149" s="40">
        <f t="shared" si="158"/>
        <v>0</v>
      </c>
      <c r="J149" s="39">
        <f>SUMIFS('C.Pagar'!G$2:G$4509,'C.Pagar'!D$2:D$4509,TRIM(A149),'C.Pagar'!K$2:K$4509,"&gt;=01/01/2026",'C.Pagar'!K$2:K$4509,"&lt;=31/01/2026")</f>
        <v>0</v>
      </c>
      <c r="K149" s="40">
        <f t="shared" si="224"/>
        <v>0</v>
      </c>
      <c r="L149" s="40">
        <f t="shared" si="225"/>
        <v>0</v>
      </c>
      <c r="M149" s="39">
        <f>SUMIFS('C.Pagar'!$G$2:$G$4509,'C.Pagar'!$D$2:$D$4509,TRIM($A149),'C.Pagar'!$K$2:$K$4509,"&gt;=01/02/2026",'C.Pagar'!$K$2:$K$4509,"&lt;=28/02/2026")</f>
        <v>0</v>
      </c>
      <c r="N149" s="40">
        <f t="shared" si="226"/>
        <v>0</v>
      </c>
      <c r="O149" s="40">
        <f t="shared" si="227"/>
        <v>0</v>
      </c>
      <c r="P149" s="39">
        <f>SUMIFS('C.Pagar'!$G$2:$G$4509,'C.Pagar'!$D$2:$D$4509,TRIM($A149),'C.Pagar'!$K$2:$K$4509,"&gt;=01/03/2026",'C.Pagar'!$K$2:$K$4509,"&lt;=31/03/2026")</f>
        <v>0</v>
      </c>
      <c r="Q149" s="40">
        <f t="shared" si="228"/>
        <v>0</v>
      </c>
      <c r="R149" s="40">
        <f t="shared" si="229"/>
        <v>0</v>
      </c>
      <c r="S149" s="39">
        <f>SUMIFS('C.Pagar'!$G$2:$G$4509,'C.Pagar'!$D$2:$D$4509,TRIM($A149),'C.Pagar'!$K$2:$K$4509,"&gt;=01/04/2026",'C.Pagar'!$K$2:$K$4509,"&lt;=30/04/2026")</f>
        <v>0</v>
      </c>
      <c r="T149" s="40">
        <f t="shared" si="230"/>
        <v>0</v>
      </c>
      <c r="U149" s="40">
        <f t="shared" si="231"/>
        <v>0</v>
      </c>
    </row>
    <row r="150" spans="1:21" x14ac:dyDescent="0.3">
      <c r="A150" s="38" t="s">
        <v>1832</v>
      </c>
      <c r="B150" s="39">
        <f>SUMIFS('C.Pagar'!G$2:G$4509,'C.Pagar'!D$2:D$4509,TRIM(A150),'C.Pagar'!K$2:K$4509,"&gt;=01/10/2025",'C.Pagar'!K$2:K$4509,"&lt;=31/10/2025")</f>
        <v>3350</v>
      </c>
      <c r="C150" s="70">
        <f t="shared" si="222"/>
        <v>2.9827752121656917E-3</v>
      </c>
      <c r="D150" s="39">
        <f>SUMIFS('C.Pagar'!G$2:G$4509,'C.Pagar'!D$2:D$4509,TRIM(A150),'C.Pagar'!K$2:K$4509,"&gt;=01/11/2025",'C.Pagar'!K$2:K$4509,"&lt;=30/11/2025")</f>
        <v>0</v>
      </c>
      <c r="E150" s="40">
        <f t="shared" si="177"/>
        <v>0</v>
      </c>
      <c r="F150" s="40">
        <f t="shared" si="174"/>
        <v>-1</v>
      </c>
      <c r="G150" s="39">
        <f>SUMIFS('C.Pagar'!G$2:G$4509,'C.Pagar'!D$2:D$4509,TRIM(A150),'C.Pagar'!K$2:K$4509,"&gt;=01/12/2025",'C.Pagar'!K$2:K$4509,"&lt;=31/12/2025")</f>
        <v>0</v>
      </c>
      <c r="H150" s="40">
        <f t="shared" si="223"/>
        <v>0</v>
      </c>
      <c r="I150" s="40">
        <f t="shared" si="158"/>
        <v>0</v>
      </c>
      <c r="J150" s="39">
        <f>SUMIFS('C.Pagar'!G$2:G$4509,'C.Pagar'!D$2:D$4509,TRIM(A150),'C.Pagar'!K$2:K$4509,"&gt;=01/01/2026",'C.Pagar'!K$2:K$4509,"&lt;=31/01/2026")</f>
        <v>184.17</v>
      </c>
      <c r="K150" s="40">
        <f t="shared" si="224"/>
        <v>1.9529760647974488E-4</v>
      </c>
      <c r="L150" s="40">
        <f t="shared" si="225"/>
        <v>0</v>
      </c>
      <c r="M150" s="39">
        <f>SUMIFS('C.Pagar'!$G$2:$G$4509,'C.Pagar'!$D$2:$D$4509,TRIM($A150),'C.Pagar'!$K$2:$K$4509,"&gt;=01/02/2026",'C.Pagar'!$K$2:$K$4509,"&lt;=28/02/2026")</f>
        <v>184.12</v>
      </c>
      <c r="N150" s="40">
        <f t="shared" si="226"/>
        <v>2.6616764233279257E-4</v>
      </c>
      <c r="O150" s="40">
        <f t="shared" si="227"/>
        <v>-2.7148829885426107E-4</v>
      </c>
      <c r="P150" s="39">
        <f>SUMIFS('C.Pagar'!$G$2:$G$4509,'C.Pagar'!$D$2:$D$4509,TRIM($A150),'C.Pagar'!$K$2:$K$4509,"&gt;=01/03/2026",'C.Pagar'!$K$2:$K$4509,"&lt;=31/03/2026")</f>
        <v>184.12</v>
      </c>
      <c r="Q150" s="40">
        <f t="shared" si="228"/>
        <v>1.7770202139041273E-4</v>
      </c>
      <c r="R150" s="40">
        <f t="shared" si="229"/>
        <v>0</v>
      </c>
      <c r="S150" s="39">
        <f>SUMIFS('C.Pagar'!$G$2:$G$4509,'C.Pagar'!$D$2:$D$4509,TRIM($A150),'C.Pagar'!$K$2:$K$4509,"&gt;=01/04/2026",'C.Pagar'!$K$2:$K$4509,"&lt;=30/04/2026")</f>
        <v>0</v>
      </c>
      <c r="T150" s="40">
        <f t="shared" si="230"/>
        <v>0</v>
      </c>
      <c r="U150" s="40">
        <f t="shared" si="231"/>
        <v>-1</v>
      </c>
    </row>
    <row r="151" spans="1:21" x14ac:dyDescent="0.3">
      <c r="A151" s="37" t="s">
        <v>1833</v>
      </c>
      <c r="B151" s="39">
        <f>SUMIFS('C.Pagar'!G$2:G$4509,'C.Pagar'!D$2:D$4509,TRIM(A151),'C.Pagar'!K$2:K$4509,"&gt;=01/10/2025",'C.Pagar'!K$2:K$4509,"&lt;=31/10/2025")</f>
        <v>0</v>
      </c>
      <c r="C151" s="70">
        <f t="shared" si="222"/>
        <v>0</v>
      </c>
      <c r="D151" s="39">
        <f>SUMIFS('C.Pagar'!G$2:G$4509,'C.Pagar'!D$2:D$4509,TRIM(A151),'C.Pagar'!K$2:K$4509,"&gt;=01/11/2025",'C.Pagar'!K$2:K$4509,"&lt;=30/11/2025")</f>
        <v>0</v>
      </c>
      <c r="E151" s="40">
        <f t="shared" si="177"/>
        <v>0</v>
      </c>
      <c r="F151" s="40">
        <f t="shared" si="174"/>
        <v>0</v>
      </c>
      <c r="G151" s="39">
        <f>SUMIFS('C.Pagar'!G$2:G$4509,'C.Pagar'!D$2:D$4509,TRIM(A151),'C.Pagar'!K$2:K$4509,"&gt;=01/12/2025",'C.Pagar'!K$2:K$4509,"&lt;=31/12/2025")</f>
        <v>0</v>
      </c>
      <c r="H151" s="40">
        <f t="shared" si="223"/>
        <v>0</v>
      </c>
      <c r="I151" s="40">
        <f t="shared" si="158"/>
        <v>0</v>
      </c>
      <c r="J151" s="39">
        <f>SUMIFS('C.Pagar'!G$2:G$4509,'C.Pagar'!D$2:D$4509,TRIM(A151),'C.Pagar'!K$2:K$4509,"&gt;=01/01/2026",'C.Pagar'!K$2:K$4509,"&lt;=31/01/2026")</f>
        <v>0</v>
      </c>
      <c r="K151" s="40">
        <f t="shared" si="224"/>
        <v>0</v>
      </c>
      <c r="L151" s="40">
        <f t="shared" si="225"/>
        <v>0</v>
      </c>
      <c r="M151" s="39">
        <f>SUMIFS('C.Pagar'!$G$2:$G$4509,'C.Pagar'!$D$2:$D$4509,TRIM($A151),'C.Pagar'!$K$2:$K$4509,"&gt;=01/02/2026",'C.Pagar'!$K$2:$K$4509,"&lt;=28/02/2026")</f>
        <v>0</v>
      </c>
      <c r="N151" s="40">
        <f t="shared" si="226"/>
        <v>0</v>
      </c>
      <c r="O151" s="40">
        <f t="shared" si="227"/>
        <v>0</v>
      </c>
      <c r="P151" s="39">
        <f>SUMIFS('C.Pagar'!$G$2:$G$4509,'C.Pagar'!$D$2:$D$4509,TRIM($A151),'C.Pagar'!$K$2:$K$4509,"&gt;=01/03/2026",'C.Pagar'!$K$2:$K$4509,"&lt;=31/03/2026")</f>
        <v>0</v>
      </c>
      <c r="Q151" s="40">
        <f t="shared" si="228"/>
        <v>0</v>
      </c>
      <c r="R151" s="40">
        <f t="shared" si="229"/>
        <v>0</v>
      </c>
      <c r="S151" s="39">
        <f>SUMIFS('C.Pagar'!$G$2:$G$4509,'C.Pagar'!$D$2:$D$4509,TRIM($A151),'C.Pagar'!$K$2:$K$4509,"&gt;=01/04/2026",'C.Pagar'!$K$2:$K$4509,"&lt;=30/04/2026")</f>
        <v>0</v>
      </c>
      <c r="T151" s="40">
        <f t="shared" si="230"/>
        <v>0</v>
      </c>
      <c r="U151" s="40">
        <f t="shared" si="231"/>
        <v>0</v>
      </c>
    </row>
    <row r="152" spans="1:21" x14ac:dyDescent="0.3">
      <c r="A152" s="37" t="s">
        <v>1834</v>
      </c>
      <c r="B152" s="39">
        <f>SUMIFS('C.Pagar'!G$2:G$4509,'C.Pagar'!D$2:D$4509,TRIM(A152),'C.Pagar'!K$2:K$4509,"&gt;=01/10/2025",'C.Pagar'!K$2:K$4509,"&lt;=31/10/2025")</f>
        <v>0</v>
      </c>
      <c r="C152" s="70">
        <f t="shared" si="222"/>
        <v>0</v>
      </c>
      <c r="D152" s="39">
        <f>SUMIFS('C.Pagar'!G$2:G$4509,'C.Pagar'!D$2:D$4509,TRIM(A152),'C.Pagar'!K$2:K$4509,"&gt;=01/11/2025",'C.Pagar'!K$2:K$4509,"&lt;=30/11/2025")</f>
        <v>0</v>
      </c>
      <c r="E152" s="40">
        <f t="shared" si="177"/>
        <v>0</v>
      </c>
      <c r="F152" s="40">
        <f>IFERROR(D152/B152-1,0)</f>
        <v>0</v>
      </c>
      <c r="G152" s="39">
        <f>SUMIFS('C.Pagar'!G$2:G$4509,'C.Pagar'!D$2:D$4509,TRIM(A152),'C.Pagar'!K$2:K$4509,"&gt;=01/12/2025",'C.Pagar'!K$2:K$4509,"&lt;=31/12/2025")</f>
        <v>0</v>
      </c>
      <c r="H152" s="40">
        <f t="shared" si="223"/>
        <v>0</v>
      </c>
      <c r="I152" s="40">
        <f t="shared" si="158"/>
        <v>0</v>
      </c>
      <c r="J152" s="39">
        <f>SUMIFS('C.Pagar'!G$2:G$4509,'C.Pagar'!D$2:D$4509,TRIM(A152),'C.Pagar'!K$2:K$4509,"&gt;=01/01/2026",'C.Pagar'!K$2:K$4509,"&lt;=31/01/2026")</f>
        <v>0</v>
      </c>
      <c r="K152" s="40">
        <f t="shared" si="224"/>
        <v>0</v>
      </c>
      <c r="L152" s="40">
        <f t="shared" si="225"/>
        <v>0</v>
      </c>
      <c r="M152" s="39">
        <f>SUMIFS('C.Pagar'!$G$2:$G$4509,'C.Pagar'!$D$2:$D$4509,TRIM($A152),'C.Pagar'!$K$2:$K$4509,"&gt;=01/02/2026",'C.Pagar'!$K$2:$K$4509,"&lt;=28/02/2026")</f>
        <v>0</v>
      </c>
      <c r="N152" s="40">
        <f t="shared" si="226"/>
        <v>0</v>
      </c>
      <c r="O152" s="40">
        <f t="shared" si="227"/>
        <v>0</v>
      </c>
      <c r="P152" s="39">
        <f>SUMIFS('C.Pagar'!$G$2:$G$4509,'C.Pagar'!$D$2:$D$4509,TRIM($A152),'C.Pagar'!$K$2:$K$4509,"&gt;=01/03/2026",'C.Pagar'!$K$2:$K$4509,"&lt;=31/03/2026")</f>
        <v>0</v>
      </c>
      <c r="Q152" s="40">
        <f t="shared" si="228"/>
        <v>0</v>
      </c>
      <c r="R152" s="40">
        <f t="shared" si="229"/>
        <v>0</v>
      </c>
      <c r="S152" s="39">
        <f>SUMIFS('C.Pagar'!$G$2:$G$4509,'C.Pagar'!$D$2:$D$4509,TRIM($A152),'C.Pagar'!$K$2:$K$4509,"&gt;=01/04/2026",'C.Pagar'!$K$2:$K$4509,"&lt;=30/04/2026")</f>
        <v>0</v>
      </c>
      <c r="T152" s="40">
        <f t="shared" si="230"/>
        <v>0</v>
      </c>
      <c r="U152" s="40">
        <f t="shared" si="231"/>
        <v>0</v>
      </c>
    </row>
    <row r="153" spans="1:21" x14ac:dyDescent="0.3">
      <c r="A153" s="37" t="s">
        <v>858</v>
      </c>
      <c r="B153" s="39">
        <f>SUMIFS('C.Pagar'!G$2:G$4509,'C.Pagar'!D$2:D$4509,TRIM(A153),'C.Pagar'!K$2:K$4509,"&gt;=01/10/2025",'C.Pagar'!K$2:K$4509,"&lt;=31/10/2025")</f>
        <v>0</v>
      </c>
      <c r="C153" s="70">
        <f t="shared" si="222"/>
        <v>0</v>
      </c>
      <c r="D153" s="39">
        <f>SUMIFS('C.Pagar'!G$2:G$4509,'C.Pagar'!D$2:D$4509,TRIM(A153),'C.Pagar'!K$2:K$4509,"&gt;=01/11/2025",'C.Pagar'!K$2:K$4509,"&lt;=30/11/2025")</f>
        <v>0</v>
      </c>
      <c r="E153" s="40">
        <f t="shared" si="177"/>
        <v>0</v>
      </c>
      <c r="F153" s="40">
        <f>IFERROR(D153/B153-1,0)</f>
        <v>0</v>
      </c>
      <c r="G153" s="39">
        <f>SUMIFS('C.Pagar'!G$2:G$4509,'C.Pagar'!D$2:D$4509,TRIM(A153),'C.Pagar'!K$2:K$4509,"&gt;=01/12/2025",'C.Pagar'!K$2:K$4509,"&lt;=31/12/2025")</f>
        <v>0</v>
      </c>
      <c r="H153" s="40">
        <f t="shared" si="223"/>
        <v>0</v>
      </c>
      <c r="I153" s="40">
        <f t="shared" si="158"/>
        <v>0</v>
      </c>
      <c r="J153" s="39">
        <f>SUMIFS('C.Pagar'!G$2:G$4509,'C.Pagar'!D$2:D$4509,TRIM(A153),'C.Pagar'!K$2:K$4509,"&gt;=01/01/2026",'C.Pagar'!K$2:K$4509,"&lt;=31/01/2026")</f>
        <v>0</v>
      </c>
      <c r="K153" s="40">
        <f t="shared" si="224"/>
        <v>0</v>
      </c>
      <c r="L153" s="40">
        <f t="shared" si="225"/>
        <v>0</v>
      </c>
      <c r="M153" s="39">
        <f>SUMIFS('C.Pagar'!$G$2:$G$4509,'C.Pagar'!$D$2:$D$4509,TRIM($A153),'C.Pagar'!$K$2:$K$4509,"&gt;=01/02/2026",'C.Pagar'!$K$2:$K$4509,"&lt;=28/02/2026")</f>
        <v>0</v>
      </c>
      <c r="N153" s="40">
        <f t="shared" si="226"/>
        <v>0</v>
      </c>
      <c r="O153" s="40">
        <f t="shared" si="227"/>
        <v>0</v>
      </c>
      <c r="P153" s="39">
        <f>SUMIFS('C.Pagar'!$G$2:$G$4509,'C.Pagar'!$D$2:$D$4509,TRIM($A153),'C.Pagar'!$K$2:$K$4509,"&gt;=01/03/2026",'C.Pagar'!$K$2:$K$4509,"&lt;=31/03/2026")</f>
        <v>0</v>
      </c>
      <c r="Q153" s="40">
        <f t="shared" si="228"/>
        <v>0</v>
      </c>
      <c r="R153" s="40">
        <f t="shared" si="229"/>
        <v>0</v>
      </c>
      <c r="S153" s="531">
        <f>SUMIFS('C.Pagar'!$G$2:$G$4509,'C.Pagar'!$D$2:$D$4509,TRIM($A153),'C.Pagar'!$K$2:$K$4509,"&gt;=01/04/2026",'C.Pagar'!$K$2:$K$4509,"&lt;=30/04/2026")</f>
        <v>826.7</v>
      </c>
      <c r="T153" s="40">
        <f t="shared" si="230"/>
        <v>9.3549815474771258E-4</v>
      </c>
      <c r="U153" s="40">
        <f t="shared" si="231"/>
        <v>0</v>
      </c>
    </row>
    <row r="154" spans="1:21" x14ac:dyDescent="0.3">
      <c r="A154" s="37" t="s">
        <v>1835</v>
      </c>
      <c r="B154" s="39">
        <f>SUMIFS('C.Pagar'!G$2:G$4509,'C.Pagar'!D$2:D$4509,TRIM(A154),'C.Pagar'!K$2:K$4509,"&gt;=01/10/2025",'C.Pagar'!K$2:K$4509,"&lt;=31/10/2025")</f>
        <v>0</v>
      </c>
      <c r="C154" s="70">
        <f t="shared" si="222"/>
        <v>0</v>
      </c>
      <c r="D154" s="39">
        <f>SUMIFS('C.Pagar'!G$2:G$4509,'C.Pagar'!D$2:D$4509,TRIM(A154),'C.Pagar'!K$2:K$4509,"&gt;=01/11/2025",'C.Pagar'!K$2:K$4509,"&lt;=30/11/2025")</f>
        <v>0</v>
      </c>
      <c r="E154" s="40">
        <f t="shared" si="177"/>
        <v>0</v>
      </c>
      <c r="F154" s="40">
        <f>IFERROR(D154/B154-1,0)</f>
        <v>0</v>
      </c>
      <c r="G154" s="39">
        <f>SUMIFS('C.Pagar'!G$2:G$4509,'C.Pagar'!D$2:D$4509,TRIM(A154),'C.Pagar'!K$2:K$4509,"&gt;=01/12/2025",'C.Pagar'!K$2:K$4509,"&lt;=31/12/2025")</f>
        <v>0</v>
      </c>
      <c r="H154" s="40">
        <f t="shared" si="223"/>
        <v>0</v>
      </c>
      <c r="I154" s="40">
        <f t="shared" ref="I154:I166" si="232">IFERROR(G154/D154-1,0)</f>
        <v>0</v>
      </c>
      <c r="J154" s="39">
        <f>SUMIFS('C.Pagar'!G$2:G$4509,'C.Pagar'!D$2:D$4509,TRIM(A154),'C.Pagar'!K$2:K$4509,"&gt;=01/01/2026",'C.Pagar'!K$2:K$4509,"&lt;=31/01/2026")</f>
        <v>0</v>
      </c>
      <c r="K154" s="40">
        <f t="shared" si="224"/>
        <v>0</v>
      </c>
      <c r="L154" s="40">
        <f t="shared" si="225"/>
        <v>0</v>
      </c>
      <c r="M154" s="39">
        <f>SUMIFS('C.Pagar'!$G$2:$G$4509,'C.Pagar'!$D$2:$D$4509,TRIM($A154),'C.Pagar'!$K$2:$K$4509,"&gt;=01/02/2026",'C.Pagar'!$K$2:$K$4509,"&lt;=28/02/2026")</f>
        <v>0</v>
      </c>
      <c r="N154" s="40">
        <f t="shared" si="226"/>
        <v>0</v>
      </c>
      <c r="O154" s="40">
        <f t="shared" si="227"/>
        <v>0</v>
      </c>
      <c r="P154" s="39">
        <f>SUMIFS('C.Pagar'!$G$2:$G$4509,'C.Pagar'!$D$2:$D$4509,TRIM($A154),'C.Pagar'!$K$2:$K$4509,"&gt;=01/03/2026",'C.Pagar'!$K$2:$K$4509,"&lt;=31/03/2026")</f>
        <v>0</v>
      </c>
      <c r="Q154" s="40">
        <f t="shared" si="228"/>
        <v>0</v>
      </c>
      <c r="R154" s="40">
        <f t="shared" si="229"/>
        <v>0</v>
      </c>
      <c r="S154" s="39">
        <f>SUMIFS('C.Pagar'!$G$2:$G$4509,'C.Pagar'!$D$2:$D$4509,TRIM($A154),'C.Pagar'!$K$2:$K$4509,"&gt;=01/04/2026",'C.Pagar'!$K$2:$K$4509,"&lt;=30/04/2026")</f>
        <v>0</v>
      </c>
      <c r="T154" s="40">
        <f t="shared" si="230"/>
        <v>0</v>
      </c>
      <c r="U154" s="40">
        <f t="shared" si="231"/>
        <v>0</v>
      </c>
    </row>
    <row r="155" spans="1:21" x14ac:dyDescent="0.3">
      <c r="A155" s="33" t="s">
        <v>1697</v>
      </c>
      <c r="B155" s="35">
        <f>SUM(B156:B159)</f>
        <v>11652.6</v>
      </c>
      <c r="C155" s="71">
        <f t="shared" si="222"/>
        <v>1.0375249682770728E-2</v>
      </c>
      <c r="D155" s="35">
        <f>SUM(D156:D159)</f>
        <v>0</v>
      </c>
      <c r="E155" s="36">
        <f t="shared" si="177"/>
        <v>0</v>
      </c>
      <c r="F155" s="36">
        <f t="shared" si="174"/>
        <v>-1</v>
      </c>
      <c r="G155" s="35">
        <f>SUM(G156:G159)</f>
        <v>18274</v>
      </c>
      <c r="H155" s="36">
        <f t="shared" si="223"/>
        <v>1.6742048793424988E-2</v>
      </c>
      <c r="I155" s="36">
        <f t="shared" si="232"/>
        <v>0</v>
      </c>
      <c r="J155" s="35">
        <f>SUM(J156:J159)</f>
        <v>22000</v>
      </c>
      <c r="K155" s="36">
        <f t="shared" si="224"/>
        <v>2.3329246579542745E-2</v>
      </c>
      <c r="L155" s="36">
        <f t="shared" si="225"/>
        <v>0.20389624603261458</v>
      </c>
      <c r="M155" s="35">
        <f>SUM(M156:M159)</f>
        <v>13000</v>
      </c>
      <c r="N155" s="36">
        <f t="shared" si="226"/>
        <v>1.8793066208593869E-2</v>
      </c>
      <c r="O155" s="36">
        <f t="shared" si="227"/>
        <v>-0.40909090909090906</v>
      </c>
      <c r="P155" s="35">
        <f>SUM(P156:P159)</f>
        <v>17747.620000000003</v>
      </c>
      <c r="Q155" s="36">
        <f t="shared" si="228"/>
        <v>1.712898082157787E-2</v>
      </c>
      <c r="R155" s="36">
        <f t="shared" si="229"/>
        <v>0.36520153846153858</v>
      </c>
      <c r="S155" s="35">
        <f>SUM(S156:S159)</f>
        <v>21218.940000000002</v>
      </c>
      <c r="T155" s="36">
        <f t="shared" si="230"/>
        <v>2.4011466330836371E-2</v>
      </c>
      <c r="U155" s="36">
        <f t="shared" si="231"/>
        <v>0.1955935500083954</v>
      </c>
    </row>
    <row r="156" spans="1:21" x14ac:dyDescent="0.3">
      <c r="A156" s="37" t="s">
        <v>1836</v>
      </c>
      <c r="B156" s="39">
        <f>SUMIFS('C.Pagar'!G$2:G$4509,'C.Pagar'!D$2:D$4509,TRIM(A156),'C.Pagar'!K$2:K$4509,"&gt;=01/10/2025",'C.Pagar'!K$2:K$4509,"&lt;=31/10/2025")</f>
        <v>0</v>
      </c>
      <c r="C156" s="70">
        <f>B156/B$3</f>
        <v>0</v>
      </c>
      <c r="D156" s="39">
        <f>SUMIFS('C.Pagar'!G$2:G$4509,'C.Pagar'!D$2:D$4509,TRIM(A156),'C.Pagar'!K$2:K$4509,"&gt;=01/11/2025",'C.Pagar'!K$2:K$4509,"&lt;=30/11/2025")</f>
        <v>0</v>
      </c>
      <c r="E156" s="40">
        <f>D156/D$3</f>
        <v>0</v>
      </c>
      <c r="F156" s="40">
        <f>IFERROR(D156/B156-1,0)</f>
        <v>0</v>
      </c>
      <c r="G156" s="39">
        <f>SUMIFS('C.Pagar'!G$2:G$4509,'C.Pagar'!D$2:D$4509,TRIM(A156),'C.Pagar'!K$2:K$4509,"&gt;=01/12/2025",'C.Pagar'!K$2:K$4509,"&lt;=31/12/2025")</f>
        <v>0</v>
      </c>
      <c r="H156" s="40">
        <f>G156/G$3</f>
        <v>0</v>
      </c>
      <c r="I156" s="40">
        <f>IFERROR(G156/D156-1,0)</f>
        <v>0</v>
      </c>
      <c r="J156" s="39">
        <f>SUMIFS('C.Pagar'!G$2:G$4509,'C.Pagar'!D$2:D$4509,TRIM(A156),'C.Pagar'!K$2:K$4509,"&gt;=01/01/2026",'C.Pagar'!K$2:K$4509,"&lt;=31/01/2026")</f>
        <v>0</v>
      </c>
      <c r="K156" s="40">
        <f>J156/J$3</f>
        <v>0</v>
      </c>
      <c r="L156" s="40">
        <f>IFERROR(J156/G156-1,0)</f>
        <v>0</v>
      </c>
      <c r="M156" s="39">
        <f>SUMIFS('C.Pagar'!$G$2:$G$4509,'C.Pagar'!$D$2:$D$4509,TRIM($A156),'C.Pagar'!$K$2:$K$4509,"&gt;=01/02/2026",'C.Pagar'!$K$2:$K$4509,"&lt;=28/02/2026")</f>
        <v>0</v>
      </c>
      <c r="N156" s="40">
        <f>M156/M$3</f>
        <v>0</v>
      </c>
      <c r="O156" s="40">
        <f>IFERROR(M156/J156-1,0)</f>
        <v>0</v>
      </c>
      <c r="P156" s="39">
        <f>SUMIFS('C.Pagar'!$G$2:$G$4509,'C.Pagar'!$D$2:$D$4509,TRIM($A156),'C.Pagar'!$K$2:$K$4509,"&gt;=01/03/2026",'C.Pagar'!$K$2:$K$4509,"&lt;=31/03/2026")</f>
        <v>0</v>
      </c>
      <c r="Q156" s="40">
        <f>P156/P$3</f>
        <v>0</v>
      </c>
      <c r="R156" s="40">
        <f>IFERROR(P156/M156-1,0)</f>
        <v>0</v>
      </c>
      <c r="S156" s="39">
        <f>SUMIFS('C.Pagar'!$G$2:$G$4509,'C.Pagar'!$D$2:$D$4509,TRIM($A156),'C.Pagar'!$K$2:$K$4509,"&gt;=01/04/2026",'C.Pagar'!$K$2:$K$4509,"&lt;=30/04/2026")</f>
        <v>0</v>
      </c>
      <c r="T156" s="40">
        <f>S156/S$3</f>
        <v>0</v>
      </c>
      <c r="U156" s="40">
        <f>IFERROR(S156/P156-1,0)</f>
        <v>0</v>
      </c>
    </row>
    <row r="157" spans="1:21" x14ac:dyDescent="0.3">
      <c r="A157" s="37" t="s">
        <v>1837</v>
      </c>
      <c r="B157" s="39">
        <f>SUMIFS('C.Pagar'!G$2:G$4509,'C.Pagar'!D$2:D$4509,TRIM(A157),'C.Pagar'!K$2:K$4509,"&gt;=01/10/2025",'C.Pagar'!K$2:K$4509,"&lt;=31/10/2025")</f>
        <v>0</v>
      </c>
      <c r="C157" s="70">
        <f>B157/B$3</f>
        <v>0</v>
      </c>
      <c r="D157" s="39">
        <f>SUMIFS('C.Pagar'!G$2:G$4509,'C.Pagar'!D$2:D$4509,TRIM(A157),'C.Pagar'!K$2:K$4509,"&gt;=01/11/2025",'C.Pagar'!K$2:K$4509,"&lt;=30/11/2025")</f>
        <v>0</v>
      </c>
      <c r="E157" s="40">
        <f>D157/D$3</f>
        <v>0</v>
      </c>
      <c r="F157" s="40">
        <f>IFERROR(D157/B157-1,0)</f>
        <v>0</v>
      </c>
      <c r="G157" s="39">
        <f>SUMIFS('C.Pagar'!G$2:G$4509,'C.Pagar'!D$2:D$4509,TRIM(A157),'C.Pagar'!K$2:K$4509,"&gt;=01/12/2025",'C.Pagar'!K$2:K$4509,"&lt;=31/12/2025")</f>
        <v>3000</v>
      </c>
      <c r="H157" s="40">
        <f>G157/G$3</f>
        <v>2.7485031399953467E-3</v>
      </c>
      <c r="I157" s="40">
        <f>IFERROR(G157/D157-1,0)</f>
        <v>0</v>
      </c>
      <c r="J157" s="39">
        <f>SUMIFS('C.Pagar'!G$2:G$4509,'C.Pagar'!D$2:D$4509,TRIM(A157),'C.Pagar'!K$2:K$4509,"&gt;=01/01/2026",'C.Pagar'!K$2:K$4509,"&lt;=31/01/2026")</f>
        <v>2000</v>
      </c>
      <c r="K157" s="40">
        <f>J157/J$3</f>
        <v>2.1208405981402497E-3</v>
      </c>
      <c r="L157" s="40">
        <f>IFERROR(J157/G157-1,0)</f>
        <v>-0.33333333333333337</v>
      </c>
      <c r="M157" s="39">
        <f>SUMIFS('C.Pagar'!$G$2:$G$4509,'C.Pagar'!$D$2:$D$4509,TRIM($A157),'C.Pagar'!$K$2:$K$4509,"&gt;=01/02/2026",'C.Pagar'!$K$2:$K$4509,"&lt;=28/02/2026")</f>
        <v>3000</v>
      </c>
      <c r="N157" s="40">
        <f>M157/M$3</f>
        <v>4.3368614327524311E-3</v>
      </c>
      <c r="O157" s="40">
        <f>IFERROR(M157/J157-1,0)</f>
        <v>0.5</v>
      </c>
      <c r="P157" s="39">
        <f>SUMIFS('C.Pagar'!$G$2:$G$4509,'C.Pagar'!$D$2:$D$4509,TRIM($A157),'C.Pagar'!$K$2:$K$4509,"&gt;=01/03/2026",'C.Pagar'!$K$2:$K$4509,"&lt;=31/03/2026")</f>
        <v>4257.8</v>
      </c>
      <c r="Q157" s="40">
        <f>P157/P$3</f>
        <v>4.1093833732136617E-3</v>
      </c>
      <c r="R157" s="40">
        <f>IFERROR(P157/M157-1,0)</f>
        <v>0.41926666666666668</v>
      </c>
      <c r="S157" s="39">
        <f>SUMIFS('C.Pagar'!$G$2:$G$4509,'C.Pagar'!$D$2:$D$4509,TRIM($A157),'C.Pagar'!$K$2:$K$4509,"&gt;=01/04/2026",'C.Pagar'!$K$2:$K$4509,"&lt;=30/04/2026")</f>
        <v>7690</v>
      </c>
      <c r="T157" s="40">
        <f>S157/S$3</f>
        <v>8.702045252219558E-3</v>
      </c>
      <c r="U157" s="40">
        <f>IFERROR(S157/P157-1,0)</f>
        <v>0.8060970454225187</v>
      </c>
    </row>
    <row r="158" spans="1:21" x14ac:dyDescent="0.3">
      <c r="A158" s="38" t="s">
        <v>1838</v>
      </c>
      <c r="B158" s="39">
        <f>SUMIFS('C.Pagar'!G$2:G$4509,'C.Pagar'!D$2:D$4509,TRIM(A158),'C.Pagar'!K$2:K$4509,"&gt;=01/10/2025",'C.Pagar'!K$2:K$4509,"&lt;=31/10/2025")</f>
        <v>1652.6</v>
      </c>
      <c r="C158" s="70">
        <f t="shared" ref="C158" si="233">B158/B$3</f>
        <v>1.4714430792910512E-3</v>
      </c>
      <c r="D158" s="39">
        <f>SUMIFS('C.Pagar'!G$2:G$4509,'C.Pagar'!D$2:D$4509,TRIM(A158),'C.Pagar'!K$2:K$4509,"&gt;=01/11/2025",'C.Pagar'!K$2:K$4509,"&lt;=30/11/2025")</f>
        <v>0</v>
      </c>
      <c r="E158" s="40">
        <f t="shared" ref="E158" si="234">D158/D$3</f>
        <v>0</v>
      </c>
      <c r="F158" s="40">
        <f t="shared" ref="F158" si="235">IFERROR(D158/B158-1,0)</f>
        <v>-1</v>
      </c>
      <c r="G158" s="39">
        <f>SUMIFS('C.Pagar'!G$2:G$4509,'C.Pagar'!D$2:D$4509,TRIM(A158),'C.Pagar'!K$2:K$4509,"&gt;=01/12/2025",'C.Pagar'!K$2:K$4509,"&lt;=31/12/2025")</f>
        <v>5274</v>
      </c>
      <c r="H158" s="40">
        <f t="shared" ref="H158" si="236">G158/G$3</f>
        <v>4.8318685201118195E-3</v>
      </c>
      <c r="I158" s="40">
        <f t="shared" ref="I158" si="237">IFERROR(G158/D158-1,0)</f>
        <v>0</v>
      </c>
      <c r="J158" s="39">
        <f>SUMIFS('C.Pagar'!G$2:G$4509,'C.Pagar'!D$2:D$4509,TRIM(A158),'C.Pagar'!K$2:K$4509,"&gt;=01/01/2026",'C.Pagar'!K$2:K$4509,"&lt;=31/01/2026")</f>
        <v>0</v>
      </c>
      <c r="K158" s="40">
        <f t="shared" ref="K158:K166" si="238">J158/J$3</f>
        <v>0</v>
      </c>
      <c r="L158" s="40">
        <f t="shared" ref="L158:L166" si="239">IFERROR(J158/G158-1,0)</f>
        <v>-1</v>
      </c>
      <c r="M158" s="39">
        <f>SUMIFS('C.Pagar'!$G$2:$G$4509,'C.Pagar'!$D$2:$D$4509,TRIM($A158),'C.Pagar'!$K$2:$K$4509,"&gt;=01/02/2026",'C.Pagar'!$K$2:$K$4509,"&lt;=28/02/2026")</f>
        <v>0</v>
      </c>
      <c r="N158" s="40">
        <f t="shared" ref="N158:N166" si="240">M158/M$3</f>
        <v>0</v>
      </c>
      <c r="O158" s="40">
        <f t="shared" ref="O158:O166" si="241">IFERROR(M158/J158-1,0)</f>
        <v>0</v>
      </c>
      <c r="P158" s="39">
        <f>SUMIFS('C.Pagar'!$G$2:$G$4509,'C.Pagar'!$D$2:$D$4509,TRIM($A158),'C.Pagar'!$K$2:$K$4509,"&gt;=01/03/2026",'C.Pagar'!$K$2:$K$4509,"&lt;=31/03/2026")</f>
        <v>3489.82</v>
      </c>
      <c r="Q158" s="40">
        <f t="shared" ref="Q158:Q166" si="242">P158/P$3</f>
        <v>3.3681733015896707E-3</v>
      </c>
      <c r="R158" s="40">
        <f t="shared" ref="R158:R166" si="243">IFERROR(P158/M158-1,0)</f>
        <v>0</v>
      </c>
      <c r="S158" s="39">
        <f>SUMIFS('C.Pagar'!$G$2:$G$4509,'C.Pagar'!$D$2:$D$4509,TRIM($A158),'C.Pagar'!$K$2:$K$4509,"&gt;=01/04/2026",'C.Pagar'!$K$2:$K$4509,"&lt;=30/04/2026")</f>
        <v>3528.94</v>
      </c>
      <c r="T158" s="40">
        <f t="shared" ref="T158:T166" si="244">S158/S$3</f>
        <v>3.9933674346381912E-3</v>
      </c>
      <c r="U158" s="40">
        <f t="shared" ref="U158:U166" si="245">IFERROR(S158/P158-1,0)</f>
        <v>1.1209747207592269E-2</v>
      </c>
    </row>
    <row r="159" spans="1:21" x14ac:dyDescent="0.3">
      <c r="A159" s="38" t="s">
        <v>1839</v>
      </c>
      <c r="B159" s="39">
        <f>SUMIFS('C.Pagar'!G$2:G$4509,'C.Pagar'!D$2:D$4509,TRIM(A159),'C.Pagar'!K$2:K$4509,"&gt;=01/10/2025",'C.Pagar'!K$2:K$4509,"&lt;=31/10/2025")</f>
        <v>10000</v>
      </c>
      <c r="C159" s="70">
        <f t="shared" si="222"/>
        <v>8.9038066034796762E-3</v>
      </c>
      <c r="D159" s="39">
        <f>SUMIFS('C.Pagar'!G$2:G$4509,'C.Pagar'!D$2:D$4509,TRIM(A159),'C.Pagar'!K$2:K$4509,"&gt;=01/11/2025",'C.Pagar'!K$2:K$4509,"&lt;=30/11/2025")</f>
        <v>0</v>
      </c>
      <c r="E159" s="40">
        <f t="shared" si="177"/>
        <v>0</v>
      </c>
      <c r="F159" s="40">
        <f t="shared" si="174"/>
        <v>-1</v>
      </c>
      <c r="G159" s="39">
        <f>SUMIFS('C.Pagar'!G$2:G$4509,'C.Pagar'!D$2:D$4509,TRIM(A159),'C.Pagar'!K$2:K$4509,"&gt;=01/12/2025",'C.Pagar'!K$2:K$4509,"&lt;=31/12/2025")</f>
        <v>10000</v>
      </c>
      <c r="H159" s="40">
        <f t="shared" si="223"/>
        <v>9.1616771333178221E-3</v>
      </c>
      <c r="I159" s="40">
        <f t="shared" si="232"/>
        <v>0</v>
      </c>
      <c r="J159" s="39">
        <f>SUMIFS('C.Pagar'!G$2:G$4509,'C.Pagar'!D$2:D$4509,TRIM(A159),'C.Pagar'!K$2:K$4509,"&gt;=01/01/2026",'C.Pagar'!K$2:K$4509,"&lt;=31/01/2026")</f>
        <v>20000</v>
      </c>
      <c r="K159" s="40">
        <f t="shared" si="238"/>
        <v>2.1208405981402497E-2</v>
      </c>
      <c r="L159" s="40">
        <f t="shared" si="239"/>
        <v>1</v>
      </c>
      <c r="M159" s="39">
        <f>SUMIFS('C.Pagar'!$G$2:$G$4509,'C.Pagar'!$D$2:$D$4509,TRIM($A159),'C.Pagar'!$K$2:$K$4509,"&gt;=01/02/2026",'C.Pagar'!$K$2:$K$4509,"&lt;=28/02/2026")</f>
        <v>10000</v>
      </c>
      <c r="N159" s="40">
        <f t="shared" si="240"/>
        <v>1.4456204775841438E-2</v>
      </c>
      <c r="O159" s="40">
        <f t="shared" si="241"/>
        <v>-0.5</v>
      </c>
      <c r="P159" s="39">
        <f>SUMIFS('C.Pagar'!$G$2:$G$4509,'C.Pagar'!$D$2:$D$4509,TRIM($A159),'C.Pagar'!$K$2:$K$4509,"&gt;=01/03/2026",'C.Pagar'!$K$2:$K$4509,"&lt;=31/03/2026")</f>
        <v>10000</v>
      </c>
      <c r="Q159" s="40">
        <f t="shared" si="242"/>
        <v>9.651424146774534E-3</v>
      </c>
      <c r="R159" s="40">
        <f t="shared" si="243"/>
        <v>0</v>
      </c>
      <c r="S159" s="39">
        <f>SUMIFS('C.Pagar'!$G$2:$G$4509,'C.Pagar'!$D$2:$D$4509,TRIM($A159),'C.Pagar'!$K$2:$K$4509,"&gt;=01/04/2026",'C.Pagar'!$K$2:$K$4509,"&lt;=30/04/2026")</f>
        <v>10000</v>
      </c>
      <c r="T159" s="40">
        <f t="shared" si="244"/>
        <v>1.131605364397862E-2</v>
      </c>
      <c r="U159" s="40">
        <f t="shared" si="245"/>
        <v>0</v>
      </c>
    </row>
    <row r="160" spans="1:21" s="8" customFormat="1" x14ac:dyDescent="0.3">
      <c r="A160" s="30" t="s">
        <v>1698</v>
      </c>
      <c r="B160" s="200">
        <f>B145-B146-B155</f>
        <v>-1178.2000000000789</v>
      </c>
      <c r="C160" s="69">
        <f t="shared" si="222"/>
        <v>-1.0490464940220458E-3</v>
      </c>
      <c r="D160" s="200">
        <f>D145-D146-D155</f>
        <v>-50002.539999999703</v>
      </c>
      <c r="E160" s="32">
        <f t="shared" si="177"/>
        <v>-5.0559174773814247E-2</v>
      </c>
      <c r="F160" s="32">
        <f t="shared" si="174"/>
        <v>41.439772534371372</v>
      </c>
      <c r="G160" s="31">
        <f>G145-G146-G155</f>
        <v>69800.970000000467</v>
      </c>
      <c r="H160" s="32">
        <f t="shared" si="223"/>
        <v>6.3949395073240753E-2</v>
      </c>
      <c r="I160" s="32">
        <f t="shared" si="232"/>
        <v>-2.3959484858169384</v>
      </c>
      <c r="J160" s="200">
        <f>J145-J146-J155</f>
        <v>-73519.089999999836</v>
      </c>
      <c r="K160" s="32">
        <f t="shared" si="238"/>
        <v>-7.7961135405163251E-2</v>
      </c>
      <c r="L160" s="32">
        <f t="shared" si="239"/>
        <v>-2.0532674545926701</v>
      </c>
      <c r="M160" s="200">
        <f>M145-M146-M155</f>
        <v>-199937.97999999981</v>
      </c>
      <c r="N160" s="32">
        <f t="shared" si="240"/>
        <v>-0.28903443813480872</v>
      </c>
      <c r="O160" s="32">
        <f t="shared" si="241"/>
        <v>1.7195382859064257</v>
      </c>
      <c r="P160" s="200">
        <f>P145-P146-P155</f>
        <v>49980.310000000209</v>
      </c>
      <c r="Q160" s="32">
        <f t="shared" si="242"/>
        <v>4.8238117079727874E-2</v>
      </c>
      <c r="R160" s="32">
        <f t="shared" si="243"/>
        <v>-1.2499790685091461</v>
      </c>
      <c r="S160" s="200">
        <f>S145-S146-S155</f>
        <v>83833.899999999878</v>
      </c>
      <c r="T160" s="32">
        <f t="shared" si="244"/>
        <v>9.4866890958393776E-2</v>
      </c>
      <c r="U160" s="32">
        <f t="shared" si="245"/>
        <v>0.67733853591543403</v>
      </c>
    </row>
    <row r="161" spans="1:21" x14ac:dyDescent="0.3">
      <c r="A161" s="33" t="s">
        <v>1699</v>
      </c>
      <c r="B161" s="35">
        <f>SUM(B162:B165)</f>
        <v>21445.72</v>
      </c>
      <c r="C161" s="71">
        <f t="shared" si="222"/>
        <v>1.9094854335237617E-2</v>
      </c>
      <c r="D161" s="35">
        <f>SUM(D162:D165)</f>
        <v>2067.41</v>
      </c>
      <c r="E161" s="36">
        <f t="shared" si="177"/>
        <v>2.0904246768090567E-3</v>
      </c>
      <c r="F161" s="36">
        <f t="shared" si="174"/>
        <v>-0.90359801396269279</v>
      </c>
      <c r="G161" s="35">
        <f>SUM(G162:G165)</f>
        <v>4407.37</v>
      </c>
      <c r="H161" s="36">
        <f t="shared" si="223"/>
        <v>4.0378900947070969E-3</v>
      </c>
      <c r="I161" s="36">
        <f t="shared" si="232"/>
        <v>1.1318316154028469</v>
      </c>
      <c r="J161" s="35">
        <f>SUM(J162:J165)</f>
        <v>2067.37</v>
      </c>
      <c r="K161" s="36">
        <f t="shared" si="238"/>
        <v>2.1922811136886036E-3</v>
      </c>
      <c r="L161" s="36">
        <f t="shared" si="239"/>
        <v>-0.53092887595096394</v>
      </c>
      <c r="M161" s="35">
        <f>SUM(M162:M165)</f>
        <v>2110.7800000000002</v>
      </c>
      <c r="N161" s="36">
        <f t="shared" si="240"/>
        <v>3.0513867916750594E-3</v>
      </c>
      <c r="O161" s="36">
        <f t="shared" si="241"/>
        <v>2.0997692720703176E-2</v>
      </c>
      <c r="P161" s="35">
        <f>SUM(P162:P165)</f>
        <v>5577.37</v>
      </c>
      <c r="Q161" s="36">
        <f t="shared" si="242"/>
        <v>5.3829563493495887E-3</v>
      </c>
      <c r="R161" s="36">
        <f t="shared" si="243"/>
        <v>1.6423265333194359</v>
      </c>
      <c r="S161" s="35">
        <f>SUM(S162:S165)</f>
        <v>12635.079999999998</v>
      </c>
      <c r="T161" s="36">
        <f t="shared" si="244"/>
        <v>1.4297924307596136E-2</v>
      </c>
      <c r="U161" s="36">
        <f t="shared" si="245"/>
        <v>1.2654190057320922</v>
      </c>
    </row>
    <row r="162" spans="1:21" ht="13.2" customHeight="1" x14ac:dyDescent="0.3">
      <c r="A162" s="38" t="s">
        <v>1700</v>
      </c>
      <c r="B162" s="39">
        <f>SUMIFS('C.Pagar'!G$2:G$4509,'C.Pagar'!D$2:D$4509,TRIM(A162),'C.Pagar'!K$2:K$4509,"&gt;=01/10/2025",'C.Pagar'!K$2:K$4509,"&lt;=31/10/2025")</f>
        <v>0</v>
      </c>
      <c r="C162" s="70">
        <f t="shared" ref="C162:C164" si="246">B162/B$3</f>
        <v>0</v>
      </c>
      <c r="D162" s="39">
        <f>SUMIFS('C.Pagar'!G$2:G$4509,'C.Pagar'!D$2:D$4509,TRIM(A162),'C.Pagar'!K$2:K$4509,"&gt;=01/11/2025",'C.Pagar'!K$2:K$4509,"&lt;=30/11/2025")</f>
        <v>0</v>
      </c>
      <c r="E162" s="40">
        <f t="shared" ref="E162:E164" si="247">D162/D$3</f>
        <v>0</v>
      </c>
      <c r="F162" s="40">
        <f t="shared" ref="F162:F164" si="248">IFERROR(D162/B162-1,0)</f>
        <v>0</v>
      </c>
      <c r="G162" s="39">
        <f>SUMIFS('C.Pagar'!G$2:G$4509,'C.Pagar'!D$2:D$4509,TRIM(A162),'C.Pagar'!K$2:K$4509,"&gt;=01/12/2025",'C.Pagar'!K$2:K$4509,"&lt;=31/12/2025")</f>
        <v>0</v>
      </c>
      <c r="H162" s="40">
        <f t="shared" ref="H162:H164" si="249">G162/G$3</f>
        <v>0</v>
      </c>
      <c r="I162" s="40">
        <f t="shared" ref="I162:I164" si="250">IFERROR(G162/D162-1,0)</f>
        <v>0</v>
      </c>
      <c r="J162" s="39">
        <f>SUMIFS('C.Pagar'!G$2:G$4509,'C.Pagar'!D$2:D$4509,TRIM(A162),'C.Pagar'!K$2:K$4509,"&gt;=01/01/2026",'C.Pagar'!K$2:K$4509,"&lt;=31/01/2026")</f>
        <v>0</v>
      </c>
      <c r="K162" s="40">
        <f t="shared" si="238"/>
        <v>0</v>
      </c>
      <c r="L162" s="40">
        <f t="shared" si="239"/>
        <v>0</v>
      </c>
      <c r="M162" s="39">
        <f>SUMIFS('C.Pagar'!$G$2:$G$4509,'C.Pagar'!$D$2:$D$4509,TRIM($A162),'C.Pagar'!$K$2:$K$4509,"&gt;=01/02/2026",'C.Pagar'!$K$2:$K$4509,"&lt;=28/02/2026")</f>
        <v>0</v>
      </c>
      <c r="N162" s="40">
        <f t="shared" si="240"/>
        <v>0</v>
      </c>
      <c r="O162" s="40">
        <f t="shared" si="241"/>
        <v>0</v>
      </c>
      <c r="P162" s="39">
        <f>SUMIFS('C.Pagar'!$G$2:$G$4509,'C.Pagar'!$D$2:$D$4509,TRIM($A162),'C.Pagar'!$K$2:$K$4509,"&gt;=01/03/2026",'C.Pagar'!$K$2:$K$4509,"&lt;=31/03/2026")</f>
        <v>0</v>
      </c>
      <c r="Q162" s="40">
        <f t="shared" si="242"/>
        <v>0</v>
      </c>
      <c r="R162" s="40">
        <f t="shared" si="243"/>
        <v>0</v>
      </c>
      <c r="S162" s="39">
        <f>SUMIFS('C.Pagar'!$G$2:$G$4509,'C.Pagar'!$D$2:$D$4509,TRIM($A162),'C.Pagar'!$K$2:$K$4509,"&gt;=01/04/2026",'C.Pagar'!$K$2:$K$4509,"&lt;=30/04/2026")</f>
        <v>0</v>
      </c>
      <c r="T162" s="40">
        <f t="shared" si="244"/>
        <v>0</v>
      </c>
      <c r="U162" s="40">
        <f t="shared" si="245"/>
        <v>0</v>
      </c>
    </row>
    <row r="163" spans="1:21" ht="13.2" customHeight="1" x14ac:dyDescent="0.3">
      <c r="A163" s="38" t="s">
        <v>1701</v>
      </c>
      <c r="B163" s="39">
        <f>SUMIFS('C.Pagar'!G$2:G$4509,'C.Pagar'!D$2:D$4509,TRIM(A163),'C.Pagar'!K$2:K$4509,"&gt;=01/10/2025",'C.Pagar'!K$2:K$4509,"&lt;=31/10/2025")</f>
        <v>11025.97</v>
      </c>
      <c r="C163" s="70">
        <f t="shared" si="246"/>
        <v>9.8173104495768802E-3</v>
      </c>
      <c r="D163" s="39">
        <f>SUMIFS('C.Pagar'!G$2:G$4509,'C.Pagar'!D$2:D$4509,TRIM(A163),'C.Pagar'!K$2:K$4509,"&gt;=01/11/2025",'C.Pagar'!K$2:K$4509,"&lt;=30/11/2025")</f>
        <v>2067.41</v>
      </c>
      <c r="E163" s="40">
        <f t="shared" si="247"/>
        <v>2.0904246768090567E-3</v>
      </c>
      <c r="F163" s="40">
        <f t="shared" si="248"/>
        <v>-0.81249631551691137</v>
      </c>
      <c r="G163" s="39">
        <f>SUMIFS('C.Pagar'!G$2:G$4509,'C.Pagar'!D$2:D$4509,TRIM(A163),'C.Pagar'!K$2:K$4509,"&gt;=01/12/2025",'C.Pagar'!K$2:K$4509,"&lt;=31/12/2025")</f>
        <v>2067.37</v>
      </c>
      <c r="H163" s="40">
        <f t="shared" si="249"/>
        <v>1.8940576455107265E-3</v>
      </c>
      <c r="I163" s="40">
        <f t="shared" si="250"/>
        <v>-1.9347879714248784E-5</v>
      </c>
      <c r="J163" s="39">
        <f>SUMIFS('C.Pagar'!G$2:G$4509,'C.Pagar'!D$2:D$4509,TRIM(A163),'C.Pagar'!K$2:K$4509,"&gt;=01/01/2026",'C.Pagar'!K$2:K$4509,"&lt;=31/01/2026")</f>
        <v>2067.37</v>
      </c>
      <c r="K163" s="40">
        <f t="shared" si="238"/>
        <v>2.1922811136886036E-3</v>
      </c>
      <c r="L163" s="40">
        <f t="shared" si="239"/>
        <v>0</v>
      </c>
      <c r="M163" s="39">
        <f>SUMIFS('C.Pagar'!$G$2:$G$4509,'C.Pagar'!$D$2:$D$4509,TRIM($A163),'C.Pagar'!$K$2:$K$4509,"&gt;=01/02/2026",'C.Pagar'!$K$2:$K$4509,"&lt;=28/02/2026")</f>
        <v>2110.7800000000002</v>
      </c>
      <c r="N163" s="40">
        <f t="shared" si="240"/>
        <v>3.0513867916750594E-3</v>
      </c>
      <c r="O163" s="40">
        <f t="shared" si="241"/>
        <v>2.0997692720703176E-2</v>
      </c>
      <c r="P163" s="39">
        <f>SUMIFS('C.Pagar'!$G$2:$G$4509,'C.Pagar'!$D$2:$D$4509,TRIM($A163),'C.Pagar'!$K$2:$K$4509,"&gt;=01/03/2026",'C.Pagar'!$K$2:$K$4509,"&lt;=31/03/2026")</f>
        <v>2067.37</v>
      </c>
      <c r="Q163" s="40">
        <f t="shared" si="242"/>
        <v>1.995306473831727E-3</v>
      </c>
      <c r="R163" s="40">
        <f t="shared" si="243"/>
        <v>-2.0565857171282786E-2</v>
      </c>
      <c r="S163" s="39">
        <f>SUMIFS('C.Pagar'!$G$2:$G$4509,'C.Pagar'!$D$2:$D$4509,TRIM($A163),'C.Pagar'!$K$2:$K$4509,"&gt;=01/04/2026",'C.Pagar'!$K$2:$K$4509,"&lt;=30/04/2026")</f>
        <v>2067.37</v>
      </c>
      <c r="T163" s="40">
        <f t="shared" si="244"/>
        <v>2.3394469821952078E-3</v>
      </c>
      <c r="U163" s="40">
        <f t="shared" si="245"/>
        <v>0</v>
      </c>
    </row>
    <row r="164" spans="1:21" ht="13.2" customHeight="1" x14ac:dyDescent="0.3">
      <c r="A164" s="38" t="s">
        <v>1702</v>
      </c>
      <c r="B164" s="39">
        <f>SUMIFS('C.Pagar'!G$2:G$4509,'C.Pagar'!D$2:D$4509,TRIM(A164),'C.Pagar'!K$2:K$4509,"&gt;=01/10/2025",'C.Pagar'!K$2:K$4509,"&lt;=31/10/2025")</f>
        <v>8079.75</v>
      </c>
      <c r="C164" s="70">
        <f t="shared" si="246"/>
        <v>7.194053140446491E-3</v>
      </c>
      <c r="D164" s="39">
        <f>SUMIFS('C.Pagar'!G$2:G$4509,'C.Pagar'!D$2:D$4509,TRIM(A164),'C.Pagar'!K$2:K$4509,"&gt;=01/11/2025",'C.Pagar'!K$2:K$4509,"&lt;=30/11/2025")</f>
        <v>0</v>
      </c>
      <c r="E164" s="40">
        <f t="shared" si="247"/>
        <v>0</v>
      </c>
      <c r="F164" s="40">
        <f t="shared" si="248"/>
        <v>-1</v>
      </c>
      <c r="G164" s="39">
        <f>SUMIFS('C.Pagar'!G$2:G$4509,'C.Pagar'!D$2:D$4509,TRIM(A164),'C.Pagar'!K$2:K$4509,"&gt;=01/12/2025",'C.Pagar'!K$2:K$4509,"&lt;=31/12/2025")</f>
        <v>0</v>
      </c>
      <c r="H164" s="40">
        <f t="shared" si="249"/>
        <v>0</v>
      </c>
      <c r="I164" s="40">
        <f t="shared" si="250"/>
        <v>0</v>
      </c>
      <c r="J164" s="39">
        <f>SUMIFS('C.Pagar'!G$2:G$4509,'C.Pagar'!D$2:D$4509,TRIM(A164),'C.Pagar'!K$2:K$4509,"&gt;=01/01/2026",'C.Pagar'!K$2:K$4509,"&lt;=31/01/2026")</f>
        <v>0</v>
      </c>
      <c r="K164" s="40">
        <f t="shared" si="238"/>
        <v>0</v>
      </c>
      <c r="L164" s="40">
        <f t="shared" si="239"/>
        <v>0</v>
      </c>
      <c r="M164" s="39">
        <f>SUMIFS('C.Pagar'!$G$2:$G$4509,'C.Pagar'!$D$2:$D$4509,TRIM($A164),'C.Pagar'!$K$2:$K$4509,"&gt;=01/02/2026",'C.Pagar'!$K$2:$K$4509,"&lt;=28/02/2026")</f>
        <v>0</v>
      </c>
      <c r="N164" s="40">
        <f t="shared" si="240"/>
        <v>0</v>
      </c>
      <c r="O164" s="40">
        <f t="shared" si="241"/>
        <v>0</v>
      </c>
      <c r="P164" s="39">
        <f>SUMIFS('C.Pagar'!$G$2:$G$4509,'C.Pagar'!$D$2:$D$4509,TRIM($A164),'C.Pagar'!$K$2:$K$4509,"&gt;=01/03/2026",'C.Pagar'!$K$2:$K$4509,"&lt;=31/03/2026")</f>
        <v>0</v>
      </c>
      <c r="Q164" s="40">
        <f t="shared" si="242"/>
        <v>0</v>
      </c>
      <c r="R164" s="40">
        <f t="shared" si="243"/>
        <v>0</v>
      </c>
      <c r="S164" s="39">
        <f>SUMIFS('C.Pagar'!$G$2:$G$4509,'C.Pagar'!$D$2:$D$4509,TRIM($A164),'C.Pagar'!$K$2:$K$4509,"&gt;=01/04/2026",'C.Pagar'!$K$2:$K$4509,"&lt;=30/04/2026")</f>
        <v>8227.7099999999991</v>
      </c>
      <c r="T164" s="40">
        <f t="shared" si="244"/>
        <v>9.3105207727099317E-3</v>
      </c>
      <c r="U164" s="40">
        <f t="shared" si="245"/>
        <v>0</v>
      </c>
    </row>
    <row r="165" spans="1:21" ht="13.2" customHeight="1" x14ac:dyDescent="0.3">
      <c r="A165" s="38" t="s">
        <v>1703</v>
      </c>
      <c r="B165" s="39">
        <f>SUMIFS('C.Pagar'!G$2:G$4509,'C.Pagar'!D$2:D$4509,TRIM(A165),'C.Pagar'!K$2:K$4509,"&gt;=01/10/2025",'C.Pagar'!K$2:K$4509,"&lt;=31/10/2025")</f>
        <v>2340</v>
      </c>
      <c r="C165" s="70">
        <f t="shared" si="222"/>
        <v>2.0834907452142444E-3</v>
      </c>
      <c r="D165" s="39">
        <f>SUMIFS('C.Pagar'!G$2:G$4509,'C.Pagar'!D$2:D$4509,TRIM(A165),'C.Pagar'!K$2:K$4509,"&gt;=01/11/2025",'C.Pagar'!K$2:K$4509,"&lt;=30/11/2025")</f>
        <v>0</v>
      </c>
      <c r="E165" s="40">
        <f t="shared" si="177"/>
        <v>0</v>
      </c>
      <c r="F165" s="40">
        <f t="shared" si="174"/>
        <v>-1</v>
      </c>
      <c r="G165" s="39">
        <f>SUMIFS('C.Pagar'!G$2:G$4509,'C.Pagar'!D$2:D$4509,TRIM(A165),'C.Pagar'!K$2:K$4509,"&gt;=01/12/2025",'C.Pagar'!K$2:K$4509,"&lt;=31/12/2025")</f>
        <v>2340</v>
      </c>
      <c r="H165" s="40">
        <f t="shared" si="223"/>
        <v>2.1438324491963702E-3</v>
      </c>
      <c r="I165" s="40">
        <f t="shared" si="232"/>
        <v>0</v>
      </c>
      <c r="J165" s="39">
        <f>SUMIFS('C.Pagar'!G$2:G$4509,'C.Pagar'!D$2:D$4509,TRIM(A165),'C.Pagar'!K$2:K$4509,"&gt;=01/01/2026",'C.Pagar'!K$2:K$4509,"&lt;=31/01/2026")</f>
        <v>0</v>
      </c>
      <c r="K165" s="40">
        <f t="shared" si="238"/>
        <v>0</v>
      </c>
      <c r="L165" s="40">
        <f t="shared" si="239"/>
        <v>-1</v>
      </c>
      <c r="M165" s="39">
        <f>SUMIFS('C.Pagar'!$G$2:$G$4509,'C.Pagar'!$D$2:$D$4509,TRIM($A165),'C.Pagar'!$K$2:$K$4509,"&gt;=01/02/2026",'C.Pagar'!$K$2:$K$4509,"&lt;=28/02/2026")</f>
        <v>0</v>
      </c>
      <c r="N165" s="40">
        <f t="shared" si="240"/>
        <v>0</v>
      </c>
      <c r="O165" s="40">
        <f t="shared" si="241"/>
        <v>0</v>
      </c>
      <c r="P165" s="39">
        <f>SUMIFS('C.Pagar'!$G$2:$G$4509,'C.Pagar'!$D$2:$D$4509,TRIM($A165),'C.Pagar'!$K$2:$K$4509,"&gt;=01/03/2026",'C.Pagar'!$K$2:$K$4509,"&lt;=31/03/2026")</f>
        <v>3510</v>
      </c>
      <c r="Q165" s="40">
        <f t="shared" si="242"/>
        <v>3.3876498755178617E-3</v>
      </c>
      <c r="R165" s="40">
        <f t="shared" si="243"/>
        <v>0</v>
      </c>
      <c r="S165" s="39">
        <f>SUMIFS('C.Pagar'!$G$2:$G$4509,'C.Pagar'!$D$2:$D$4509,TRIM($A165),'C.Pagar'!$K$2:$K$4509,"&gt;=01/04/2026",'C.Pagar'!$K$2:$K$4509,"&lt;=30/04/2026")</f>
        <v>2340</v>
      </c>
      <c r="T165" s="40">
        <f t="shared" si="244"/>
        <v>2.6479565526909971E-3</v>
      </c>
      <c r="U165" s="40">
        <f t="shared" si="245"/>
        <v>-0.33333333333333337</v>
      </c>
    </row>
    <row r="166" spans="1:21" s="8" customFormat="1" x14ac:dyDescent="0.3">
      <c r="A166" s="30" t="s">
        <v>1704</v>
      </c>
      <c r="B166" s="200">
        <f>B160-B161</f>
        <v>-22623.920000000078</v>
      </c>
      <c r="C166" s="69">
        <f t="shared" si="222"/>
        <v>-2.014390082925966E-2</v>
      </c>
      <c r="D166" s="200">
        <f>D160-D161</f>
        <v>-52069.949999999706</v>
      </c>
      <c r="E166" s="32">
        <f t="shared" si="177"/>
        <v>-5.2649599450623308E-2</v>
      </c>
      <c r="F166" s="32">
        <f t="shared" si="174"/>
        <v>1.3015441179070439</v>
      </c>
      <c r="G166" s="31">
        <f>G160-G161</f>
        <v>65393.600000000464</v>
      </c>
      <c r="H166" s="32">
        <f t="shared" si="223"/>
        <v>5.9911504978533654E-2</v>
      </c>
      <c r="I166" s="32">
        <f t="shared" si="232"/>
        <v>-2.2558798308813595</v>
      </c>
      <c r="J166" s="200">
        <f>J160-J161</f>
        <v>-75586.459999999832</v>
      </c>
      <c r="K166" s="32">
        <f t="shared" si="238"/>
        <v>-8.0153416518851842E-2</v>
      </c>
      <c r="L166" s="32">
        <f t="shared" si="239"/>
        <v>-2.1558693817131847</v>
      </c>
      <c r="M166" s="200">
        <f>M160-M161</f>
        <v>-202048.75999999981</v>
      </c>
      <c r="N166" s="32">
        <f t="shared" si="240"/>
        <v>-0.29208582492648377</v>
      </c>
      <c r="O166" s="32">
        <f t="shared" si="241"/>
        <v>1.6730813957949646</v>
      </c>
      <c r="P166" s="200">
        <f>P160-P161</f>
        <v>44402.940000000206</v>
      </c>
      <c r="Q166" s="32">
        <f t="shared" si="242"/>
        <v>4.2855160730378282E-2</v>
      </c>
      <c r="R166" s="32">
        <f t="shared" si="243"/>
        <v>-1.2197634867939811</v>
      </c>
      <c r="S166" s="200">
        <f>S160-S161</f>
        <v>71198.819999999876</v>
      </c>
      <c r="T166" s="32">
        <f t="shared" si="244"/>
        <v>8.0568966650797644E-2</v>
      </c>
      <c r="U166" s="32">
        <f t="shared" si="245"/>
        <v>0.60347085125443378</v>
      </c>
    </row>
    <row r="167" spans="1:21" x14ac:dyDescent="0.3">
      <c r="G167" s="47"/>
      <c r="H167" s="40"/>
      <c r="I167" s="40"/>
      <c r="J167" s="47"/>
      <c r="K167" s="40"/>
      <c r="L167" s="40"/>
      <c r="M167" s="47"/>
      <c r="N167" s="40"/>
      <c r="O167" s="40"/>
      <c r="P167" s="47"/>
      <c r="Q167" s="40"/>
      <c r="R167" s="40"/>
      <c r="S167" s="47"/>
      <c r="T167" s="40"/>
      <c r="U167" s="40"/>
    </row>
    <row r="168" spans="1:21" ht="14.4" customHeight="1" x14ac:dyDescent="0.3">
      <c r="A168" s="508"/>
      <c r="B168" s="507" t="s">
        <v>1441</v>
      </c>
      <c r="C168" s="507"/>
      <c r="D168" s="507" t="s">
        <v>1442</v>
      </c>
      <c r="E168" s="507"/>
      <c r="F168" s="507"/>
      <c r="G168" s="507" t="s">
        <v>1443</v>
      </c>
      <c r="H168" s="507"/>
      <c r="I168" s="507"/>
      <c r="J168" s="507" t="s">
        <v>1444</v>
      </c>
      <c r="K168" s="507"/>
      <c r="L168" s="507"/>
      <c r="M168" s="507" t="s">
        <v>1668</v>
      </c>
      <c r="N168" s="507"/>
      <c r="O168" s="507"/>
      <c r="P168" s="507" t="s">
        <v>1669</v>
      </c>
      <c r="Q168" s="507"/>
      <c r="R168" s="507"/>
      <c r="S168" s="507" t="s">
        <v>1669</v>
      </c>
      <c r="T168" s="507"/>
      <c r="U168" s="507"/>
    </row>
    <row r="169" spans="1:21" s="7" customFormat="1" x14ac:dyDescent="0.3">
      <c r="A169" s="508"/>
      <c r="B169" s="452" t="s">
        <v>1445</v>
      </c>
      <c r="C169" s="68" t="s">
        <v>1446</v>
      </c>
      <c r="D169" s="452" t="s">
        <v>1445</v>
      </c>
      <c r="E169" s="29" t="s">
        <v>1446</v>
      </c>
      <c r="F169" s="29" t="s">
        <v>1670</v>
      </c>
      <c r="G169" s="452" t="s">
        <v>1445</v>
      </c>
      <c r="H169" s="29" t="s">
        <v>1446</v>
      </c>
      <c r="I169" s="29" t="s">
        <v>1670</v>
      </c>
      <c r="J169" s="452" t="s">
        <v>1445</v>
      </c>
      <c r="K169" s="29" t="s">
        <v>1446</v>
      </c>
      <c r="L169" s="29" t="s">
        <v>1670</v>
      </c>
      <c r="M169" s="452" t="s">
        <v>1445</v>
      </c>
      <c r="N169" s="29" t="s">
        <v>1446</v>
      </c>
      <c r="O169" s="29" t="s">
        <v>1670</v>
      </c>
      <c r="P169" s="452" t="s">
        <v>1445</v>
      </c>
      <c r="Q169" s="29" t="s">
        <v>1446</v>
      </c>
      <c r="R169" s="29" t="s">
        <v>1670</v>
      </c>
      <c r="S169" s="452" t="s">
        <v>1445</v>
      </c>
      <c r="T169" s="29" t="s">
        <v>1446</v>
      </c>
      <c r="U169" s="29" t="s">
        <v>1670</v>
      </c>
    </row>
    <row r="170" spans="1:21" x14ac:dyDescent="0.3">
      <c r="A170" s="30" t="s">
        <v>1840</v>
      </c>
      <c r="B170" s="200">
        <f>B171-B172</f>
        <v>-22623.920000000158</v>
      </c>
      <c r="C170" s="69">
        <f>B170/B171</f>
        <v>-2.0143900829259733E-2</v>
      </c>
      <c r="D170" s="200">
        <f>D171-D172</f>
        <v>-52069.949999999721</v>
      </c>
      <c r="E170" s="32">
        <f>D170/D171</f>
        <v>-4.5917450996477739E-2</v>
      </c>
      <c r="F170" s="32">
        <f t="shared" si="174"/>
        <v>1.3015441179070364</v>
      </c>
      <c r="G170" s="31">
        <f>G171-G172</f>
        <v>65393.600000000326</v>
      </c>
      <c r="H170" s="32">
        <f>G170/G171</f>
        <v>5.0365020008076238E-2</v>
      </c>
      <c r="I170" s="32">
        <f>IFERROR(G170/D170-1,0)</f>
        <v>-2.2558798308813564</v>
      </c>
      <c r="J170" s="200">
        <f>J171-J172</f>
        <v>-75586.459999999963</v>
      </c>
      <c r="K170" s="32">
        <f>J170/J171</f>
        <v>-7.0772360551157362E-2</v>
      </c>
      <c r="L170" s="32">
        <f>IFERROR(J170/G170-1,0)</f>
        <v>-2.1558693817131891</v>
      </c>
      <c r="M170" s="200">
        <f>M171-M172</f>
        <v>-202048.75999999989</v>
      </c>
      <c r="N170" s="32">
        <f>M170/M171</f>
        <v>-0.29208582492648388</v>
      </c>
      <c r="O170" s="32">
        <f>IFERROR(M170/J170-1,0)</f>
        <v>1.6730813957949611</v>
      </c>
      <c r="P170" s="200">
        <f>P171-P172</f>
        <v>44402.940000000293</v>
      </c>
      <c r="Q170" s="32">
        <f>P170/P171</f>
        <v>4.2855160730378365E-2</v>
      </c>
      <c r="R170" s="32">
        <f>IFERROR(P170/M170-1,0)</f>
        <v>-1.2197634867939815</v>
      </c>
      <c r="S170" s="200">
        <f>S171-S172</f>
        <v>71198.819999999949</v>
      </c>
      <c r="T170" s="32">
        <f>S170/S171</f>
        <v>8.0568966650797727E-2</v>
      </c>
      <c r="U170" s="32">
        <f>IFERROR(S170/P170-1,0)</f>
        <v>0.60347085125443223</v>
      </c>
    </row>
    <row r="171" spans="1:21" x14ac:dyDescent="0.3">
      <c r="A171" s="37" t="s">
        <v>1841</v>
      </c>
      <c r="B171" s="47">
        <f>B3+B139</f>
        <v>1123115.1399999999</v>
      </c>
      <c r="C171" s="70">
        <f>B171/B171</f>
        <v>1</v>
      </c>
      <c r="D171" s="47">
        <f>D3+D139</f>
        <v>1133990.43</v>
      </c>
      <c r="E171" s="40">
        <f>D171/D171</f>
        <v>1</v>
      </c>
      <c r="F171" s="40">
        <f t="shared" si="174"/>
        <v>9.6831478916756808E-3</v>
      </c>
      <c r="G171" s="74">
        <f>G3+G139</f>
        <v>1298393.21</v>
      </c>
      <c r="H171" s="40">
        <f>G171/G171</f>
        <v>1</v>
      </c>
      <c r="I171" s="40">
        <f>IFERROR(G171/D171-1,0)</f>
        <v>0.14497721995766755</v>
      </c>
      <c r="J171" s="74">
        <f>J3+J139</f>
        <v>1068022.31</v>
      </c>
      <c r="K171" s="40">
        <f>J171/J171</f>
        <v>1</v>
      </c>
      <c r="L171" s="40">
        <f>IFERROR(J171/G171-1,0)</f>
        <v>-0.17742768386781682</v>
      </c>
      <c r="M171" s="74">
        <f>M3+M139</f>
        <v>691744.49</v>
      </c>
      <c r="N171" s="40">
        <f>M171/M171</f>
        <v>1</v>
      </c>
      <c r="O171" s="40">
        <f>IFERROR(M171/J171-1,0)</f>
        <v>-0.35231269653908259</v>
      </c>
      <c r="P171" s="74">
        <f>P3+P139</f>
        <v>1036116.52</v>
      </c>
      <c r="Q171" s="40">
        <f>P171/P171</f>
        <v>1</v>
      </c>
      <c r="R171" s="40">
        <f>IFERROR(P171/M171-1,0)</f>
        <v>0.49783125847522114</v>
      </c>
      <c r="S171" s="74">
        <f>S3+S139</f>
        <v>883700.3</v>
      </c>
      <c r="T171" s="40">
        <f>S171/S171</f>
        <v>1</v>
      </c>
      <c r="U171" s="40">
        <f>IFERROR(S171/P171-1,0)</f>
        <v>-0.1471033586068099</v>
      </c>
    </row>
    <row r="172" spans="1:21" x14ac:dyDescent="0.3">
      <c r="A172" s="37" t="s">
        <v>1842</v>
      </c>
      <c r="B172" s="47">
        <f>B5+B15+B17+B22+B36+B133+B137+B146+B155+B161</f>
        <v>1145739.06</v>
      </c>
      <c r="C172" s="70">
        <f>B172/B171</f>
        <v>1.0201439008292597</v>
      </c>
      <c r="D172" s="47">
        <f>D5+D15+D17+D22+D36+D133+D137+D146+D155+D161</f>
        <v>1186060.3799999997</v>
      </c>
      <c r="E172" s="40">
        <f>D172/D171</f>
        <v>1.0459174509964777</v>
      </c>
      <c r="F172" s="40">
        <f t="shared" si="174"/>
        <v>3.5192411088786235E-2</v>
      </c>
      <c r="G172" s="47">
        <f>G5+G15+G17+G22+G36+G133+G137+G146+G155+G161</f>
        <v>1232999.6099999996</v>
      </c>
      <c r="H172" s="40">
        <f>G172/G171</f>
        <v>0.94963497999192381</v>
      </c>
      <c r="I172" s="40">
        <f>IFERROR(G172/D172-1,0)</f>
        <v>3.9575750772485874E-2</v>
      </c>
      <c r="J172" s="47">
        <f>J5+J15+J17+J22+J36+J133+J137+J146+J155+J161</f>
        <v>1143608.77</v>
      </c>
      <c r="K172" s="40">
        <f>J172/J171</f>
        <v>1.0707723605511574</v>
      </c>
      <c r="L172" s="40">
        <f>IFERROR(J172/G172-1,0)</f>
        <v>-7.2498676621641112E-2</v>
      </c>
      <c r="M172" s="47">
        <f>M5+M15+M17+M22+M36+M133+M137+M146+M155+M161</f>
        <v>893793.24999999988</v>
      </c>
      <c r="N172" s="40">
        <f>M172/M171</f>
        <v>1.2920858249264839</v>
      </c>
      <c r="O172" s="40">
        <f>IFERROR(M172/J172-1,0)</f>
        <v>-0.21844491451390335</v>
      </c>
      <c r="P172" s="47">
        <f>P5+P15+P17+P22+P36+P133+P137+P146+P155+P161</f>
        <v>991713.57999999973</v>
      </c>
      <c r="Q172" s="40">
        <f>P172/P171</f>
        <v>0.95714483926962168</v>
      </c>
      <c r="R172" s="40">
        <f>IFERROR(P172/M172-1,0)</f>
        <v>0.1095559068050691</v>
      </c>
      <c r="S172" s="47">
        <f>S5+S15+S17+S22+S36+S133+S137+S146+S155+S161</f>
        <v>812501.4800000001</v>
      </c>
      <c r="T172" s="40">
        <f>S172/S171</f>
        <v>0.91943103334920229</v>
      </c>
      <c r="U172" s="40">
        <f>IFERROR(S172/P172-1,0)</f>
        <v>-0.18070953510589183</v>
      </c>
    </row>
    <row r="174" spans="1:21" x14ac:dyDescent="0.3">
      <c r="P174" s="47"/>
      <c r="S174" s="47"/>
    </row>
    <row r="175" spans="1:21" ht="13.2" customHeight="1" x14ac:dyDescent="0.3">
      <c r="A175" s="38" t="s">
        <v>1843</v>
      </c>
      <c r="B175" s="39">
        <f>SUMIFS('C.Pagar'!G$2:G$4509,'C.Pagar'!D$2:D$4509,TRIM(A175),'C.Pagar'!K$2:K$4509,"&gt;=01/10/2025",'C.Pagar'!K$2:K$4509,"&lt;=31/10/2025")</f>
        <v>0</v>
      </c>
      <c r="C175" s="70">
        <f t="shared" ref="C175" si="251">B175/B$3</f>
        <v>0</v>
      </c>
      <c r="D175" s="39">
        <f>SUMIFS('C.Pagar'!G$2:G$4509,'C.Pagar'!D$2:D$4509,TRIM(A175),'C.Pagar'!K$2:K$4509,"&gt;=01/11/2025",'C.Pagar'!K$2:K$4509,"&lt;=30/11/2025")</f>
        <v>0</v>
      </c>
      <c r="E175" s="40">
        <f t="shared" ref="E175" si="252">D175/D$3</f>
        <v>0</v>
      </c>
      <c r="F175" s="40">
        <f t="shared" ref="F175" si="253">IFERROR(D175/B175-1,0)</f>
        <v>0</v>
      </c>
      <c r="G175" s="39">
        <f>SUMIFS('C.Pagar'!G$2:G$4509,'C.Pagar'!D$2:D$4509,TRIM(A175),'C.Pagar'!K$2:K$4509,"&gt;=01/12/2025",'C.Pagar'!K$2:K$4509,"&lt;=31/12/2025")</f>
        <v>0</v>
      </c>
      <c r="H175" s="40">
        <f t="shared" ref="H175" si="254">G175/G$3</f>
        <v>0</v>
      </c>
      <c r="I175" s="40">
        <f t="shared" ref="I175" si="255">IFERROR(G175/D175-1,0)</f>
        <v>0</v>
      </c>
      <c r="J175" s="39">
        <f>SUMIFS('C.Pagar'!G$2:G$4509,'C.Pagar'!D$2:D$4509,TRIM(A175),'C.Pagar'!K$2:K$4509,"&gt;=01/01/2026",'C.Pagar'!K$2:K$4509,"&lt;=31/01/2026")</f>
        <v>0</v>
      </c>
      <c r="K175" s="40">
        <f t="shared" ref="K175" si="256">J175/J$3</f>
        <v>0</v>
      </c>
      <c r="L175" s="40">
        <f t="shared" ref="L175" si="257">IFERROR(J175/G175-1,0)</f>
        <v>0</v>
      </c>
      <c r="M175" s="39">
        <f>SUMIFS('C.Pagar'!$G$2:$G$4509,'C.Pagar'!$D$2:$D$4509,TRIM($A175),'C.Pagar'!$K$2:$K$4509,"&gt;=01/02/2026",'C.Pagar'!$K$2:$K$4509,"&lt;=28/02/2026")</f>
        <v>0</v>
      </c>
      <c r="N175" s="40">
        <f t="shared" ref="N175" si="258">M175/M$3</f>
        <v>0</v>
      </c>
      <c r="O175" s="40">
        <f t="shared" ref="O175" si="259">IFERROR(M175/J175-1,0)</f>
        <v>0</v>
      </c>
      <c r="P175" s="39">
        <f>SUMIFS('C.Pagar'!$G$2:$G$4509,'C.Pagar'!$D$2:$D$4509,TRIM($A175),'C.Pagar'!$K$2:$K$4509,"&gt;=01/03/2026",'C.Pagar'!$K$2:$K$4509,"&lt;=31/03/2026")</f>
        <v>0</v>
      </c>
      <c r="Q175" s="40">
        <f t="shared" ref="Q175" si="260">P175/P$3</f>
        <v>0</v>
      </c>
      <c r="R175" s="40">
        <f t="shared" ref="R175" si="261">IFERROR(P175/M175-1,0)</f>
        <v>0</v>
      </c>
      <c r="S175" s="39">
        <f>SUMIFS('C.Pagar'!$G$2:$G$4509,'C.Pagar'!$D$2:$D$4509,TRIM($A175),'C.Pagar'!$K$2:$K$4509,"&gt;=01/04/2026",'C.Pagar'!$K$2:$K$4509,"&lt;=30/04/2026")</f>
        <v>41100</v>
      </c>
      <c r="T175" s="40">
        <f t="shared" ref="T175" si="262">S175/S$3</f>
        <v>4.6508980476752129E-2</v>
      </c>
      <c r="U175" s="40">
        <f t="shared" ref="U175" si="263">IFERROR(S175/P175-1,0)</f>
        <v>0</v>
      </c>
    </row>
    <row r="177" spans="7:20" x14ac:dyDescent="0.3">
      <c r="G177" s="47"/>
      <c r="J177" s="47"/>
      <c r="M177" s="47"/>
    </row>
    <row r="179" spans="7:20" x14ac:dyDescent="0.3">
      <c r="G179" s="47"/>
      <c r="J179" s="47"/>
      <c r="M179" s="47"/>
      <c r="Q179" s="6"/>
      <c r="T179" s="6"/>
    </row>
  </sheetData>
  <mergeCells count="16">
    <mergeCell ref="S1:U1"/>
    <mergeCell ref="S168:U168"/>
    <mergeCell ref="G168:I168"/>
    <mergeCell ref="A1:A2"/>
    <mergeCell ref="B1:C1"/>
    <mergeCell ref="D1:F1"/>
    <mergeCell ref="G1:I1"/>
    <mergeCell ref="A168:A169"/>
    <mergeCell ref="B168:C168"/>
    <mergeCell ref="D168:F168"/>
    <mergeCell ref="P1:R1"/>
    <mergeCell ref="P168:R168"/>
    <mergeCell ref="M1:O1"/>
    <mergeCell ref="M168:O168"/>
    <mergeCell ref="J1:L1"/>
    <mergeCell ref="J168:L168"/>
  </mergeCells>
  <phoneticPr fontId="6" type="noConversion"/>
  <pageMargins left="0.511811024" right="0.511811024" top="0.78740157499999996" bottom="0.78740157499999996" header="0.31496062000000002" footer="0.31496062000000002"/>
  <pageSetup paperSize="9" scale="60" fitToHeight="0" orientation="portrait" r:id="rId1"/>
  <ignoredErrors>
    <ignoredError sqref="H170:I170 C168 H168:I168 E168:F168 B169:I169 E170:F170 B167:I167 D168 F171:I171 B170:D172 F172 H172:I172 B158:C163 B93:C107 B165:C166 B164:C164 B4:F4 B157:C157 H4:I4 B114:C156 B82:C82 B14:C25 B84:C88 B27:C27 C28 B8:C8 B35:C79 B91:C91 C5 C108 B112:C113 B109:C109 B108 B110:C110 Q112:Q113 Q108 Q109 Q110 N109:P109 J108:P108 G108 D108 N112:P113 K112:L113 K109:L109 D110:P110 D109:I109 J112:J113 F112:I113 D112:D113 M112:M113 F108 H108:I108 J109 M109 J93:J107 M93:M107 H5:I5 F5 D91 F91:J91 M91 D35:D79 M56:M79 F8:I8 D8 H28:I28 F27:F28 G27:I27 D27 D84:D88 F84:J88 M82:M88 F17:I25 D14:D25 M114:M116 D82:J82 J17 D114:D156 F114:I116 J114:J116 M126:M166 M15 M118:M124 M17 G39:I79 J56:J79 J118:J166 H36:I38 F93:I107 H141:I143 F141:F143 F144:I156 D157:G157 F165:I166 F158:I163 F118:I140 E16:I16 E40 D164:I164 D165:D166 F14:I15 D93:D107 G35:I35 D158:D163 F35:F79 D6:P7 D80:P81 J39:P55 K164:L164 J35:P35 D26:P26 J14:P14 J16:P16 K125:P125 K158:L163 K165:L166 H157:I157 K144:L156 G141:G143 K141:L143 K93:L107 G36:G38 J36:P38 K157:L157 K56:L79 N17:P17 K118:L124 N118:P124 J15:L15 N15:P15 N164:P164 K126:L140 N126:P140 N158:P163 N165:P166 N144:P156 N141:P143 N157:P157 E117:P117 K114:L116 K17:L17 D89:P90 K82:L82 N114:P116 J18:P25 D83:L83 N83:P88 N82:P82 K84:L88 D29:P34 J27:P27 D28 G28 J28:P28 D9:P13 J8:P8 N56:P79 D92:P92 N91:P91 K91:L91 D5 G5 J5:P5 N93:P107 D111:P111 D175:S175 U175:V175" formula="1"/>
    <ignoredError sqref="E171:E172 E108 E112:E113 E5 E91 E8 E27:E28 E84:E88 E17:E25 E114:E116 E118:E156 E35:E39 E41:E79 E165:E166 E14:E15 E158:E163 E93:E107 T175" evalError="1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61CA4-C120-4450-B244-873B97AEEC82}">
  <dimension ref="A1:W60"/>
  <sheetViews>
    <sheetView showGridLines="0" workbookViewId="0">
      <pane xSplit="2" ySplit="2" topLeftCell="G22" activePane="bottomRight" state="frozen"/>
      <selection pane="topRight" activeCell="B1" sqref="B1"/>
      <selection pane="bottomLeft" activeCell="A3" sqref="A3"/>
      <selection pane="bottomRight" activeCell="R40" sqref="R40"/>
    </sheetView>
  </sheetViews>
  <sheetFormatPr defaultColWidth="9.109375" defaultRowHeight="12.75" customHeight="1" x14ac:dyDescent="0.3"/>
  <cols>
    <col min="1" max="1" width="10.6640625" style="136" bestFit="1" customWidth="1"/>
    <col min="2" max="2" width="55" style="136" bestFit="1" customWidth="1"/>
    <col min="3" max="3" width="11.6640625" style="136" bestFit="1" customWidth="1"/>
    <col min="4" max="4" width="5.6640625" style="136" bestFit="1" customWidth="1"/>
    <col min="5" max="5" width="11.6640625" style="136" bestFit="1" customWidth="1"/>
    <col min="6" max="6" width="8.6640625" style="136" bestFit="1" customWidth="1"/>
    <col min="7" max="7" width="11.6640625" style="136" bestFit="1" customWidth="1"/>
    <col min="8" max="8" width="8.33203125" style="136" bestFit="1" customWidth="1"/>
    <col min="9" max="9" width="11.6640625" style="136" bestFit="1" customWidth="1"/>
    <col min="10" max="10" width="8.6640625" style="136" bestFit="1" customWidth="1"/>
    <col min="11" max="11" width="11.6640625" style="136" bestFit="1" customWidth="1"/>
    <col min="12" max="12" width="8.6640625" style="136" bestFit="1" customWidth="1"/>
    <col min="13" max="13" width="11.6640625" style="136" bestFit="1" customWidth="1"/>
    <col min="14" max="14" width="7.6640625" style="136" customWidth="1"/>
    <col min="15" max="15" width="11.6640625" style="136" bestFit="1" customWidth="1"/>
    <col min="16" max="16" width="7.6640625" style="136" customWidth="1"/>
    <col min="17" max="17" width="14.6640625" style="136" bestFit="1" customWidth="1"/>
    <col min="18" max="18" width="11" style="12" bestFit="1" customWidth="1"/>
    <col min="19" max="19" width="12.44140625" style="136" bestFit="1" customWidth="1"/>
    <col min="20" max="20" width="10.33203125" style="136" bestFit="1" customWidth="1"/>
    <col min="21" max="21" width="9.109375" style="136"/>
    <col min="22" max="22" width="12.5546875" style="136" bestFit="1" customWidth="1"/>
    <col min="23" max="23" width="11" style="136" bestFit="1" customWidth="1"/>
    <col min="24" max="16384" width="9.109375" style="136"/>
  </cols>
  <sheetData>
    <row r="1" spans="1:23" ht="14.4" customHeight="1" x14ac:dyDescent="0.3">
      <c r="B1" s="508" t="s">
        <v>1844</v>
      </c>
      <c r="C1" s="511">
        <v>45931</v>
      </c>
      <c r="D1" s="511"/>
      <c r="E1" s="511">
        <v>45962</v>
      </c>
      <c r="F1" s="511"/>
      <c r="G1" s="511">
        <v>45992</v>
      </c>
      <c r="H1" s="511"/>
      <c r="I1" s="511">
        <v>46023</v>
      </c>
      <c r="J1" s="511"/>
      <c r="K1" s="511">
        <v>46054</v>
      </c>
      <c r="L1" s="511"/>
      <c r="M1" s="511">
        <v>46082</v>
      </c>
      <c r="N1" s="511"/>
      <c r="O1" s="511">
        <v>46113</v>
      </c>
      <c r="P1" s="511"/>
    </row>
    <row r="2" spans="1:23" ht="14.4" customHeight="1" x14ac:dyDescent="0.3">
      <c r="B2" s="508"/>
      <c r="C2" s="492" t="s">
        <v>1445</v>
      </c>
      <c r="D2" s="492" t="s">
        <v>1670</v>
      </c>
      <c r="E2" s="492" t="s">
        <v>1445</v>
      </c>
      <c r="F2" s="492" t="s">
        <v>1670</v>
      </c>
      <c r="G2" s="492" t="s">
        <v>1445</v>
      </c>
      <c r="H2" s="492" t="s">
        <v>1670</v>
      </c>
      <c r="I2" s="492" t="s">
        <v>1445</v>
      </c>
      <c r="J2" s="492" t="s">
        <v>1670</v>
      </c>
      <c r="K2" s="492" t="s">
        <v>1445</v>
      </c>
      <c r="L2" s="492" t="s">
        <v>1670</v>
      </c>
      <c r="M2" s="492" t="s">
        <v>1445</v>
      </c>
      <c r="N2" s="492" t="s">
        <v>1670</v>
      </c>
      <c r="O2" s="492" t="s">
        <v>1445</v>
      </c>
      <c r="P2" s="492" t="s">
        <v>1670</v>
      </c>
      <c r="Q2" s="136" t="s">
        <v>1374</v>
      </c>
    </row>
    <row r="3" spans="1:23" ht="13.8" x14ac:dyDescent="0.3">
      <c r="A3" s="136" t="s">
        <v>1845</v>
      </c>
      <c r="B3" s="137" t="s">
        <v>1846</v>
      </c>
      <c r="C3" s="138">
        <f>SUM(C4:C6)</f>
        <v>1870693.04</v>
      </c>
      <c r="D3" s="139">
        <f>IFERROR(C3/#REF!-1,0)</f>
        <v>0</v>
      </c>
      <c r="E3" s="138">
        <f>SUM(E4:E6)</f>
        <v>1047609.13</v>
      </c>
      <c r="F3" s="139">
        <f t="shared" ref="F3:F18" si="0">IFERROR(E3/C3-1,0)</f>
        <v>-0.43998875945996996</v>
      </c>
      <c r="G3" s="138">
        <f>SUM(G4:G6)</f>
        <v>989532.32</v>
      </c>
      <c r="H3" s="139">
        <f t="shared" ref="H3:H6" si="1">IFERROR(G3/E3-1,0)</f>
        <v>-5.5437479816541901E-2</v>
      </c>
      <c r="I3" s="138">
        <f>SUM(I4:I6)</f>
        <v>1484653.61</v>
      </c>
      <c r="J3" s="139">
        <f t="shared" ref="J3:J17" si="2">IFERROR(I3/G3-1,0)</f>
        <v>0.50035888671124984</v>
      </c>
      <c r="K3" s="138">
        <f>SUM(K4:K6)</f>
        <v>1039728.7999999999</v>
      </c>
      <c r="L3" s="139">
        <f t="shared" ref="L3:L17" si="3">IFERROR(K3/I3-1,0)</f>
        <v>-0.2996825704010514</v>
      </c>
      <c r="M3" s="138">
        <f>SUM(M4:M6)</f>
        <v>625302.88999999978</v>
      </c>
      <c r="N3" s="139">
        <f t="shared" ref="N3:N17" si="4">IFERROR(M3/K3-1,0)</f>
        <v>-0.39859039203299951</v>
      </c>
      <c r="O3" s="138">
        <f>SUM(O4:O6)</f>
        <v>0</v>
      </c>
      <c r="P3" s="139">
        <f t="shared" ref="P3:P17" si="5">IFERROR(O3/M3-1,0)</f>
        <v>-1</v>
      </c>
      <c r="Q3" s="193" t="s">
        <v>1847</v>
      </c>
      <c r="R3" s="194" t="s">
        <v>1848</v>
      </c>
      <c r="S3" s="195">
        <f>M3-K3</f>
        <v>-414425.91000000015</v>
      </c>
      <c r="T3" s="140">
        <f>SUM(T4:T6)</f>
        <v>463410.68000000005</v>
      </c>
      <c r="W3" s="140"/>
    </row>
    <row r="4" spans="1:23" ht="14.4" x14ac:dyDescent="0.3">
      <c r="A4" s="136" t="s">
        <v>1845</v>
      </c>
      <c r="B4" s="141" t="s">
        <v>1849</v>
      </c>
      <c r="C4" s="144">
        <v>1756895.02</v>
      </c>
      <c r="D4" s="143">
        <f>IFERROR(C4/#REF!-1,0)</f>
        <v>0</v>
      </c>
      <c r="E4" s="144">
        <f>740618.65+151294.76</f>
        <v>891913.41</v>
      </c>
      <c r="F4" s="143">
        <f t="shared" si="0"/>
        <v>-0.49233539861704423</v>
      </c>
      <c r="G4" s="144">
        <v>913788.12</v>
      </c>
      <c r="H4" s="143">
        <f t="shared" si="1"/>
        <v>2.4525598286497363E-2</v>
      </c>
      <c r="I4" s="144">
        <v>1254013.02</v>
      </c>
      <c r="J4" s="143">
        <f t="shared" si="2"/>
        <v>0.37232361917771484</v>
      </c>
      <c r="K4" s="144">
        <f>453111.9+86025.82-51373.57+211001.01</f>
        <v>698765.15999999992</v>
      </c>
      <c r="L4" s="143">
        <f t="shared" si="3"/>
        <v>-0.44277679030796668</v>
      </c>
      <c r="M4" s="144">
        <v>547363.7899999998</v>
      </c>
      <c r="N4" s="143">
        <f t="shared" si="4"/>
        <v>-0.21666988949477695</v>
      </c>
      <c r="O4" s="144"/>
      <c r="P4" s="143">
        <f t="shared" si="5"/>
        <v>-1</v>
      </c>
      <c r="Q4" s="144"/>
      <c r="R4" s="196"/>
      <c r="S4" s="193"/>
      <c r="T4" s="136">
        <v>385471.58</v>
      </c>
      <c r="V4" s="262"/>
    </row>
    <row r="5" spans="1:23" ht="13.8" x14ac:dyDescent="0.3">
      <c r="A5" s="136" t="s">
        <v>1845</v>
      </c>
      <c r="B5" s="141" t="s">
        <v>1850</v>
      </c>
      <c r="C5" s="142">
        <v>102845</v>
      </c>
      <c r="D5" s="143">
        <f>IFERROR(C5/#REF!-1,0)</f>
        <v>0</v>
      </c>
      <c r="E5" s="144">
        <v>7675</v>
      </c>
      <c r="F5" s="143">
        <f t="shared" si="0"/>
        <v>-0.92537313432835822</v>
      </c>
      <c r="G5" s="144">
        <v>0</v>
      </c>
      <c r="H5" s="143">
        <f t="shared" si="1"/>
        <v>-1</v>
      </c>
      <c r="I5" s="144">
        <v>0</v>
      </c>
      <c r="J5" s="143">
        <f t="shared" si="2"/>
        <v>0</v>
      </c>
      <c r="K5" s="144">
        <v>186710.04</v>
      </c>
      <c r="L5" s="143">
        <f t="shared" si="3"/>
        <v>0</v>
      </c>
      <c r="M5" s="144">
        <v>0</v>
      </c>
      <c r="N5" s="143">
        <f t="shared" si="4"/>
        <v>-1</v>
      </c>
      <c r="O5" s="144"/>
      <c r="P5" s="143">
        <f t="shared" si="5"/>
        <v>0</v>
      </c>
      <c r="Q5" s="144"/>
      <c r="R5" s="196"/>
      <c r="S5" s="195"/>
      <c r="T5" s="136">
        <v>0</v>
      </c>
    </row>
    <row r="6" spans="1:23" ht="13.8" x14ac:dyDescent="0.3">
      <c r="A6" s="136" t="s">
        <v>1845</v>
      </c>
      <c r="B6" s="141" t="s">
        <v>1851</v>
      </c>
      <c r="C6" s="142">
        <v>10953.02</v>
      </c>
      <c r="D6" s="143">
        <f>IFERROR(C6/#REF!-1,0)</f>
        <v>0</v>
      </c>
      <c r="E6" s="144">
        <v>148020.71999999997</v>
      </c>
      <c r="F6" s="143">
        <f t="shared" si="0"/>
        <v>12.5141467832616</v>
      </c>
      <c r="G6" s="144">
        <v>75744.2</v>
      </c>
      <c r="H6" s="143">
        <f t="shared" si="1"/>
        <v>-0.48828650475419921</v>
      </c>
      <c r="I6" s="144">
        <v>230640.59</v>
      </c>
      <c r="J6" s="143">
        <f t="shared" si="2"/>
        <v>2.0449934120368294</v>
      </c>
      <c r="K6" s="144">
        <v>154253.6</v>
      </c>
      <c r="L6" s="143">
        <f t="shared" si="3"/>
        <v>-0.331194912395949</v>
      </c>
      <c r="M6" s="144">
        <v>77939.100000000006</v>
      </c>
      <c r="N6" s="143">
        <f t="shared" si="4"/>
        <v>-0.49473399648371252</v>
      </c>
      <c r="O6" s="144"/>
      <c r="P6" s="143">
        <f t="shared" si="5"/>
        <v>-1</v>
      </c>
      <c r="Q6" s="142"/>
      <c r="R6" s="197"/>
      <c r="S6" s="193"/>
      <c r="T6" s="136">
        <v>77939.100000000006</v>
      </c>
    </row>
    <row r="7" spans="1:23" ht="13.8" x14ac:dyDescent="0.3">
      <c r="A7" s="136" t="s">
        <v>1845</v>
      </c>
      <c r="B7" s="137" t="s">
        <v>1852</v>
      </c>
      <c r="C7" s="138">
        <f>SUM(C8:C12)</f>
        <v>60840.68</v>
      </c>
      <c r="D7" s="139">
        <f>IFERROR(C7/#REF!-1,0)</f>
        <v>0</v>
      </c>
      <c r="E7" s="138">
        <f>SUM(E8:E12)</f>
        <v>-73229.27</v>
      </c>
      <c r="F7" s="139">
        <f t="shared" si="0"/>
        <v>-2.2036234637745666</v>
      </c>
      <c r="G7" s="138">
        <f>SUM(G8:G12)</f>
        <v>-87725.67</v>
      </c>
      <c r="H7" s="139">
        <f t="shared" ref="H7:H17" si="6">IFERROR(G7/E7-1,0)</f>
        <v>0.19795909477180351</v>
      </c>
      <c r="I7" s="138">
        <f>SUM(I8:I12)</f>
        <v>-288353.43</v>
      </c>
      <c r="J7" s="139">
        <f t="shared" si="2"/>
        <v>2.2869903415955672</v>
      </c>
      <c r="K7" s="138">
        <f>SUM(K8:K12)</f>
        <v>-488530.17000000004</v>
      </c>
      <c r="L7" s="139">
        <f t="shared" si="3"/>
        <v>0.69420620382424469</v>
      </c>
      <c r="M7" s="138">
        <f>SUM(M8:M12)</f>
        <v>-445252.05</v>
      </c>
      <c r="N7" s="139">
        <f t="shared" si="4"/>
        <v>-8.8588428428074462E-2</v>
      </c>
      <c r="O7" s="138">
        <f>SUM(O8:O12)</f>
        <v>-359230.47</v>
      </c>
      <c r="P7" s="139">
        <f t="shared" si="5"/>
        <v>-0.19319749341973835</v>
      </c>
      <c r="Q7" s="193" t="s">
        <v>1853</v>
      </c>
      <c r="R7" s="196" t="s">
        <v>1854</v>
      </c>
      <c r="S7" s="195">
        <f>O7-M7</f>
        <v>86021.580000000016</v>
      </c>
    </row>
    <row r="8" spans="1:23" ht="13.8" x14ac:dyDescent="0.3">
      <c r="A8" s="136" t="s">
        <v>1845</v>
      </c>
      <c r="B8" s="141" t="s">
        <v>1855</v>
      </c>
      <c r="C8" s="144">
        <v>0</v>
      </c>
      <c r="D8" s="143">
        <f>IFERROR(C8/#REF!-1,0)</f>
        <v>0</v>
      </c>
      <c r="E8" s="144">
        <v>0</v>
      </c>
      <c r="F8" s="143">
        <f t="shared" si="0"/>
        <v>0</v>
      </c>
      <c r="G8" s="144">
        <v>0</v>
      </c>
      <c r="H8" s="143">
        <f t="shared" si="6"/>
        <v>0</v>
      </c>
      <c r="I8" s="144">
        <v>0</v>
      </c>
      <c r="J8" s="143">
        <f t="shared" si="2"/>
        <v>0</v>
      </c>
      <c r="K8" s="144">
        <v>0</v>
      </c>
      <c r="L8" s="143">
        <f t="shared" si="3"/>
        <v>0</v>
      </c>
      <c r="M8" s="144">
        <v>0</v>
      </c>
      <c r="N8" s="143">
        <f t="shared" si="4"/>
        <v>0</v>
      </c>
      <c r="O8" s="144">
        <v>0</v>
      </c>
      <c r="P8" s="143">
        <f t="shared" si="5"/>
        <v>0</v>
      </c>
      <c r="Q8" s="193"/>
      <c r="R8" s="197"/>
      <c r="S8" s="193"/>
    </row>
    <row r="9" spans="1:23" ht="13.8" x14ac:dyDescent="0.3">
      <c r="A9" s="136" t="s">
        <v>1845</v>
      </c>
      <c r="B9" s="141" t="s">
        <v>1856</v>
      </c>
      <c r="C9" s="144">
        <v>0</v>
      </c>
      <c r="D9" s="143">
        <f>IFERROR(C9/#REF!-1,0)</f>
        <v>0</v>
      </c>
      <c r="E9" s="144">
        <v>0</v>
      </c>
      <c r="F9" s="143">
        <f>IFERROR(E9/C9-1,0)</f>
        <v>0</v>
      </c>
      <c r="G9" s="144">
        <v>0</v>
      </c>
      <c r="H9" s="143">
        <f>IFERROR(G9/E9-1,0)</f>
        <v>0</v>
      </c>
      <c r="I9" s="144">
        <v>0</v>
      </c>
      <c r="J9" s="143">
        <f>IFERROR(I9/G9-1,0)</f>
        <v>0</v>
      </c>
      <c r="K9" s="144">
        <v>-199580</v>
      </c>
      <c r="L9" s="143">
        <f t="shared" si="3"/>
        <v>0</v>
      </c>
      <c r="M9" s="144">
        <v>-199580</v>
      </c>
      <c r="N9" s="143">
        <f t="shared" si="4"/>
        <v>0</v>
      </c>
      <c r="O9" s="144">
        <v>-146000</v>
      </c>
      <c r="P9" s="143">
        <f t="shared" si="5"/>
        <v>-0.26846377392524301</v>
      </c>
      <c r="Q9" s="193"/>
      <c r="R9" s="197"/>
      <c r="S9" s="193"/>
    </row>
    <row r="10" spans="1:23" ht="13.8" x14ac:dyDescent="0.3">
      <c r="A10" s="136" t="s">
        <v>1845</v>
      </c>
      <c r="B10" s="141" t="s">
        <v>1857</v>
      </c>
      <c r="C10" s="142">
        <v>60840.68</v>
      </c>
      <c r="D10" s="143">
        <f>IFERROR(C10/#REF!-1,0)</f>
        <v>0</v>
      </c>
      <c r="E10" s="144">
        <v>8770.73</v>
      </c>
      <c r="F10" s="143">
        <f t="shared" ref="F10:F11" si="7">IFERROR(E10/C10-1,0)</f>
        <v>-0.85584102610292989</v>
      </c>
      <c r="G10" s="144">
        <v>74164.33</v>
      </c>
      <c r="H10" s="143">
        <f t="shared" si="6"/>
        <v>7.4558902166638354</v>
      </c>
      <c r="I10" s="144">
        <v>-1463.43</v>
      </c>
      <c r="J10" s="143">
        <f t="shared" si="2"/>
        <v>-1.0197322621265505</v>
      </c>
      <c r="K10" s="144">
        <v>-2060.17</v>
      </c>
      <c r="L10" s="143">
        <f t="shared" si="3"/>
        <v>0.40776805176878983</v>
      </c>
      <c r="M10" s="144">
        <v>41217.949999999997</v>
      </c>
      <c r="N10" s="143">
        <f t="shared" si="4"/>
        <v>-21.007062523966468</v>
      </c>
      <c r="O10" s="144">
        <v>73659.53</v>
      </c>
      <c r="P10" s="143">
        <f t="shared" si="5"/>
        <v>0.78707407816254826</v>
      </c>
      <c r="Q10" s="193"/>
      <c r="R10" s="197"/>
      <c r="S10" s="193"/>
      <c r="T10" s="140"/>
    </row>
    <row r="11" spans="1:23" ht="13.8" x14ac:dyDescent="0.3">
      <c r="A11" s="136" t="s">
        <v>1845</v>
      </c>
      <c r="B11" s="141" t="s">
        <v>1858</v>
      </c>
      <c r="C11" s="142">
        <v>0</v>
      </c>
      <c r="D11" s="143">
        <f>IFERROR(C11/#REF!-1,0)</f>
        <v>0</v>
      </c>
      <c r="E11" s="144">
        <f>-37000-25000-63000-20000+63000</f>
        <v>-82000</v>
      </c>
      <c r="F11" s="143">
        <f t="shared" si="7"/>
        <v>0</v>
      </c>
      <c r="G11" s="144">
        <f>E11+20000-25000-74890</f>
        <v>-161890</v>
      </c>
      <c r="H11" s="143">
        <f t="shared" ref="H11" si="8">IFERROR(G11/E11-1,0)</f>
        <v>0.97426829268292692</v>
      </c>
      <c r="I11" s="144">
        <f>G11-65000</f>
        <v>-226890</v>
      </c>
      <c r="J11" s="143">
        <f t="shared" ref="J11" si="9">IFERROR(I11/G11-1,0)</f>
        <v>0.40150719624436348</v>
      </c>
      <c r="K11" s="144">
        <v>-226890</v>
      </c>
      <c r="L11" s="143">
        <f t="shared" si="3"/>
        <v>0</v>
      </c>
      <c r="M11" s="144">
        <v>-226890</v>
      </c>
      <c r="N11" s="143">
        <f t="shared" si="4"/>
        <v>0</v>
      </c>
      <c r="O11" s="144">
        <v>-226890</v>
      </c>
      <c r="P11" s="143">
        <f t="shared" si="5"/>
        <v>0</v>
      </c>
      <c r="Q11" s="193"/>
      <c r="R11" s="197"/>
      <c r="S11" s="193"/>
    </row>
    <row r="12" spans="1:23" ht="13.8" x14ac:dyDescent="0.3">
      <c r="A12" s="136" t="s">
        <v>1845</v>
      </c>
      <c r="B12" s="141" t="s">
        <v>1859</v>
      </c>
      <c r="C12" s="142">
        <v>0</v>
      </c>
      <c r="D12" s="143">
        <f>IFERROR(C12/#REF!-1,0)</f>
        <v>0</v>
      </c>
      <c r="E12" s="144">
        <v>0</v>
      </c>
      <c r="F12" s="143">
        <f t="shared" si="0"/>
        <v>0</v>
      </c>
      <c r="G12" s="144">
        <v>0</v>
      </c>
      <c r="H12" s="143">
        <f t="shared" si="6"/>
        <v>0</v>
      </c>
      <c r="I12" s="144">
        <v>-60000</v>
      </c>
      <c r="J12" s="143">
        <f t="shared" si="2"/>
        <v>0</v>
      </c>
      <c r="K12" s="144">
        <v>-60000</v>
      </c>
      <c r="L12" s="143">
        <f t="shared" si="3"/>
        <v>0</v>
      </c>
      <c r="M12" s="144">
        <v>-60000</v>
      </c>
      <c r="N12" s="143">
        <f t="shared" si="4"/>
        <v>0</v>
      </c>
      <c r="O12" s="144">
        <v>-60000</v>
      </c>
      <c r="P12" s="143">
        <f t="shared" si="5"/>
        <v>0</v>
      </c>
      <c r="Q12" s="193"/>
      <c r="R12" s="197"/>
      <c r="S12" s="193"/>
    </row>
    <row r="13" spans="1:23" ht="13.8" x14ac:dyDescent="0.3">
      <c r="A13" s="136" t="s">
        <v>1845</v>
      </c>
      <c r="B13" s="137" t="s">
        <v>1860</v>
      </c>
      <c r="C13" s="138">
        <f>SUM(C14:C15)</f>
        <v>176774.24</v>
      </c>
      <c r="D13" s="139">
        <f>IFERROR(C13/#REF!-1,0)</f>
        <v>0</v>
      </c>
      <c r="E13" s="138">
        <f>SUM(E14:E15)</f>
        <v>585872.25</v>
      </c>
      <c r="F13" s="139">
        <f t="shared" si="0"/>
        <v>2.3142399593967991</v>
      </c>
      <c r="G13" s="138">
        <f>SUM(G14:G15)</f>
        <v>602832.77</v>
      </c>
      <c r="H13" s="139">
        <f t="shared" si="6"/>
        <v>2.8949177913785817E-2</v>
      </c>
      <c r="I13" s="138">
        <f>SUM(I14:I15)</f>
        <v>201831.94</v>
      </c>
      <c r="J13" s="139">
        <f t="shared" si="2"/>
        <v>-0.66519414662875742</v>
      </c>
      <c r="K13" s="138">
        <f>SUM(K14:K15)</f>
        <v>400000</v>
      </c>
      <c r="L13" s="139">
        <f t="shared" si="3"/>
        <v>0.98184687715928409</v>
      </c>
      <c r="M13" s="138">
        <f>SUM(M14:M15)</f>
        <v>500000</v>
      </c>
      <c r="N13" s="139">
        <f t="shared" si="4"/>
        <v>0.25</v>
      </c>
      <c r="O13" s="138">
        <f>SUM(O14:O15)</f>
        <v>500000</v>
      </c>
      <c r="P13" s="139">
        <f t="shared" si="5"/>
        <v>0</v>
      </c>
      <c r="Q13" s="193" t="s">
        <v>1861</v>
      </c>
      <c r="R13" s="196" t="s">
        <v>1848</v>
      </c>
      <c r="S13" s="195">
        <f>M13-K13</f>
        <v>100000</v>
      </c>
    </row>
    <row r="14" spans="1:23" ht="13.8" x14ac:dyDescent="0.3">
      <c r="B14" s="141" t="s">
        <v>1862</v>
      </c>
      <c r="C14" s="144">
        <v>0</v>
      </c>
      <c r="D14" s="143">
        <f>IFERROR(C14/#REF!-1,0)</f>
        <v>0</v>
      </c>
      <c r="E14" s="144">
        <v>0</v>
      </c>
      <c r="F14" s="143">
        <f t="shared" si="0"/>
        <v>0</v>
      </c>
      <c r="G14" s="144">
        <v>0</v>
      </c>
      <c r="H14" s="143">
        <f t="shared" si="6"/>
        <v>0</v>
      </c>
      <c r="I14" s="144">
        <v>0</v>
      </c>
      <c r="J14" s="143">
        <f t="shared" si="2"/>
        <v>0</v>
      </c>
      <c r="K14" s="144">
        <v>0</v>
      </c>
      <c r="L14" s="143">
        <f t="shared" si="3"/>
        <v>0</v>
      </c>
      <c r="M14" s="144">
        <v>0</v>
      </c>
      <c r="N14" s="143">
        <f t="shared" si="4"/>
        <v>0</v>
      </c>
      <c r="O14" s="144">
        <v>0</v>
      </c>
      <c r="P14" s="143">
        <f t="shared" si="5"/>
        <v>0</v>
      </c>
      <c r="Q14" s="193"/>
      <c r="R14" s="197"/>
      <c r="S14" s="193"/>
    </row>
    <row r="15" spans="1:23" ht="13.8" x14ac:dyDescent="0.3">
      <c r="B15" s="141" t="s">
        <v>1863</v>
      </c>
      <c r="C15" s="142">
        <v>176774.24</v>
      </c>
      <c r="D15" s="143">
        <f>IFERROR(C15/#REF!-1,0)</f>
        <v>0</v>
      </c>
      <c r="E15" s="144">
        <f>387601.25+39120+79151+80000</f>
        <v>585872.25</v>
      </c>
      <c r="F15" s="143">
        <f t="shared" si="0"/>
        <v>2.3142399593967991</v>
      </c>
      <c r="G15" s="144">
        <v>602832.77</v>
      </c>
      <c r="H15" s="143">
        <f t="shared" si="6"/>
        <v>2.8949177913785817E-2</v>
      </c>
      <c r="I15" s="144">
        <v>201831.94</v>
      </c>
      <c r="J15" s="143">
        <f t="shared" si="2"/>
        <v>-0.66519414662875742</v>
      </c>
      <c r="K15" s="263">
        <v>400000</v>
      </c>
      <c r="L15" s="143">
        <f t="shared" si="3"/>
        <v>0.98184687715928409</v>
      </c>
      <c r="M15" s="263">
        <v>500000</v>
      </c>
      <c r="N15" s="143">
        <f t="shared" si="4"/>
        <v>0.25</v>
      </c>
      <c r="O15" s="263">
        <v>500000</v>
      </c>
      <c r="P15" s="143">
        <f t="shared" si="5"/>
        <v>0</v>
      </c>
      <c r="Q15" s="193"/>
      <c r="R15" s="197"/>
      <c r="S15" s="193"/>
      <c r="V15" s="153"/>
      <c r="W15" s="153"/>
    </row>
    <row r="16" spans="1:23" ht="13.8" x14ac:dyDescent="0.3">
      <c r="A16" s="136" t="s">
        <v>1845</v>
      </c>
      <c r="B16" s="146" t="s">
        <v>1864</v>
      </c>
      <c r="C16" s="147">
        <f>C3+C7+C13</f>
        <v>2108307.96</v>
      </c>
      <c r="D16" s="148">
        <f>IFERROR(C16/#REF!-1,0)</f>
        <v>0</v>
      </c>
      <c r="E16" s="147">
        <f>E3+E7+E13</f>
        <v>1560252.1099999999</v>
      </c>
      <c r="F16" s="148">
        <f t="shared" si="0"/>
        <v>-0.25995056718374299</v>
      </c>
      <c r="G16" s="147">
        <f>G3+G7+G13</f>
        <v>1504639.42</v>
      </c>
      <c r="H16" s="148">
        <f t="shared" si="6"/>
        <v>-3.5643399963099509E-2</v>
      </c>
      <c r="I16" s="147">
        <f>I3+I7+I13</f>
        <v>1398132.12</v>
      </c>
      <c r="J16" s="148">
        <f t="shared" si="2"/>
        <v>-7.0785929561781535E-2</v>
      </c>
      <c r="K16" s="147">
        <f>K3+K7+K13</f>
        <v>951198.62999999989</v>
      </c>
      <c r="L16" s="148">
        <f t="shared" si="3"/>
        <v>-0.31966470379065481</v>
      </c>
      <c r="M16" s="147">
        <f>M3+M7+M13</f>
        <v>680050.83999999985</v>
      </c>
      <c r="N16" s="148">
        <f t="shared" si="4"/>
        <v>-0.28505906279532811</v>
      </c>
      <c r="O16" s="147">
        <f>O3+O7+O13</f>
        <v>140769.53000000003</v>
      </c>
      <c r="P16" s="148">
        <f t="shared" si="5"/>
        <v>-0.79300146147896822</v>
      </c>
      <c r="Q16" s="193" t="s">
        <v>1865</v>
      </c>
      <c r="R16" s="196" t="s">
        <v>1866</v>
      </c>
      <c r="S16" s="195">
        <f>M16-K16</f>
        <v>-271147.79000000004</v>
      </c>
    </row>
    <row r="17" spans="1:23" ht="13.8" x14ac:dyDescent="0.3">
      <c r="A17" s="136" t="s">
        <v>1845</v>
      </c>
      <c r="B17" s="137" t="s">
        <v>1867</v>
      </c>
      <c r="C17" s="138">
        <v>2460338.56</v>
      </c>
      <c r="D17" s="139">
        <f>IFERROR(C17/#REF!-1,0)</f>
        <v>0</v>
      </c>
      <c r="E17" s="138">
        <v>1688812.35</v>
      </c>
      <c r="F17" s="139">
        <f t="shared" si="0"/>
        <v>-0.31358538314336704</v>
      </c>
      <c r="G17" s="138">
        <f>1321014.68+192000</f>
        <v>1513014.68</v>
      </c>
      <c r="H17" s="139">
        <f t="shared" si="6"/>
        <v>-0.10409544316750174</v>
      </c>
      <c r="I17" s="138">
        <v>1410399.34</v>
      </c>
      <c r="J17" s="139">
        <f t="shared" si="2"/>
        <v>-6.7821774207769026E-2</v>
      </c>
      <c r="K17" s="138">
        <f>1105406.39-75121.89</f>
        <v>1030284.4999999999</v>
      </c>
      <c r="L17" s="139">
        <f t="shared" si="3"/>
        <v>-0.26950866270257912</v>
      </c>
      <c r="M17" s="138">
        <f>733938.67-25000</f>
        <v>708938.67</v>
      </c>
      <c r="N17" s="139">
        <f t="shared" si="4"/>
        <v>-0.31190009167370747</v>
      </c>
      <c r="O17" s="138"/>
      <c r="P17" s="139">
        <f t="shared" si="5"/>
        <v>-1</v>
      </c>
      <c r="Q17" s="193" t="s">
        <v>1868</v>
      </c>
      <c r="R17" s="196" t="s">
        <v>1866</v>
      </c>
      <c r="S17" s="195">
        <f>M17-K17</f>
        <v>-321345.82999999984</v>
      </c>
      <c r="T17" s="149">
        <v>850701.99</v>
      </c>
    </row>
    <row r="18" spans="1:23" ht="13.8" x14ac:dyDescent="0.3">
      <c r="A18" s="136" t="s">
        <v>1845</v>
      </c>
      <c r="B18" s="146" t="s">
        <v>1869</v>
      </c>
      <c r="C18" s="150">
        <f>C16-C17</f>
        <v>-352030.60000000009</v>
      </c>
      <c r="D18" s="148">
        <f>IFERROR(C18/#REF!-1,0)</f>
        <v>0</v>
      </c>
      <c r="E18" s="150">
        <f>E16-E17</f>
        <v>-128560.24000000022</v>
      </c>
      <c r="F18" s="148">
        <f t="shared" si="0"/>
        <v>-0.6348037926248451</v>
      </c>
      <c r="G18" s="150">
        <f>G16-G17</f>
        <v>-8375.2600000000093</v>
      </c>
      <c r="H18" s="148">
        <f>IFERROR(ABS(G18/E18-1),0)</f>
        <v>0.93485341968870006</v>
      </c>
      <c r="I18" s="150">
        <f>I16-I17</f>
        <v>-12267.219999999972</v>
      </c>
      <c r="J18" s="148">
        <f>IFERROR(ABS(I18/G18-1),0)</f>
        <v>0.46469721537002528</v>
      </c>
      <c r="K18" s="150">
        <f>K16-K17</f>
        <v>-79085.87</v>
      </c>
      <c r="L18" s="148">
        <f>IFERROR(ABS(K18/I18-1),0)</f>
        <v>5.4469268505822974</v>
      </c>
      <c r="M18" s="150">
        <f>M16-M17</f>
        <v>-28887.830000000191</v>
      </c>
      <c r="N18" s="148">
        <f>IFERROR(ABS(M18/K18-1),0)</f>
        <v>0.63472830228711907</v>
      </c>
      <c r="O18" s="150">
        <f>O16-O17</f>
        <v>140769.53000000003</v>
      </c>
      <c r="P18" s="148">
        <f>IFERROR(ABS(O18/M18-1),0)</f>
        <v>5.8729700361709103</v>
      </c>
      <c r="Q18" s="193" t="s">
        <v>1870</v>
      </c>
      <c r="R18" s="196" t="s">
        <v>1871</v>
      </c>
      <c r="S18" s="195">
        <f>M18-K18</f>
        <v>50198.039999999804</v>
      </c>
      <c r="T18" s="151">
        <f>K19/K22</f>
        <v>-7.1319575642299571E-2</v>
      </c>
      <c r="V18" s="153"/>
      <c r="W18" s="166"/>
    </row>
    <row r="19" spans="1:23" ht="13.8" x14ac:dyDescent="0.3">
      <c r="B19" s="141"/>
      <c r="C19" s="152"/>
      <c r="D19" s="152"/>
      <c r="E19" s="152">
        <f>E18-C18</f>
        <v>223470.35999999987</v>
      </c>
      <c r="F19" s="152"/>
      <c r="G19" s="152">
        <f>G18-E18</f>
        <v>120184.98000000021</v>
      </c>
      <c r="H19" s="152"/>
      <c r="I19" s="152">
        <f>I18-G18</f>
        <v>-3891.9599999999627</v>
      </c>
      <c r="J19" s="152"/>
      <c r="K19" s="152">
        <f>K18-I18</f>
        <v>-66818.650000000023</v>
      </c>
      <c r="L19" s="152"/>
      <c r="M19" s="152">
        <f>M18-K18</f>
        <v>50198.039999999804</v>
      </c>
      <c r="N19" s="152"/>
      <c r="O19" s="152">
        <f>O18-M18</f>
        <v>169657.36000000022</v>
      </c>
      <c r="P19" s="152"/>
      <c r="R19" s="135"/>
      <c r="S19" s="153"/>
    </row>
    <row r="20" spans="1:23" ht="13.8" x14ac:dyDescent="0.3">
      <c r="B20" s="137" t="s">
        <v>1872</v>
      </c>
      <c r="C20" s="138">
        <v>0</v>
      </c>
      <c r="D20" s="139">
        <f>IFERROR(C20/#REF!-1,0)</f>
        <v>0</v>
      </c>
      <c r="E20" s="154">
        <f>E7-C7</f>
        <v>-134069.95000000001</v>
      </c>
      <c r="F20" s="139">
        <f t="shared" ref="F20" si="10">IFERROR(E20/C20-1,0)</f>
        <v>0</v>
      </c>
      <c r="G20" s="154">
        <f>G7-E7</f>
        <v>-14496.399999999994</v>
      </c>
      <c r="H20" s="139">
        <f t="shared" ref="H20" si="11">IFERROR(G20/E20-1,0)</f>
        <v>-0.89187435364897216</v>
      </c>
      <c r="I20" s="154">
        <f>I7-G7</f>
        <v>-200627.76</v>
      </c>
      <c r="J20" s="139">
        <f t="shared" ref="J20" si="12">IFERROR(I20/G20-1,0)</f>
        <v>12.839833337932182</v>
      </c>
      <c r="K20" s="154">
        <f>K7-I7</f>
        <v>-200176.74000000005</v>
      </c>
      <c r="L20" s="139">
        <f>IFERROR(K20/I20-1,0)</f>
        <v>-2.2480438399947733E-3</v>
      </c>
      <c r="M20" s="154">
        <f>M7-K7</f>
        <v>43278.120000000054</v>
      </c>
      <c r="N20" s="139">
        <f>IFERROR(M20/K20-1,0)</f>
        <v>-1.2161995444625586</v>
      </c>
      <c r="O20" s="154">
        <f>O7-M7</f>
        <v>86021.580000000016</v>
      </c>
      <c r="P20" s="139">
        <f>IFERROR(O20/M20-1,0)</f>
        <v>0.98764595134908606</v>
      </c>
      <c r="Q20" s="145"/>
      <c r="R20" s="134"/>
      <c r="S20" s="140"/>
    </row>
    <row r="21" spans="1:23" ht="13.8" x14ac:dyDescent="0.3"/>
    <row r="22" spans="1:23" ht="13.8" x14ac:dyDescent="0.3">
      <c r="B22" s="146" t="s">
        <v>1873</v>
      </c>
      <c r="C22" s="147">
        <f>DRE!C3</f>
        <v>1207206.99</v>
      </c>
      <c r="D22" s="148">
        <f>IFERROR(C22/#REF!-1,0)</f>
        <v>0</v>
      </c>
      <c r="E22" s="147">
        <f>DRE!E3</f>
        <v>1594226.24</v>
      </c>
      <c r="F22" s="148">
        <f>IFERROR(E22/C22-1,0)</f>
        <v>0.32059063044358282</v>
      </c>
      <c r="G22" s="147">
        <f>DRE!H3</f>
        <v>1443037.2</v>
      </c>
      <c r="H22" s="148">
        <f>IFERROR(G22/E22-1,0)</f>
        <v>-9.4835372926743489E-2</v>
      </c>
      <c r="I22" s="147">
        <f>DRE!K3</f>
        <v>1101552.02</v>
      </c>
      <c r="J22" s="148">
        <f>IFERROR(I22/G22-1,0)</f>
        <v>-0.23664336581205248</v>
      </c>
      <c r="K22" s="147">
        <f>DRE!N3</f>
        <v>936890.74</v>
      </c>
      <c r="L22" s="148">
        <f>IFERROR(K22/I22-1,0)</f>
        <v>-0.14948116567386438</v>
      </c>
      <c r="M22" s="147">
        <f>DRE!Q3</f>
        <v>1373580.81</v>
      </c>
      <c r="N22" s="148">
        <f>IFERROR(M22/K22-1,0)</f>
        <v>0.46610565283204752</v>
      </c>
      <c r="O22" s="147">
        <f>DRE!S3</f>
        <v>0.46610565283204752</v>
      </c>
      <c r="P22" s="148">
        <f>IFERROR(O22/M22-1,0)</f>
        <v>-0.99999966066382884</v>
      </c>
      <c r="R22" s="135"/>
      <c r="S22" s="155">
        <f>K17+M33</f>
        <v>1432895.75</v>
      </c>
    </row>
    <row r="23" spans="1:23" ht="15" customHeight="1" x14ac:dyDescent="0.3"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R23" s="282"/>
      <c r="S23" s="136">
        <v>698957.07999999973</v>
      </c>
    </row>
    <row r="24" spans="1:23" ht="13.8" x14ac:dyDescent="0.3">
      <c r="B24" s="146" t="s">
        <v>1874</v>
      </c>
      <c r="C24" s="147">
        <f>SUM(C25:C25)</f>
        <v>0</v>
      </c>
      <c r="D24" s="148">
        <f>IFERROR(C24/#REF!-1,0)</f>
        <v>0</v>
      </c>
      <c r="E24" s="147">
        <f>SUM(E25:E25)</f>
        <v>0</v>
      </c>
      <c r="F24" s="148">
        <f>IFERROR(E24/C24-1,0)</f>
        <v>0</v>
      </c>
      <c r="G24" s="147">
        <f>SUM(G25:G25)</f>
        <v>0</v>
      </c>
      <c r="H24" s="148">
        <f>IFERROR(G24/E24-1,0)</f>
        <v>0</v>
      </c>
      <c r="I24" s="147">
        <f>SUM(I25:I25)</f>
        <v>0</v>
      </c>
      <c r="J24" s="148">
        <f>IFERROR(I24/G24-1,0)</f>
        <v>0</v>
      </c>
      <c r="K24" s="147">
        <f>SUM(K25:K25)</f>
        <v>0</v>
      </c>
      <c r="L24" s="148">
        <f>IFERROR(K24/I24-1,0)</f>
        <v>0</v>
      </c>
      <c r="M24" s="147">
        <f>SUM(M25:M25)</f>
        <v>0</v>
      </c>
      <c r="N24" s="148">
        <f>IFERROR(M24/K24-1,0)</f>
        <v>0</v>
      </c>
      <c r="O24" s="147">
        <f>SUM(O25:O25)</f>
        <v>0</v>
      </c>
      <c r="P24" s="148">
        <f>IFERROR(O24/M24-1,0)</f>
        <v>0</v>
      </c>
      <c r="S24" s="155">
        <f>S22-S23</f>
        <v>733938.67000000027</v>
      </c>
    </row>
    <row r="25" spans="1:23" ht="13.8" x14ac:dyDescent="0.3">
      <c r="B25" s="156"/>
      <c r="C25" s="158"/>
      <c r="D25" s="157">
        <f>IFERROR(C25/#REF!-1,0)</f>
        <v>0</v>
      </c>
      <c r="E25" s="158"/>
      <c r="F25" s="157">
        <f>IFERROR(E25/C25-1,0)</f>
        <v>0</v>
      </c>
      <c r="G25" s="158"/>
      <c r="H25" s="157">
        <f>IFERROR(G25/E25-1,0)</f>
        <v>0</v>
      </c>
      <c r="I25" s="158"/>
      <c r="J25" s="157">
        <f>IFERROR(I25/G25-1,0)</f>
        <v>0</v>
      </c>
      <c r="K25" s="158"/>
      <c r="L25" s="157">
        <f>IFERROR(K25/I25-1,0)</f>
        <v>0</v>
      </c>
      <c r="M25" s="158"/>
      <c r="N25" s="157">
        <f>IFERROR(M25/K25-1,0)</f>
        <v>0</v>
      </c>
      <c r="O25" s="158"/>
      <c r="P25" s="157">
        <f>IFERROR(O25/M25-1,0)</f>
        <v>0</v>
      </c>
    </row>
    <row r="26" spans="1:23" ht="13.8" x14ac:dyDescent="0.3"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</row>
    <row r="27" spans="1:23" ht="13.8" x14ac:dyDescent="0.3">
      <c r="B27" s="141" t="s">
        <v>1875</v>
      </c>
      <c r="C27" s="159">
        <f>IFERROR(C24/C22,0)</f>
        <v>0</v>
      </c>
      <c r="D27" s="143">
        <f>IFERROR(C27/#REF!-1,0)</f>
        <v>0</v>
      </c>
      <c r="E27" s="159">
        <f>IFERROR(E24/E22,0)</f>
        <v>0</v>
      </c>
      <c r="F27" s="143">
        <f>IFERROR(E27/C27-1,0)</f>
        <v>0</v>
      </c>
      <c r="G27" s="159">
        <f>IFERROR(G24/G22,0)</f>
        <v>0</v>
      </c>
      <c r="H27" s="143">
        <f>IFERROR(G27/E27-1,0)</f>
        <v>0</v>
      </c>
      <c r="I27" s="159">
        <f>IFERROR(I24/I22,0)</f>
        <v>0</v>
      </c>
      <c r="J27" s="143">
        <f>IFERROR(I27/G27-1,0)</f>
        <v>0</v>
      </c>
      <c r="K27" s="159">
        <f>IFERROR(K24/K22,0)</f>
        <v>0</v>
      </c>
      <c r="L27" s="143">
        <f>IFERROR(K27/I27-1,0)</f>
        <v>0</v>
      </c>
      <c r="M27" s="159">
        <f>IFERROR(M24/M22,0)</f>
        <v>0</v>
      </c>
      <c r="N27" s="143">
        <f>IFERROR(M27/K27-1,0)</f>
        <v>0</v>
      </c>
      <c r="O27" s="159">
        <f>IFERROR(O24/O22,0)</f>
        <v>0</v>
      </c>
      <c r="P27" s="143">
        <f>IFERROR(O27/M27-1,0)</f>
        <v>0</v>
      </c>
    </row>
    <row r="28" spans="1:23" ht="15" customHeight="1" x14ac:dyDescent="0.3"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</row>
    <row r="29" spans="1:23" ht="12.75" customHeight="1" x14ac:dyDescent="0.3">
      <c r="B29" s="508" t="s">
        <v>1876</v>
      </c>
      <c r="C29" s="511">
        <f>C1</f>
        <v>45931</v>
      </c>
      <c r="D29" s="511"/>
      <c r="E29" s="511">
        <f>E1</f>
        <v>45962</v>
      </c>
      <c r="F29" s="511"/>
      <c r="G29" s="511">
        <f>G1</f>
        <v>45992</v>
      </c>
      <c r="H29" s="511"/>
      <c r="I29" s="511">
        <f>I1</f>
        <v>46023</v>
      </c>
      <c r="J29" s="511"/>
      <c r="K29" s="511">
        <f>K1</f>
        <v>46054</v>
      </c>
      <c r="L29" s="511"/>
      <c r="M29" s="511">
        <f>M1</f>
        <v>46082</v>
      </c>
      <c r="N29" s="511"/>
      <c r="O29" s="511">
        <f>O1</f>
        <v>46113</v>
      </c>
      <c r="P29" s="511"/>
    </row>
    <row r="30" spans="1:23" ht="13.8" x14ac:dyDescent="0.3">
      <c r="B30" s="508"/>
      <c r="C30" s="492" t="s">
        <v>1445</v>
      </c>
      <c r="D30" s="492" t="s">
        <v>1670</v>
      </c>
      <c r="E30" s="492" t="s">
        <v>1445</v>
      </c>
      <c r="F30" s="492" t="s">
        <v>1670</v>
      </c>
      <c r="G30" s="492" t="s">
        <v>1445</v>
      </c>
      <c r="H30" s="492" t="s">
        <v>1670</v>
      </c>
      <c r="I30" s="492" t="s">
        <v>1445</v>
      </c>
      <c r="J30" s="492" t="s">
        <v>1670</v>
      </c>
      <c r="K30" s="492" t="s">
        <v>1445</v>
      </c>
      <c r="L30" s="492" t="s">
        <v>1670</v>
      </c>
      <c r="M30" s="492" t="s">
        <v>1445</v>
      </c>
      <c r="N30" s="492" t="s">
        <v>1670</v>
      </c>
      <c r="O30" s="492" t="s">
        <v>1445</v>
      </c>
      <c r="P30" s="492" t="s">
        <v>1670</v>
      </c>
    </row>
    <row r="31" spans="1:23" ht="13.8" x14ac:dyDescent="0.3">
      <c r="B31" s="146" t="s">
        <v>1877</v>
      </c>
      <c r="C31" s="147">
        <f>C32+C33-C34</f>
        <v>662325.13999999966</v>
      </c>
      <c r="D31" s="148">
        <f>IFERROR(C31/#REF!-1,0)</f>
        <v>0</v>
      </c>
      <c r="E31" s="147">
        <f>E32+E33-E34</f>
        <v>953356.62</v>
      </c>
      <c r="F31" s="148">
        <f>IFERROR(E31/C31-1,0)</f>
        <v>0.43940877738688955</v>
      </c>
      <c r="G31" s="147">
        <f>G32+G33-G34</f>
        <v>780507.72000000009</v>
      </c>
      <c r="H31" s="148">
        <f>IFERROR(G31/E31-1,0)</f>
        <v>-0.18130560629033021</v>
      </c>
      <c r="I31" s="147">
        <f>I32+I33-I34</f>
        <v>308129.39999999967</v>
      </c>
      <c r="J31" s="148">
        <f>IFERROR(I31/G31-1,0)</f>
        <v>-0.60521927957355803</v>
      </c>
      <c r="K31" s="147">
        <f>K32+K33-K34</f>
        <v>513300.8400000002</v>
      </c>
      <c r="L31" s="148">
        <f>IFERROR(K31/I31-1,0)</f>
        <v>0.66586129074343692</v>
      </c>
      <c r="M31" s="147">
        <v>817037.46</v>
      </c>
      <c r="N31" s="148">
        <f>IFERROR(M31/K31-1,0)</f>
        <v>0.59173217016360158</v>
      </c>
      <c r="O31" s="147">
        <v>817037.46</v>
      </c>
      <c r="P31" s="148">
        <f>IFERROR(O31/M31-1,0)</f>
        <v>0</v>
      </c>
      <c r="Q31" s="140"/>
      <c r="R31" s="282"/>
      <c r="S31" s="140"/>
    </row>
    <row r="32" spans="1:23" ht="13.8" x14ac:dyDescent="0.3">
      <c r="B32" s="141" t="s">
        <v>1878</v>
      </c>
      <c r="C32" s="142">
        <v>1879417.18</v>
      </c>
      <c r="D32" s="157">
        <f>IFERROR(C32/#REF!-1,0)</f>
        <v>0</v>
      </c>
      <c r="E32" s="142">
        <f>C34</f>
        <v>1870693.04</v>
      </c>
      <c r="F32" s="157">
        <f>IFERROR(E32/C32-1,0)</f>
        <v>-4.641939050487931E-3</v>
      </c>
      <c r="G32" s="142">
        <f>E34</f>
        <v>1047609.13</v>
      </c>
      <c r="H32" s="157">
        <f>IFERROR(G32/E32-1,0)</f>
        <v>-0.43998875945996996</v>
      </c>
      <c r="I32" s="142">
        <f>G34</f>
        <v>989532.32</v>
      </c>
      <c r="J32" s="157">
        <f>IFERROR(I32/G32-1,0)</f>
        <v>-5.5437479816541901E-2</v>
      </c>
      <c r="K32" s="142">
        <f>I34</f>
        <v>1484653.61</v>
      </c>
      <c r="L32" s="157">
        <f>IFERROR(K32/I32-1,0)</f>
        <v>0.50035888671124984</v>
      </c>
      <c r="M32" s="142">
        <f>K34</f>
        <v>1039728.7999999999</v>
      </c>
      <c r="N32" s="157">
        <f>IFERROR(M32/K32-1,0)</f>
        <v>-0.2996825704010514</v>
      </c>
      <c r="O32" s="142">
        <f>M34</f>
        <v>625302.88999999978</v>
      </c>
      <c r="P32" s="157">
        <f>IFERROR(O32/M32-1,0)</f>
        <v>-0.39859039203299951</v>
      </c>
    </row>
    <row r="33" spans="2:19" ht="13.8" x14ac:dyDescent="0.3">
      <c r="B33" s="141" t="s">
        <v>1879</v>
      </c>
      <c r="C33" s="158">
        <v>653601</v>
      </c>
      <c r="D33" s="157">
        <f>IFERROR(C33/#REF!-1,0)</f>
        <v>0</v>
      </c>
      <c r="E33" s="158">
        <v>130272.71</v>
      </c>
      <c r="F33" s="157">
        <f>IFERROR(E33/C33-1,0)</f>
        <v>-0.80068465317525517</v>
      </c>
      <c r="G33" s="158">
        <v>722430.91</v>
      </c>
      <c r="H33" s="157">
        <f>IFERROR(G33/E33-1,0)</f>
        <v>4.5455276089673733</v>
      </c>
      <c r="I33" s="158">
        <v>803250.69</v>
      </c>
      <c r="J33" s="157">
        <f>IFERROR(I33/G33-1,0)</f>
        <v>0.11187198510096952</v>
      </c>
      <c r="K33" s="158">
        <v>68376.03</v>
      </c>
      <c r="L33" s="157">
        <f>IFERROR(K33/I33-1,0)</f>
        <v>-0.91487585276770811</v>
      </c>
      <c r="M33" s="158">
        <v>402611.25</v>
      </c>
      <c r="N33" s="157">
        <f>IFERROR(M33/K33-1,0)</f>
        <v>4.888192835998229</v>
      </c>
      <c r="O33" s="158">
        <v>777738.72999999986</v>
      </c>
      <c r="P33" s="157">
        <f>IFERROR(O33/M33-1,0)</f>
        <v>0.93173620955698544</v>
      </c>
      <c r="S33" s="140"/>
    </row>
    <row r="34" spans="2:19" ht="13.8" x14ac:dyDescent="0.3">
      <c r="B34" s="141" t="s">
        <v>1880</v>
      </c>
      <c r="C34" s="142">
        <f>C3</f>
        <v>1870693.04</v>
      </c>
      <c r="D34" s="157">
        <f>IFERROR(C34/#REF!-1,0)</f>
        <v>0</v>
      </c>
      <c r="E34" s="142">
        <f>E3</f>
        <v>1047609.13</v>
      </c>
      <c r="F34" s="157">
        <f>IFERROR(E34/C34-1,0)</f>
        <v>-0.43998875945996996</v>
      </c>
      <c r="G34" s="142">
        <f>G3</f>
        <v>989532.32</v>
      </c>
      <c r="H34" s="157">
        <f>IFERROR(G34/E34-1,0)</f>
        <v>-5.5437479816541901E-2</v>
      </c>
      <c r="I34" s="142">
        <f>I3</f>
        <v>1484653.61</v>
      </c>
      <c r="J34" s="157">
        <f>IFERROR(I34/G34-1,0)</f>
        <v>0.50035888671124984</v>
      </c>
      <c r="K34" s="142">
        <f>K3</f>
        <v>1039728.7999999999</v>
      </c>
      <c r="L34" s="157">
        <f>IFERROR(K34/I34-1,0)</f>
        <v>-0.2996825704010514</v>
      </c>
      <c r="M34" s="142">
        <f>M3</f>
        <v>625302.88999999978</v>
      </c>
      <c r="N34" s="157">
        <f>IFERROR(M34/K34-1,0)</f>
        <v>-0.39859039203299951</v>
      </c>
      <c r="O34" s="142">
        <f>O3</f>
        <v>0</v>
      </c>
      <c r="P34" s="157">
        <f>IFERROR(O34/M34-1,0)</f>
        <v>-1</v>
      </c>
    </row>
    <row r="35" spans="2:19" ht="13.8" x14ac:dyDescent="0.3"/>
    <row r="36" spans="2:19" ht="13.8" x14ac:dyDescent="0.3">
      <c r="B36" s="146" t="s">
        <v>1881</v>
      </c>
      <c r="C36" s="147">
        <f>DRE!C12</f>
        <v>707593.72</v>
      </c>
      <c r="D36" s="160">
        <f>IFERROR(C36/#REF!-1,0)</f>
        <v>0</v>
      </c>
      <c r="E36" s="147">
        <f>DRE!E12</f>
        <v>998625.2</v>
      </c>
      <c r="F36" s="160">
        <f>IFERROR(E36/C36-1,0)</f>
        <v>0.41129743209139846</v>
      </c>
      <c r="G36" s="147">
        <f>DRE!H12</f>
        <v>857572.80999999982</v>
      </c>
      <c r="H36" s="160">
        <f>IFERROR(G36/E36-1,0)</f>
        <v>-0.14124657579239952</v>
      </c>
      <c r="I36" s="147">
        <f>DRE!K12</f>
        <v>667576.62</v>
      </c>
      <c r="J36" s="160">
        <f>IFERROR(I36/G36-1,0)</f>
        <v>-0.22155108905563348</v>
      </c>
      <c r="K36" s="147">
        <f>DRE!N12</f>
        <v>577935.69000000006</v>
      </c>
      <c r="L36" s="160">
        <f>IFERROR(K36/I36-1,0)</f>
        <v>-0.13427811477280305</v>
      </c>
      <c r="M36" s="147">
        <f>DRE!Q12</f>
        <v>817037.4600000002</v>
      </c>
      <c r="N36" s="160">
        <f>IFERROR(M36/K36-1,0)</f>
        <v>0.41371691372789265</v>
      </c>
      <c r="O36" s="147">
        <f>DRE!S12</f>
        <v>0.41371691372789265</v>
      </c>
      <c r="P36" s="160">
        <f>IFERROR(O36/M36-1,0)</f>
        <v>-0.99999949363776575</v>
      </c>
    </row>
    <row r="37" spans="2:19" ht="15" customHeight="1" x14ac:dyDescent="0.3"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</row>
    <row r="38" spans="2:19" ht="12.75" customHeight="1" x14ac:dyDescent="0.3">
      <c r="B38" s="508"/>
      <c r="C38" s="511">
        <f>C1</f>
        <v>45931</v>
      </c>
      <c r="D38" s="511"/>
      <c r="E38" s="511">
        <f>E1</f>
        <v>45962</v>
      </c>
      <c r="F38" s="511"/>
      <c r="G38" s="511">
        <f>G1</f>
        <v>45992</v>
      </c>
      <c r="H38" s="511"/>
      <c r="I38" s="511">
        <f>I1</f>
        <v>46023</v>
      </c>
      <c r="J38" s="511"/>
      <c r="K38" s="511">
        <f>K1</f>
        <v>46054</v>
      </c>
      <c r="L38" s="511"/>
      <c r="M38" s="511">
        <f>M1</f>
        <v>46082</v>
      </c>
      <c r="N38" s="511"/>
      <c r="O38" s="511">
        <f>O1</f>
        <v>46113</v>
      </c>
      <c r="P38" s="511"/>
    </row>
    <row r="39" spans="2:19" ht="13.8" x14ac:dyDescent="0.3">
      <c r="B39" s="508"/>
      <c r="C39" s="492" t="s">
        <v>1445</v>
      </c>
      <c r="D39" s="492" t="s">
        <v>1670</v>
      </c>
      <c r="E39" s="492" t="s">
        <v>1445</v>
      </c>
      <c r="F39" s="492" t="s">
        <v>1670</v>
      </c>
      <c r="G39" s="492" t="s">
        <v>1445</v>
      </c>
      <c r="H39" s="492" t="s">
        <v>1670</v>
      </c>
      <c r="I39" s="492" t="s">
        <v>1445</v>
      </c>
      <c r="J39" s="492" t="s">
        <v>1670</v>
      </c>
      <c r="K39" s="492" t="s">
        <v>1445</v>
      </c>
      <c r="L39" s="492" t="s">
        <v>1670</v>
      </c>
      <c r="M39" s="492" t="s">
        <v>1445</v>
      </c>
      <c r="N39" s="492" t="s">
        <v>1670</v>
      </c>
      <c r="O39" s="492" t="s">
        <v>1445</v>
      </c>
      <c r="P39" s="492" t="s">
        <v>1670</v>
      </c>
    </row>
    <row r="40" spans="2:19" ht="13.8" x14ac:dyDescent="0.3">
      <c r="B40" s="161" t="s">
        <v>1882</v>
      </c>
      <c r="C40" s="162">
        <f>30/C41</f>
        <v>60.997895303536609</v>
      </c>
      <c r="D40" s="163">
        <f>IFERROR(C40/#REF!-1,0)</f>
        <v>0</v>
      </c>
      <c r="E40" s="162">
        <f>30/E41</f>
        <v>43.834796628404732</v>
      </c>
      <c r="F40" s="163">
        <f t="shared" ref="F40:F45" si="13">IFERROR(E40/C40-1,0)</f>
        <v>-0.28137198160240084</v>
      </c>
      <c r="G40" s="162">
        <f>30/G41</f>
        <v>35.632101896980629</v>
      </c>
      <c r="H40" s="163">
        <f t="shared" ref="H40:H45" si="14">IFERROR(G40/E40-1,0)</f>
        <v>-0.18712747320262002</v>
      </c>
      <c r="I40" s="162">
        <f>30/I41</f>
        <v>55.593302458675083</v>
      </c>
      <c r="J40" s="163">
        <f t="shared" ref="J40:J45" si="15">IFERROR(I40/G40-1,0)</f>
        <v>0.56020272448159769</v>
      </c>
      <c r="K40" s="162">
        <f>30/K41</f>
        <v>65.518944071441581</v>
      </c>
      <c r="L40" s="163">
        <f t="shared" ref="L40:L45" si="16">IFERROR(K40/I40-1,0)</f>
        <v>0.17854024088863318</v>
      </c>
      <c r="M40" s="162">
        <f>30/M41</f>
        <v>30.568335691731917</v>
      </c>
      <c r="N40" s="163">
        <f t="shared" ref="N40:N45" si="17">IFERROR(M40/K40-1,0)</f>
        <v>-0.53344279086060464</v>
      </c>
      <c r="O40" s="162">
        <f>30/O41</f>
        <v>22671404.138359819</v>
      </c>
      <c r="P40" s="163">
        <f t="shared" ref="P40:P45" si="18">IFERROR(O40/M40-1,0)</f>
        <v>741662.01911202678</v>
      </c>
    </row>
    <row r="41" spans="2:19" ht="13.8" x14ac:dyDescent="0.3">
      <c r="B41" s="137" t="s">
        <v>1883</v>
      </c>
      <c r="C41" s="164">
        <f>C45/C44</f>
        <v>0.49182024807109409</v>
      </c>
      <c r="D41" s="165">
        <f>IFERROR(C41/#REF!-1,0)</f>
        <v>0</v>
      </c>
      <c r="E41" s="164">
        <f>E45/E44</f>
        <v>0.68438779936212024</v>
      </c>
      <c r="F41" s="165">
        <f t="shared" si="13"/>
        <v>0.39154051108361432</v>
      </c>
      <c r="G41" s="164">
        <f>G45/G44</f>
        <v>0.84193742167486685</v>
      </c>
      <c r="H41" s="165">
        <f t="shared" si="14"/>
        <v>0.23020518843204085</v>
      </c>
      <c r="I41" s="164">
        <f>I45/I44</f>
        <v>0.53963334922044437</v>
      </c>
      <c r="J41" s="165">
        <f t="shared" si="15"/>
        <v>-0.35905765045227322</v>
      </c>
      <c r="K41" s="164">
        <f>K45/K44</f>
        <v>0.45788283717283551</v>
      </c>
      <c r="L41" s="165">
        <f t="shared" si="16"/>
        <v>-0.15149269808047605</v>
      </c>
      <c r="M41" s="164">
        <f>M45/M44</f>
        <v>0.9814076992132208</v>
      </c>
      <c r="N41" s="165">
        <f t="shared" si="17"/>
        <v>1.1433598718677724</v>
      </c>
      <c r="O41" s="164">
        <f>O45/O44</f>
        <v>1.3232528438430623E-6</v>
      </c>
      <c r="P41" s="165">
        <f t="shared" si="18"/>
        <v>-0.99999865167876212</v>
      </c>
    </row>
    <row r="42" spans="2:19" ht="13.8" x14ac:dyDescent="0.3">
      <c r="B42" s="141" t="s">
        <v>1884</v>
      </c>
      <c r="C42" s="142">
        <v>1006755.47</v>
      </c>
      <c r="D42" s="159">
        <f>IFERROR(C42/#REF!-1,0)</f>
        <v>0</v>
      </c>
      <c r="E42" s="142">
        <f>C3</f>
        <v>1870693.04</v>
      </c>
      <c r="F42" s="159">
        <f t="shared" si="13"/>
        <v>0.85814042808230284</v>
      </c>
      <c r="G42" s="142">
        <f>E3</f>
        <v>1047609.13</v>
      </c>
      <c r="H42" s="159">
        <f t="shared" si="14"/>
        <v>-0.43998875945996996</v>
      </c>
      <c r="I42" s="142">
        <f>G3</f>
        <v>989532.32</v>
      </c>
      <c r="J42" s="159">
        <f t="shared" si="15"/>
        <v>-5.5437479816541901E-2</v>
      </c>
      <c r="K42" s="142">
        <f>I3</f>
        <v>1484653.61</v>
      </c>
      <c r="L42" s="159">
        <f t="shared" si="16"/>
        <v>0.50035888671124984</v>
      </c>
      <c r="M42" s="142">
        <f>K3</f>
        <v>1039728.7999999999</v>
      </c>
      <c r="N42" s="159">
        <f t="shared" si="17"/>
        <v>-0.2996825704010514</v>
      </c>
      <c r="O42" s="142">
        <f>M3</f>
        <v>625302.88999999978</v>
      </c>
      <c r="P42" s="159">
        <f t="shared" si="18"/>
        <v>-0.39859039203299951</v>
      </c>
    </row>
    <row r="43" spans="2:19" ht="13.8" x14ac:dyDescent="0.3">
      <c r="B43" s="141" t="s">
        <v>1885</v>
      </c>
      <c r="C43" s="142">
        <f>C3</f>
        <v>1870693.04</v>
      </c>
      <c r="D43" s="159">
        <f>IFERROR(C43/#REF!-1,0)</f>
        <v>0</v>
      </c>
      <c r="E43" s="142">
        <f>E3</f>
        <v>1047609.13</v>
      </c>
      <c r="F43" s="159">
        <f t="shared" si="13"/>
        <v>-0.43998875945996996</v>
      </c>
      <c r="G43" s="142">
        <f>G3</f>
        <v>989532.32</v>
      </c>
      <c r="H43" s="159">
        <f t="shared" si="14"/>
        <v>-5.5437479816541901E-2</v>
      </c>
      <c r="I43" s="142">
        <f>I3</f>
        <v>1484653.61</v>
      </c>
      <c r="J43" s="159">
        <f t="shared" si="15"/>
        <v>0.50035888671124984</v>
      </c>
      <c r="K43" s="142">
        <f>K3</f>
        <v>1039728.7999999999</v>
      </c>
      <c r="L43" s="159">
        <f t="shared" si="16"/>
        <v>-0.2996825704010514</v>
      </c>
      <c r="M43" s="142">
        <f>M3</f>
        <v>625302.88999999978</v>
      </c>
      <c r="N43" s="159">
        <f t="shared" si="17"/>
        <v>-0.39859039203299951</v>
      </c>
      <c r="O43" s="142">
        <f>O3</f>
        <v>0</v>
      </c>
      <c r="P43" s="159">
        <f t="shared" si="18"/>
        <v>-1</v>
      </c>
    </row>
    <row r="44" spans="2:19" ht="13.8" x14ac:dyDescent="0.3">
      <c r="B44" s="141" t="s">
        <v>1886</v>
      </c>
      <c r="C44" s="142">
        <f>SUM(C42:C43)/2</f>
        <v>1438724.2549999999</v>
      </c>
      <c r="D44" s="159">
        <f>IFERROR(C44/#REF!-1,0)</f>
        <v>0</v>
      </c>
      <c r="E44" s="142">
        <f>SUM(E42:E43)/2</f>
        <v>1459151.085</v>
      </c>
      <c r="F44" s="159">
        <f t="shared" si="13"/>
        <v>1.4197876993461866E-2</v>
      </c>
      <c r="G44" s="142">
        <f>SUM(G42:G43)/2</f>
        <v>1018570.725</v>
      </c>
      <c r="H44" s="159">
        <f t="shared" si="14"/>
        <v>-0.30194293416846552</v>
      </c>
      <c r="I44" s="142">
        <f>SUM(I42:I43)/2</f>
        <v>1237092.9650000001</v>
      </c>
      <c r="J44" s="159">
        <f t="shared" si="15"/>
        <v>0.21453811172513348</v>
      </c>
      <c r="K44" s="142">
        <f>SUM(K42:K43)/2</f>
        <v>1262191.2050000001</v>
      </c>
      <c r="L44" s="159">
        <f t="shared" si="16"/>
        <v>2.0288079158222283E-2</v>
      </c>
      <c r="M44" s="142">
        <f>SUM(M42:M43)/2</f>
        <v>832515.84499999986</v>
      </c>
      <c r="N44" s="159">
        <f t="shared" si="17"/>
        <v>-0.340420182217955</v>
      </c>
      <c r="O44" s="142">
        <f>SUM(O42:O43)/2</f>
        <v>312651.44499999989</v>
      </c>
      <c r="P44" s="159">
        <f t="shared" si="18"/>
        <v>-0.62444985656699425</v>
      </c>
    </row>
    <row r="45" spans="2:19" ht="15" customHeight="1" x14ac:dyDescent="0.3">
      <c r="B45" s="141" t="s">
        <v>1877</v>
      </c>
      <c r="C45" s="144">
        <f>C36</f>
        <v>707593.72</v>
      </c>
      <c r="D45" s="159">
        <f>IFERROR(C45/#REF!-1,0)</f>
        <v>0</v>
      </c>
      <c r="E45" s="144">
        <f>E36</f>
        <v>998625.2</v>
      </c>
      <c r="F45" s="159">
        <f t="shared" si="13"/>
        <v>0.41129743209139846</v>
      </c>
      <c r="G45" s="144">
        <f>G36</f>
        <v>857572.80999999982</v>
      </c>
      <c r="H45" s="159">
        <f t="shared" si="14"/>
        <v>-0.14124657579239952</v>
      </c>
      <c r="I45" s="144">
        <f>I36</f>
        <v>667576.62</v>
      </c>
      <c r="J45" s="159">
        <f t="shared" si="15"/>
        <v>-0.22155108905563348</v>
      </c>
      <c r="K45" s="144">
        <f>K36</f>
        <v>577935.69000000006</v>
      </c>
      <c r="L45" s="159">
        <f t="shared" si="16"/>
        <v>-0.13427811477280305</v>
      </c>
      <c r="M45" s="144">
        <f>M36</f>
        <v>817037.4600000002</v>
      </c>
      <c r="N45" s="159">
        <f t="shared" si="17"/>
        <v>0.41371691372789265</v>
      </c>
      <c r="O45" s="144">
        <f>O36</f>
        <v>0.41371691372789265</v>
      </c>
      <c r="P45" s="159">
        <f t="shared" si="18"/>
        <v>-0.99999949363776575</v>
      </c>
    </row>
    <row r="46" spans="2:19" ht="15" customHeight="1" x14ac:dyDescent="0.3"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</row>
    <row r="47" spans="2:19" ht="12.75" customHeight="1" x14ac:dyDescent="0.3">
      <c r="B47" s="508"/>
      <c r="C47" s="511">
        <f>C1</f>
        <v>45931</v>
      </c>
      <c r="D47" s="511"/>
      <c r="E47" s="511">
        <f>E1</f>
        <v>45962</v>
      </c>
      <c r="F47" s="511"/>
      <c r="G47" s="511">
        <f>G1</f>
        <v>45992</v>
      </c>
      <c r="H47" s="511"/>
      <c r="I47" s="511">
        <f>I1</f>
        <v>46023</v>
      </c>
      <c r="J47" s="511"/>
      <c r="K47" s="511">
        <f>K1</f>
        <v>46054</v>
      </c>
      <c r="L47" s="511"/>
      <c r="M47" s="511">
        <f>M1</f>
        <v>46082</v>
      </c>
      <c r="N47" s="511"/>
      <c r="O47" s="511">
        <f>O1</f>
        <v>46113</v>
      </c>
      <c r="P47" s="511"/>
    </row>
    <row r="48" spans="2:19" ht="13.8" x14ac:dyDescent="0.3">
      <c r="B48" s="508"/>
      <c r="C48" s="492" t="s">
        <v>1445</v>
      </c>
      <c r="D48" s="492" t="s">
        <v>1670</v>
      </c>
      <c r="E48" s="492" t="s">
        <v>1445</v>
      </c>
      <c r="F48" s="492" t="s">
        <v>1670</v>
      </c>
      <c r="G48" s="492" t="s">
        <v>1445</v>
      </c>
      <c r="H48" s="492" t="s">
        <v>1670</v>
      </c>
      <c r="I48" s="492" t="s">
        <v>1445</v>
      </c>
      <c r="J48" s="492" t="s">
        <v>1670</v>
      </c>
      <c r="K48" s="492" t="s">
        <v>1445</v>
      </c>
      <c r="L48" s="492" t="s">
        <v>1670</v>
      </c>
      <c r="M48" s="492" t="s">
        <v>1445</v>
      </c>
      <c r="N48" s="492" t="s">
        <v>1670</v>
      </c>
      <c r="O48" s="492" t="s">
        <v>1445</v>
      </c>
      <c r="P48" s="492" t="s">
        <v>1670</v>
      </c>
    </row>
    <row r="49" spans="2:16" ht="13.8" x14ac:dyDescent="0.3">
      <c r="B49" s="161" t="s">
        <v>1887</v>
      </c>
      <c r="C49" s="162">
        <f>30/C50</f>
        <v>58.585535990907324</v>
      </c>
      <c r="D49" s="163">
        <f>IFERROR(C49/#REF!-1,0)</f>
        <v>0</v>
      </c>
      <c r="E49" s="162">
        <f>30/E50</f>
        <v>39.786825377529027</v>
      </c>
      <c r="F49" s="163">
        <f t="shared" ref="F49:F54" si="19">IFERROR(E49/C49-1,0)</f>
        <v>-0.32087631008950612</v>
      </c>
      <c r="G49" s="162">
        <f>30/G50</f>
        <v>31.583933905273891</v>
      </c>
      <c r="H49" s="163">
        <f t="shared" ref="H49:H54" si="20">IFERROR(G49/E49-1,0)</f>
        <v>-0.20617104768776051</v>
      </c>
      <c r="I49" s="162">
        <f>30/I50</f>
        <v>48.709041218369812</v>
      </c>
      <c r="J49" s="163">
        <f t="shared" ref="J49:J54" si="21">IFERROR(I49/G49-1,0)</f>
        <v>0.54220944624749134</v>
      </c>
      <c r="K49" s="162">
        <f>30/K50</f>
        <v>50.683273600908777</v>
      </c>
      <c r="L49" s="163">
        <f t="shared" ref="L49:L54" si="22">IFERROR(K49/I49-1,0)</f>
        <v>4.0531127962223579E-2</v>
      </c>
      <c r="M49" s="162">
        <f>30/M50</f>
        <v>22.877695534302667</v>
      </c>
      <c r="N49" s="163">
        <f t="shared" ref="N49:N54" si="23">IFERROR(M49/K49-1,0)</f>
        <v>-0.54861448543267621</v>
      </c>
      <c r="O49" s="162">
        <f>30/O50</f>
        <v>19845591.460155115</v>
      </c>
      <c r="P49" s="163">
        <f t="shared" ref="P49:P54" si="24">IFERROR(O49/M49-1,0)</f>
        <v>867463.61986954778</v>
      </c>
    </row>
    <row r="50" spans="2:16" ht="13.8" x14ac:dyDescent="0.3">
      <c r="B50" s="137" t="s">
        <v>1888</v>
      </c>
      <c r="C50" s="164">
        <f>C54/C53</f>
        <v>0.51207178516991125</v>
      </c>
      <c r="D50" s="165">
        <f>IFERROR(C50/#REF!-1,0)</f>
        <v>0</v>
      </c>
      <c r="E50" s="164">
        <f>E54/E53</f>
        <v>0.75401843990658091</v>
      </c>
      <c r="F50" s="165">
        <f t="shared" si="19"/>
        <v>0.47248581496515962</v>
      </c>
      <c r="G50" s="164">
        <f>G54/G53</f>
        <v>0.94985001203382691</v>
      </c>
      <c r="H50" s="165">
        <f t="shared" si="20"/>
        <v>0.25971721878779053</v>
      </c>
      <c r="I50" s="164">
        <f>I54/I53</f>
        <v>0.61590208408138392</v>
      </c>
      <c r="J50" s="165">
        <f t="shared" si="21"/>
        <v>-0.35157964280843756</v>
      </c>
      <c r="K50" s="164">
        <f>K54/K53</f>
        <v>0.59191125333037065</v>
      </c>
      <c r="L50" s="165">
        <f t="shared" si="22"/>
        <v>-3.895234546380133E-2</v>
      </c>
      <c r="M50" s="164">
        <f>M54/M53</f>
        <v>1.3113208869756221</v>
      </c>
      <c r="N50" s="165">
        <f t="shared" si="23"/>
        <v>1.2154011764390606</v>
      </c>
      <c r="O50" s="164">
        <f>O54/O53</f>
        <v>1.5116707436123709E-6</v>
      </c>
      <c r="P50" s="165">
        <f t="shared" si="24"/>
        <v>-0.99999884721523269</v>
      </c>
    </row>
    <row r="51" spans="2:16" ht="13.8" x14ac:dyDescent="0.3">
      <c r="B51" s="141" t="s">
        <v>1884</v>
      </c>
      <c r="C51" s="142">
        <v>1006755.47</v>
      </c>
      <c r="D51" s="159">
        <f>IFERROR(C51/#REF!-1,0)</f>
        <v>0</v>
      </c>
      <c r="E51" s="142">
        <f>C4</f>
        <v>1756895.02</v>
      </c>
      <c r="F51" s="159">
        <f t="shared" si="19"/>
        <v>0.74510600871133104</v>
      </c>
      <c r="G51" s="142">
        <f>E4</f>
        <v>891913.41</v>
      </c>
      <c r="H51" s="159">
        <f t="shared" si="20"/>
        <v>-0.49233539861704423</v>
      </c>
      <c r="I51" s="142">
        <f>G4</f>
        <v>913788.12</v>
      </c>
      <c r="J51" s="159">
        <f t="shared" si="21"/>
        <v>2.4525598286497363E-2</v>
      </c>
      <c r="K51" s="142">
        <f>I4</f>
        <v>1254013.02</v>
      </c>
      <c r="L51" s="159">
        <f t="shared" si="22"/>
        <v>0.37232361917771484</v>
      </c>
      <c r="M51" s="142">
        <f>K4</f>
        <v>698765.15999999992</v>
      </c>
      <c r="N51" s="159">
        <f t="shared" si="23"/>
        <v>-0.44277679030796668</v>
      </c>
      <c r="O51" s="142">
        <f>M4</f>
        <v>547363.7899999998</v>
      </c>
      <c r="P51" s="159">
        <f t="shared" si="24"/>
        <v>-0.21666988949477695</v>
      </c>
    </row>
    <row r="52" spans="2:16" ht="13.8" x14ac:dyDescent="0.3">
      <c r="B52" s="141" t="s">
        <v>1885</v>
      </c>
      <c r="C52" s="142">
        <f>C4</f>
        <v>1756895.02</v>
      </c>
      <c r="D52" s="159">
        <f>IFERROR(C52/#REF!-1,0)</f>
        <v>0</v>
      </c>
      <c r="E52" s="142">
        <f>E4</f>
        <v>891913.41</v>
      </c>
      <c r="F52" s="159">
        <f t="shared" si="19"/>
        <v>-0.49233539861704423</v>
      </c>
      <c r="G52" s="142">
        <f>G4</f>
        <v>913788.12</v>
      </c>
      <c r="H52" s="159">
        <f t="shared" si="20"/>
        <v>2.4525598286497363E-2</v>
      </c>
      <c r="I52" s="142">
        <f>I4</f>
        <v>1254013.02</v>
      </c>
      <c r="J52" s="159">
        <f t="shared" si="21"/>
        <v>0.37232361917771484</v>
      </c>
      <c r="K52" s="142">
        <f>K4</f>
        <v>698765.15999999992</v>
      </c>
      <c r="L52" s="159">
        <f t="shared" si="22"/>
        <v>-0.44277679030796668</v>
      </c>
      <c r="M52" s="142">
        <f>M4</f>
        <v>547363.7899999998</v>
      </c>
      <c r="N52" s="159">
        <f t="shared" si="23"/>
        <v>-0.21666988949477695</v>
      </c>
      <c r="O52" s="142">
        <f>O4</f>
        <v>0</v>
      </c>
      <c r="P52" s="159">
        <f t="shared" si="24"/>
        <v>-1</v>
      </c>
    </row>
    <row r="53" spans="2:16" ht="13.8" x14ac:dyDescent="0.3">
      <c r="B53" s="141" t="s">
        <v>1886</v>
      </c>
      <c r="C53" s="142">
        <f>SUM(C51:C52)/2</f>
        <v>1381825.2450000001</v>
      </c>
      <c r="D53" s="159">
        <f>IFERROR(C53/#REF!-1,0)</f>
        <v>0</v>
      </c>
      <c r="E53" s="142">
        <f>SUM(E51:E52)/2</f>
        <v>1324404.2150000001</v>
      </c>
      <c r="F53" s="159">
        <f t="shared" si="19"/>
        <v>-4.1554480356884804E-2</v>
      </c>
      <c r="G53" s="142">
        <f>SUM(G51:G52)/2</f>
        <v>902850.76500000001</v>
      </c>
      <c r="H53" s="159">
        <f t="shared" si="20"/>
        <v>-0.31829666896673237</v>
      </c>
      <c r="I53" s="142">
        <f>SUM(I51:I52)/2</f>
        <v>1083900.57</v>
      </c>
      <c r="J53" s="159">
        <f t="shared" si="21"/>
        <v>0.20053126387947406</v>
      </c>
      <c r="K53" s="142">
        <f>SUM(K51:K52)/2</f>
        <v>976389.09</v>
      </c>
      <c r="L53" s="159">
        <f t="shared" si="22"/>
        <v>-9.9189430262962341E-2</v>
      </c>
      <c r="M53" s="142">
        <f>SUM(M51:M52)/2</f>
        <v>623064.47499999986</v>
      </c>
      <c r="N53" s="159">
        <f t="shared" si="23"/>
        <v>-0.36186866344440627</v>
      </c>
      <c r="O53" s="142">
        <f>SUM(O51:O52)/2</f>
        <v>273681.8949999999</v>
      </c>
      <c r="P53" s="159">
        <f t="shared" si="24"/>
        <v>-0.56074867693267216</v>
      </c>
    </row>
    <row r="54" spans="2:16" ht="15" customHeight="1" x14ac:dyDescent="0.3">
      <c r="B54" s="141" t="s">
        <v>1877</v>
      </c>
      <c r="C54" s="144">
        <f>C36</f>
        <v>707593.72</v>
      </c>
      <c r="D54" s="159">
        <f>IFERROR(C54/#REF!-1,0)</f>
        <v>0</v>
      </c>
      <c r="E54" s="144">
        <f>E36</f>
        <v>998625.2</v>
      </c>
      <c r="F54" s="159">
        <f t="shared" si="19"/>
        <v>0.41129743209139846</v>
      </c>
      <c r="G54" s="144">
        <f>G36</f>
        <v>857572.80999999982</v>
      </c>
      <c r="H54" s="159">
        <f t="shared" si="20"/>
        <v>-0.14124657579239952</v>
      </c>
      <c r="I54" s="144">
        <f>I36</f>
        <v>667576.62</v>
      </c>
      <c r="J54" s="159">
        <f t="shared" si="21"/>
        <v>-0.22155108905563348</v>
      </c>
      <c r="K54" s="144">
        <f>K36</f>
        <v>577935.69000000006</v>
      </c>
      <c r="L54" s="159">
        <f t="shared" si="22"/>
        <v>-0.13427811477280305</v>
      </c>
      <c r="M54" s="144">
        <f>M36</f>
        <v>817037.4600000002</v>
      </c>
      <c r="N54" s="159">
        <f t="shared" si="23"/>
        <v>0.41371691372789265</v>
      </c>
      <c r="O54" s="144">
        <f>O36</f>
        <v>0.41371691372789265</v>
      </c>
      <c r="P54" s="159">
        <f t="shared" si="24"/>
        <v>-0.99999949363776575</v>
      </c>
    </row>
    <row r="55" spans="2:16" ht="15" customHeight="1" x14ac:dyDescent="0.3"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</row>
    <row r="56" spans="2:16" ht="15" customHeight="1" x14ac:dyDescent="0.3">
      <c r="B56" s="75" t="s">
        <v>1889</v>
      </c>
      <c r="C56" s="512">
        <f>C1</f>
        <v>45931</v>
      </c>
      <c r="D56" s="512"/>
      <c r="E56" s="512">
        <f>E1</f>
        <v>45962</v>
      </c>
      <c r="F56" s="512"/>
      <c r="G56" s="512">
        <f>G1</f>
        <v>45992</v>
      </c>
      <c r="H56" s="512"/>
      <c r="I56" s="512">
        <f>I1</f>
        <v>46023</v>
      </c>
      <c r="J56" s="512"/>
      <c r="K56" s="512">
        <f>K1</f>
        <v>46054</v>
      </c>
      <c r="L56" s="512"/>
      <c r="M56" s="512">
        <f>M1</f>
        <v>46082</v>
      </c>
      <c r="N56" s="512"/>
      <c r="O56" s="512">
        <f>O1</f>
        <v>46113</v>
      </c>
      <c r="P56" s="512"/>
    </row>
    <row r="57" spans="2:16" ht="15" customHeight="1" x14ac:dyDescent="0.3">
      <c r="B57" s="146" t="s">
        <v>1890</v>
      </c>
      <c r="C57" s="509">
        <f>C3+C7+C13-C17</f>
        <v>-352030.60000000009</v>
      </c>
      <c r="D57" s="510"/>
      <c r="E57" s="509">
        <f>E3+E7+E13-E17</f>
        <v>-128560.24000000022</v>
      </c>
      <c r="F57" s="510"/>
      <c r="G57" s="509">
        <f>G3+G7+G13-G17</f>
        <v>-8375.2600000000093</v>
      </c>
      <c r="H57" s="510"/>
      <c r="I57" s="509">
        <f>I3+I7+I13-I17</f>
        <v>-12267.219999999972</v>
      </c>
      <c r="J57" s="510"/>
      <c r="K57" s="509">
        <f>K3+K7+K13-K17</f>
        <v>-79085.87</v>
      </c>
      <c r="L57" s="510"/>
      <c r="M57" s="509">
        <f>M3+M7+M13-M17</f>
        <v>-28887.830000000191</v>
      </c>
      <c r="N57" s="510"/>
      <c r="O57" s="509">
        <f>O3+O7+O13-O17</f>
        <v>140769.53000000003</v>
      </c>
      <c r="P57" s="510"/>
    </row>
    <row r="58" spans="2:16" ht="13.8" x14ac:dyDescent="0.3"/>
    <row r="59" spans="2:16" ht="13.8" x14ac:dyDescent="0.3">
      <c r="B59" s="146" t="s">
        <v>1891</v>
      </c>
      <c r="C59" s="281">
        <v>13</v>
      </c>
      <c r="D59" s="160">
        <f>IFERROR(C59/#REF!-1,0)</f>
        <v>0</v>
      </c>
      <c r="E59" s="281">
        <v>14</v>
      </c>
      <c r="F59" s="160">
        <f>IFERROR(E59/C59-1,0)</f>
        <v>7.6923076923076872E-2</v>
      </c>
      <c r="G59" s="281">
        <v>14</v>
      </c>
      <c r="H59" s="160">
        <f>IFERROR(G59/E59-1,0)</f>
        <v>0</v>
      </c>
      <c r="I59" s="281">
        <v>12</v>
      </c>
      <c r="J59" s="160">
        <f>IFERROR(I59/G59-1,0)</f>
        <v>-0.1428571428571429</v>
      </c>
      <c r="K59" s="281">
        <v>13</v>
      </c>
      <c r="L59" s="160">
        <f>IFERROR(K59/I59-1,0)</f>
        <v>8.3333333333333259E-2</v>
      </c>
      <c r="M59" s="281">
        <v>14</v>
      </c>
      <c r="N59" s="160">
        <f>IFERROR(M59/K59-1,0)</f>
        <v>7.6923076923076872E-2</v>
      </c>
      <c r="O59" s="281">
        <v>14</v>
      </c>
      <c r="P59" s="160">
        <f>IFERROR(O59/M59-1,0)</f>
        <v>0</v>
      </c>
    </row>
    <row r="60" spans="2:16" ht="15" customHeight="1" x14ac:dyDescent="0.3"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</row>
  </sheetData>
  <mergeCells count="46">
    <mergeCell ref="K1:L1"/>
    <mergeCell ref="K29:L29"/>
    <mergeCell ref="K38:L38"/>
    <mergeCell ref="K47:L47"/>
    <mergeCell ref="K56:L56"/>
    <mergeCell ref="C57:D57"/>
    <mergeCell ref="C56:D56"/>
    <mergeCell ref="E57:F57"/>
    <mergeCell ref="G57:H57"/>
    <mergeCell ref="K57:L57"/>
    <mergeCell ref="I57:J57"/>
    <mergeCell ref="B1:B2"/>
    <mergeCell ref="B29:B30"/>
    <mergeCell ref="B38:B39"/>
    <mergeCell ref="C38:D38"/>
    <mergeCell ref="B47:B48"/>
    <mergeCell ref="C1:D1"/>
    <mergeCell ref="C47:D47"/>
    <mergeCell ref="C29:D29"/>
    <mergeCell ref="I1:J1"/>
    <mergeCell ref="I29:J29"/>
    <mergeCell ref="I38:J38"/>
    <mergeCell ref="I47:J47"/>
    <mergeCell ref="I56:J56"/>
    <mergeCell ref="G1:H1"/>
    <mergeCell ref="G29:H29"/>
    <mergeCell ref="G38:H38"/>
    <mergeCell ref="G56:H56"/>
    <mergeCell ref="E1:F1"/>
    <mergeCell ref="E29:F29"/>
    <mergeCell ref="E38:F38"/>
    <mergeCell ref="E56:F56"/>
    <mergeCell ref="E47:F47"/>
    <mergeCell ref="G47:H47"/>
    <mergeCell ref="M57:N57"/>
    <mergeCell ref="M1:N1"/>
    <mergeCell ref="M29:N29"/>
    <mergeCell ref="M38:N38"/>
    <mergeCell ref="M47:N47"/>
    <mergeCell ref="M56:N56"/>
    <mergeCell ref="O57:P57"/>
    <mergeCell ref="O1:P1"/>
    <mergeCell ref="O29:P29"/>
    <mergeCell ref="O38:P38"/>
    <mergeCell ref="O47:P47"/>
    <mergeCell ref="O56:P56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C3:H3 C41:D41 D40 C13:C14 C38:D39 D31:D33 C23:C27 D12:D14 E15 E7:I7 E40:E44 C56:D56 C45:E45 C43:D44 D42 C34:E34 E4 C16 C18 E32 E13:H13 F40:F45 C58:D58 C57 G34:H35 F32:F34 G38:H45 H33 G32:H32 G37:H37 H36 G17 C46:D46 C49:H53 E20:K20 D27:H27 I34 I40:I45 C54:F54 H54 I49:I54 D10 I11:I13 G11 C7:D8 K17 I3:K3 K13 K31 J32:J34 E11 K4 J40:J45 J49:J54 I32 K32 K34 K40:K45 K49:K54 M17" formula="1"/>
    <ignoredError sqref="C40" evalError="1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5893-EE4D-4D34-A313-8825349B9FF6}">
  <dimension ref="A1:M44"/>
  <sheetViews>
    <sheetView showGridLines="0" workbookViewId="0">
      <selection activeCell="C36" sqref="C36"/>
    </sheetView>
  </sheetViews>
  <sheetFormatPr defaultColWidth="8.88671875" defaultRowHeight="14.4" x14ac:dyDescent="0.3"/>
  <cols>
    <col min="1" max="1" width="17.109375" style="50" bestFit="1" customWidth="1"/>
    <col min="2" max="2" width="11.6640625" style="67" customWidth="1"/>
    <col min="3" max="3" width="8.88671875" style="67"/>
    <col min="4" max="4" width="10.44140625" style="191" customWidth="1"/>
    <col min="5" max="5" width="10.109375" style="67" bestFit="1" customWidth="1"/>
    <col min="6" max="8" width="8.88671875" style="67"/>
    <col min="9" max="9" width="9" style="67" bestFit="1" customWidth="1"/>
    <col min="10" max="10" width="58.33203125" style="50" bestFit="1" customWidth="1"/>
    <col min="11" max="11" width="8.88671875" style="50"/>
    <col min="12" max="12" width="32.6640625" style="50" bestFit="1" customWidth="1"/>
    <col min="13" max="13" width="5.5546875" style="50" bestFit="1" customWidth="1"/>
    <col min="14" max="16384" width="8.88671875" style="50"/>
  </cols>
  <sheetData>
    <row r="1" spans="1:10" x14ac:dyDescent="0.3">
      <c r="A1" s="171" t="s">
        <v>1892</v>
      </c>
      <c r="B1" s="172">
        <f>SUM(B3:B17)</f>
        <v>2501</v>
      </c>
      <c r="C1" s="172">
        <f t="shared" ref="C1:I1" si="0">SUM(C3:C17)</f>
        <v>1043</v>
      </c>
      <c r="D1" s="173">
        <f t="shared" si="0"/>
        <v>122</v>
      </c>
      <c r="E1" s="172">
        <f t="shared" si="0"/>
        <v>24</v>
      </c>
      <c r="F1" s="172">
        <f t="shared" si="0"/>
        <v>763</v>
      </c>
      <c r="G1" s="172">
        <f t="shared" si="0"/>
        <v>86</v>
      </c>
      <c r="H1" s="172">
        <f t="shared" si="0"/>
        <v>431</v>
      </c>
      <c r="I1" s="172">
        <f t="shared" si="0"/>
        <v>32</v>
      </c>
      <c r="J1" s="184"/>
    </row>
    <row r="2" spans="1:10" s="170" customFormat="1" ht="28.8" x14ac:dyDescent="0.3">
      <c r="A2" s="171" t="s">
        <v>1893</v>
      </c>
      <c r="B2" s="173" t="s">
        <v>1894</v>
      </c>
      <c r="C2" s="172" t="s">
        <v>1895</v>
      </c>
      <c r="D2" s="173" t="s">
        <v>1896</v>
      </c>
      <c r="E2" s="173" t="s">
        <v>1897</v>
      </c>
      <c r="F2" s="172" t="s">
        <v>1898</v>
      </c>
      <c r="G2" s="172" t="s">
        <v>1899</v>
      </c>
      <c r="H2" s="172" t="s">
        <v>1654</v>
      </c>
      <c r="I2" s="172" t="s">
        <v>1900</v>
      </c>
      <c r="J2" s="172" t="s">
        <v>1901</v>
      </c>
    </row>
    <row r="3" spans="1:10" x14ac:dyDescent="0.3">
      <c r="A3" s="189" t="s">
        <v>1902</v>
      </c>
      <c r="B3" s="188">
        <f t="shared" ref="B3:B17" si="1">SUM(C3:I3)</f>
        <v>152</v>
      </c>
      <c r="C3" s="188">
        <v>97</v>
      </c>
      <c r="D3" s="190">
        <v>0</v>
      </c>
      <c r="E3" s="188">
        <v>0</v>
      </c>
      <c r="F3" s="188">
        <v>43</v>
      </c>
      <c r="G3" s="188">
        <v>11</v>
      </c>
      <c r="H3" s="188">
        <v>0</v>
      </c>
      <c r="I3" s="188">
        <v>1</v>
      </c>
      <c r="J3" s="174"/>
    </row>
    <row r="4" spans="1:10" x14ac:dyDescent="0.3">
      <c r="A4" s="189" t="s">
        <v>1903</v>
      </c>
      <c r="B4" s="188">
        <f t="shared" si="1"/>
        <v>166</v>
      </c>
      <c r="C4" s="188">
        <v>91</v>
      </c>
      <c r="D4" s="190">
        <v>0</v>
      </c>
      <c r="E4" s="188">
        <v>24</v>
      </c>
      <c r="F4" s="188">
        <v>43</v>
      </c>
      <c r="G4" s="188">
        <v>4</v>
      </c>
      <c r="H4" s="188">
        <v>0</v>
      </c>
      <c r="I4" s="188">
        <v>4</v>
      </c>
      <c r="J4" s="174"/>
    </row>
    <row r="5" spans="1:10" x14ac:dyDescent="0.3">
      <c r="A5" s="189" t="s">
        <v>1904</v>
      </c>
      <c r="B5" s="188">
        <f t="shared" si="1"/>
        <v>187</v>
      </c>
      <c r="C5" s="188">
        <v>97</v>
      </c>
      <c r="D5" s="190">
        <v>0</v>
      </c>
      <c r="E5" s="188">
        <v>0</v>
      </c>
      <c r="F5" s="188">
        <v>0</v>
      </c>
      <c r="G5" s="188">
        <v>8</v>
      </c>
      <c r="H5" s="188">
        <v>77</v>
      </c>
      <c r="I5" s="188">
        <v>5</v>
      </c>
      <c r="J5" s="174"/>
    </row>
    <row r="6" spans="1:10" x14ac:dyDescent="0.3">
      <c r="A6" s="189" t="s">
        <v>1905</v>
      </c>
      <c r="B6" s="188">
        <f t="shared" si="1"/>
        <v>219</v>
      </c>
      <c r="C6" s="188">
        <v>92</v>
      </c>
      <c r="D6" s="190">
        <v>0</v>
      </c>
      <c r="E6" s="188">
        <v>0</v>
      </c>
      <c r="F6" s="188">
        <v>23</v>
      </c>
      <c r="G6" s="188">
        <v>17</v>
      </c>
      <c r="H6" s="188">
        <v>86</v>
      </c>
      <c r="I6" s="188">
        <v>1</v>
      </c>
      <c r="J6" s="174" t="s">
        <v>1906</v>
      </c>
    </row>
    <row r="7" spans="1:10" x14ac:dyDescent="0.3">
      <c r="A7" s="189" t="s">
        <v>1907</v>
      </c>
      <c r="B7" s="188">
        <f t="shared" si="1"/>
        <v>135</v>
      </c>
      <c r="C7" s="188">
        <v>66</v>
      </c>
      <c r="D7" s="190">
        <v>9</v>
      </c>
      <c r="E7" s="188">
        <v>0</v>
      </c>
      <c r="F7" s="188">
        <v>28</v>
      </c>
      <c r="G7" s="188">
        <v>2</v>
      </c>
      <c r="H7" s="188">
        <v>29</v>
      </c>
      <c r="I7" s="188">
        <v>1</v>
      </c>
      <c r="J7" s="174" t="s">
        <v>1908</v>
      </c>
    </row>
    <row r="8" spans="1:10" x14ac:dyDescent="0.3">
      <c r="A8" s="189" t="s">
        <v>1909</v>
      </c>
      <c r="B8" s="188">
        <f t="shared" si="1"/>
        <v>217</v>
      </c>
      <c r="C8" s="188">
        <v>86</v>
      </c>
      <c r="D8" s="190">
        <v>9</v>
      </c>
      <c r="E8" s="188">
        <v>0</v>
      </c>
      <c r="F8" s="188">
        <v>46</v>
      </c>
      <c r="G8" s="188">
        <v>2</v>
      </c>
      <c r="H8" s="188">
        <v>73</v>
      </c>
      <c r="I8" s="188">
        <v>1</v>
      </c>
      <c r="J8" s="174"/>
    </row>
    <row r="9" spans="1:10" x14ac:dyDescent="0.3">
      <c r="A9" s="189" t="s">
        <v>1910</v>
      </c>
      <c r="B9" s="188">
        <f t="shared" si="1"/>
        <v>209</v>
      </c>
      <c r="C9" s="188">
        <v>85</v>
      </c>
      <c r="D9" s="190">
        <v>30</v>
      </c>
      <c r="E9" s="188">
        <v>0</v>
      </c>
      <c r="F9" s="188">
        <v>36</v>
      </c>
      <c r="G9" s="188">
        <v>5</v>
      </c>
      <c r="H9" s="188">
        <v>52</v>
      </c>
      <c r="I9" s="188">
        <v>1</v>
      </c>
      <c r="J9" s="174" t="s">
        <v>1911</v>
      </c>
    </row>
    <row r="10" spans="1:10" x14ac:dyDescent="0.3">
      <c r="A10" s="189" t="s">
        <v>1912</v>
      </c>
      <c r="B10" s="188">
        <f t="shared" ref="B10:B16" si="2">SUM(C10:I10)</f>
        <v>149</v>
      </c>
      <c r="C10" s="188">
        <v>22</v>
      </c>
      <c r="D10" s="190">
        <v>30</v>
      </c>
      <c r="E10" s="188">
        <v>0</v>
      </c>
      <c r="F10" s="188">
        <v>17</v>
      </c>
      <c r="G10" s="188">
        <v>2</v>
      </c>
      <c r="H10" s="188">
        <v>77</v>
      </c>
      <c r="I10" s="188">
        <v>1</v>
      </c>
      <c r="J10" s="174" t="s">
        <v>1913</v>
      </c>
    </row>
    <row r="11" spans="1:10" x14ac:dyDescent="0.3">
      <c r="A11" s="189" t="s">
        <v>1914</v>
      </c>
      <c r="B11" s="188">
        <f t="shared" si="2"/>
        <v>119</v>
      </c>
      <c r="C11" s="188">
        <v>68</v>
      </c>
      <c r="D11" s="190">
        <v>23</v>
      </c>
      <c r="E11" s="188">
        <v>0</v>
      </c>
      <c r="F11" s="188">
        <v>17</v>
      </c>
      <c r="G11" s="188">
        <v>6</v>
      </c>
      <c r="H11" s="188">
        <v>2</v>
      </c>
      <c r="I11" s="188">
        <v>3</v>
      </c>
      <c r="J11" s="174"/>
    </row>
    <row r="12" spans="1:10" x14ac:dyDescent="0.3">
      <c r="A12" s="189" t="s">
        <v>1915</v>
      </c>
      <c r="B12" s="188">
        <f t="shared" si="2"/>
        <v>109</v>
      </c>
      <c r="C12" s="188">
        <v>48</v>
      </c>
      <c r="D12" s="190">
        <v>19</v>
      </c>
      <c r="E12" s="188">
        <v>0</v>
      </c>
      <c r="F12" s="188">
        <v>40</v>
      </c>
      <c r="G12" s="188">
        <v>1</v>
      </c>
      <c r="H12" s="188">
        <v>0</v>
      </c>
      <c r="I12" s="188">
        <v>1</v>
      </c>
      <c r="J12" s="174"/>
    </row>
    <row r="13" spans="1:10" x14ac:dyDescent="0.3">
      <c r="A13" s="189" t="s">
        <v>1916</v>
      </c>
      <c r="B13" s="188">
        <f t="shared" si="2"/>
        <v>208</v>
      </c>
      <c r="C13" s="188">
        <v>0</v>
      </c>
      <c r="D13" s="190">
        <v>0</v>
      </c>
      <c r="E13" s="188">
        <v>0</v>
      </c>
      <c r="F13" s="188">
        <v>208</v>
      </c>
      <c r="G13" s="188">
        <v>0</v>
      </c>
      <c r="H13" s="188">
        <v>0</v>
      </c>
      <c r="I13" s="188">
        <v>0</v>
      </c>
      <c r="J13" s="174"/>
    </row>
    <row r="14" spans="1:10" x14ac:dyDescent="0.3">
      <c r="A14" s="189" t="s">
        <v>1917</v>
      </c>
      <c r="B14" s="188">
        <f t="shared" si="2"/>
        <v>161</v>
      </c>
      <c r="C14" s="188">
        <v>60</v>
      </c>
      <c r="D14" s="190">
        <v>0</v>
      </c>
      <c r="E14" s="188">
        <v>0</v>
      </c>
      <c r="F14" s="188">
        <v>97</v>
      </c>
      <c r="G14" s="188">
        <v>2</v>
      </c>
      <c r="H14" s="188">
        <v>0</v>
      </c>
      <c r="I14" s="188">
        <v>2</v>
      </c>
      <c r="J14" s="174"/>
    </row>
    <row r="15" spans="1:10" x14ac:dyDescent="0.3">
      <c r="A15" s="189" t="s">
        <v>1918</v>
      </c>
      <c r="B15" s="188">
        <f t="shared" si="2"/>
        <v>126</v>
      </c>
      <c r="C15" s="188">
        <v>71</v>
      </c>
      <c r="D15" s="190">
        <v>1</v>
      </c>
      <c r="E15" s="188">
        <v>0</v>
      </c>
      <c r="F15" s="188">
        <v>26</v>
      </c>
      <c r="G15" s="188">
        <v>14</v>
      </c>
      <c r="H15" s="188">
        <v>13</v>
      </c>
      <c r="I15" s="188">
        <v>1</v>
      </c>
      <c r="J15" s="174"/>
    </row>
    <row r="16" spans="1:10" x14ac:dyDescent="0.3">
      <c r="A16" s="189" t="s">
        <v>1919</v>
      </c>
      <c r="B16" s="188">
        <f t="shared" si="2"/>
        <v>206</v>
      </c>
      <c r="C16" s="188">
        <v>158</v>
      </c>
      <c r="D16" s="190">
        <v>0</v>
      </c>
      <c r="E16" s="188">
        <v>0</v>
      </c>
      <c r="F16" s="188">
        <v>10</v>
      </c>
      <c r="G16" s="188">
        <v>8</v>
      </c>
      <c r="H16" s="188">
        <v>20</v>
      </c>
      <c r="I16" s="188">
        <v>10</v>
      </c>
      <c r="J16" s="174"/>
    </row>
    <row r="17" spans="1:13" x14ac:dyDescent="0.3">
      <c r="A17" s="189" t="s">
        <v>1920</v>
      </c>
      <c r="B17" s="188">
        <f t="shared" si="1"/>
        <v>138</v>
      </c>
      <c r="C17" s="188">
        <v>2</v>
      </c>
      <c r="D17" s="190">
        <v>1</v>
      </c>
      <c r="E17" s="188">
        <v>0</v>
      </c>
      <c r="F17" s="188">
        <v>129</v>
      </c>
      <c r="G17" s="188">
        <v>4</v>
      </c>
      <c r="H17" s="188">
        <v>2</v>
      </c>
      <c r="I17" s="188">
        <v>0</v>
      </c>
      <c r="J17" s="174"/>
    </row>
    <row r="19" spans="1:13" x14ac:dyDescent="0.3">
      <c r="A19" s="55" t="s">
        <v>1921</v>
      </c>
      <c r="B19" s="178">
        <f>AVERAGE(B3:B17)</f>
        <v>166.73333333333332</v>
      </c>
      <c r="C19" s="179" t="s">
        <v>1922</v>
      </c>
      <c r="L19" s="171" t="s">
        <v>1923</v>
      </c>
      <c r="M19" s="171" t="s">
        <v>1924</v>
      </c>
    </row>
    <row r="20" spans="1:13" x14ac:dyDescent="0.3">
      <c r="A20" s="55" t="s">
        <v>1925</v>
      </c>
      <c r="B20" s="178">
        <f>B19*20</f>
        <v>3334.6666666666665</v>
      </c>
      <c r="C20" s="179" t="s">
        <v>1922</v>
      </c>
      <c r="L20" s="111" t="s">
        <v>1654</v>
      </c>
      <c r="M20" s="182">
        <v>223</v>
      </c>
    </row>
    <row r="21" spans="1:13" x14ac:dyDescent="0.3">
      <c r="L21" s="111" t="s">
        <v>1926</v>
      </c>
      <c r="M21" s="182">
        <v>495</v>
      </c>
    </row>
    <row r="22" spans="1:13" x14ac:dyDescent="0.3">
      <c r="L22" s="111" t="s">
        <v>1927</v>
      </c>
      <c r="M22" s="182">
        <v>0</v>
      </c>
    </row>
    <row r="23" spans="1:13" x14ac:dyDescent="0.3">
      <c r="L23" s="111" t="s">
        <v>1657</v>
      </c>
      <c r="M23" s="182">
        <v>258</v>
      </c>
    </row>
    <row r="24" spans="1:13" x14ac:dyDescent="0.3">
      <c r="L24" s="111" t="s">
        <v>1658</v>
      </c>
      <c r="M24" s="182">
        <v>9</v>
      </c>
    </row>
    <row r="25" spans="1:13" x14ac:dyDescent="0.3">
      <c r="L25" s="111" t="s">
        <v>1659</v>
      </c>
      <c r="M25" s="182">
        <v>0</v>
      </c>
    </row>
    <row r="26" spans="1:13" x14ac:dyDescent="0.3">
      <c r="L26" s="111" t="s">
        <v>1928</v>
      </c>
      <c r="M26" s="182">
        <v>16</v>
      </c>
    </row>
    <row r="27" spans="1:13" x14ac:dyDescent="0.3">
      <c r="L27" s="111" t="s">
        <v>1929</v>
      </c>
      <c r="M27" s="182">
        <v>88</v>
      </c>
    </row>
    <row r="28" spans="1:13" x14ac:dyDescent="0.3">
      <c r="L28" s="111" t="s">
        <v>1930</v>
      </c>
      <c r="M28" s="182">
        <v>202</v>
      </c>
    </row>
    <row r="29" spans="1:13" x14ac:dyDescent="0.3">
      <c r="M29" s="183">
        <f>SUM(M20:M28)</f>
        <v>1291</v>
      </c>
    </row>
    <row r="35" spans="1:12" ht="28.8" x14ac:dyDescent="0.3">
      <c r="A35" s="185" t="s">
        <v>1931</v>
      </c>
      <c r="B35" s="187" t="s">
        <v>1932</v>
      </c>
      <c r="C35" s="186" t="s">
        <v>1895</v>
      </c>
      <c r="D35" s="187" t="s">
        <v>1896</v>
      </c>
      <c r="E35" s="187" t="s">
        <v>1897</v>
      </c>
      <c r="F35" s="186" t="s">
        <v>1898</v>
      </c>
      <c r="G35" s="186" t="s">
        <v>1899</v>
      </c>
      <c r="H35" s="186" t="s">
        <v>1654</v>
      </c>
      <c r="I35" s="186" t="s">
        <v>1900</v>
      </c>
      <c r="J35" s="186"/>
    </row>
    <row r="36" spans="1:12" x14ac:dyDescent="0.3">
      <c r="A36" s="189" t="s">
        <v>1920</v>
      </c>
      <c r="B36" s="188">
        <f t="shared" ref="B36" si="3">SUM(C36:I36)</f>
        <v>476</v>
      </c>
      <c r="C36" s="188">
        <v>304</v>
      </c>
      <c r="D36" s="190">
        <v>20</v>
      </c>
      <c r="E36" s="188">
        <v>0</v>
      </c>
      <c r="F36" s="188">
        <v>107</v>
      </c>
      <c r="G36" s="188">
        <v>0</v>
      </c>
      <c r="H36" s="188">
        <v>45</v>
      </c>
      <c r="I36" s="188">
        <v>0</v>
      </c>
      <c r="J36" s="174"/>
      <c r="L36" s="67"/>
    </row>
    <row r="37" spans="1:12" x14ac:dyDescent="0.3">
      <c r="A37" s="189" t="s">
        <v>1933</v>
      </c>
      <c r="B37" s="188">
        <f t="shared" ref="B37:B42" si="4">SUM(C37:I37)</f>
        <v>412</v>
      </c>
      <c r="C37" s="188">
        <v>334</v>
      </c>
      <c r="D37" s="190">
        <v>20</v>
      </c>
      <c r="E37" s="188">
        <v>0</v>
      </c>
      <c r="F37" s="188">
        <v>14</v>
      </c>
      <c r="G37" s="188">
        <v>0</v>
      </c>
      <c r="H37" s="188">
        <v>43</v>
      </c>
      <c r="I37" s="188">
        <v>1</v>
      </c>
      <c r="J37" s="174"/>
      <c r="L37" s="67"/>
    </row>
    <row r="38" spans="1:12" x14ac:dyDescent="0.3">
      <c r="A38" s="189" t="s">
        <v>1919</v>
      </c>
      <c r="B38" s="188">
        <f t="shared" si="4"/>
        <v>235</v>
      </c>
      <c r="C38" s="188">
        <v>175</v>
      </c>
      <c r="D38" s="190">
        <v>21</v>
      </c>
      <c r="E38" s="188">
        <v>0</v>
      </c>
      <c r="F38" s="188">
        <v>10</v>
      </c>
      <c r="G38" s="188">
        <v>0</v>
      </c>
      <c r="H38" s="188">
        <v>29</v>
      </c>
      <c r="I38" s="188">
        <v>0</v>
      </c>
      <c r="J38" s="174"/>
    </row>
    <row r="39" spans="1:12" x14ac:dyDescent="0.3">
      <c r="A39" s="189" t="s">
        <v>1918</v>
      </c>
      <c r="B39" s="188">
        <f t="shared" si="4"/>
        <v>170</v>
      </c>
      <c r="C39" s="188">
        <v>40</v>
      </c>
      <c r="D39" s="190">
        <v>21</v>
      </c>
      <c r="E39" s="188">
        <v>0</v>
      </c>
      <c r="F39" s="188">
        <v>10</v>
      </c>
      <c r="G39" s="188">
        <v>0</v>
      </c>
      <c r="H39" s="188">
        <v>99</v>
      </c>
      <c r="I39" s="188">
        <v>0</v>
      </c>
      <c r="J39" s="174"/>
    </row>
    <row r="40" spans="1:12" x14ac:dyDescent="0.3">
      <c r="A40" s="189" t="s">
        <v>1917</v>
      </c>
      <c r="B40" s="188">
        <f t="shared" si="4"/>
        <v>317</v>
      </c>
      <c r="C40" s="188">
        <v>95</v>
      </c>
      <c r="D40" s="190">
        <v>15</v>
      </c>
      <c r="E40" s="188">
        <v>0</v>
      </c>
      <c r="F40" s="188">
        <v>67</v>
      </c>
      <c r="G40" s="188">
        <v>1</v>
      </c>
      <c r="H40" s="188">
        <v>138</v>
      </c>
      <c r="I40" s="188">
        <v>1</v>
      </c>
      <c r="J40" s="174"/>
    </row>
    <row r="41" spans="1:12" x14ac:dyDescent="0.3">
      <c r="A41" s="189" t="s">
        <v>1915</v>
      </c>
      <c r="B41" s="188">
        <f t="shared" si="4"/>
        <v>357</v>
      </c>
      <c r="C41" s="188">
        <v>8</v>
      </c>
      <c r="D41" s="190">
        <v>78</v>
      </c>
      <c r="E41" s="188">
        <v>0</v>
      </c>
      <c r="F41" s="188">
        <v>35</v>
      </c>
      <c r="G41" s="188">
        <v>6</v>
      </c>
      <c r="H41" s="188">
        <v>224</v>
      </c>
      <c r="I41" s="188">
        <v>6</v>
      </c>
      <c r="J41" s="174"/>
    </row>
    <row r="42" spans="1:12" x14ac:dyDescent="0.3">
      <c r="A42" s="189" t="s">
        <v>1914</v>
      </c>
      <c r="B42" s="188">
        <f t="shared" si="4"/>
        <v>317</v>
      </c>
      <c r="C42" s="188">
        <v>3</v>
      </c>
      <c r="D42" s="190">
        <v>52</v>
      </c>
      <c r="E42" s="188">
        <v>0</v>
      </c>
      <c r="F42" s="188">
        <v>26</v>
      </c>
      <c r="G42" s="188">
        <v>3</v>
      </c>
      <c r="H42" s="188">
        <v>230</v>
      </c>
      <c r="I42" s="188">
        <v>3</v>
      </c>
      <c r="J42" s="174"/>
    </row>
    <row r="44" spans="1:12" x14ac:dyDescent="0.3">
      <c r="A44" s="180" t="s">
        <v>1934</v>
      </c>
      <c r="B44" s="188">
        <f t="shared" ref="B44" si="5">SUM(C44:I44)</f>
        <v>1040</v>
      </c>
      <c r="C44" s="188">
        <v>500</v>
      </c>
      <c r="D44" s="190"/>
      <c r="E44" s="188"/>
      <c r="F44" s="188"/>
      <c r="G44" s="188">
        <v>100</v>
      </c>
      <c r="H44" s="188">
        <v>400</v>
      </c>
      <c r="I44" s="188">
        <v>40</v>
      </c>
      <c r="J44" s="174"/>
    </row>
  </sheetData>
  <sortState xmlns:xlrd2="http://schemas.microsoft.com/office/spreadsheetml/2017/richdata2" ref="A40:J42">
    <sortCondition descending="1" ref="A40:A42"/>
  </sortState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3D26D-392D-406B-AA91-01B87B346AFC}">
  <dimension ref="A1:H18"/>
  <sheetViews>
    <sheetView showGridLines="0" workbookViewId="0">
      <selection activeCell="I14" sqref="I14"/>
    </sheetView>
  </sheetViews>
  <sheetFormatPr defaultRowHeight="14.4" x14ac:dyDescent="0.3"/>
  <cols>
    <col min="1" max="1" width="40.5546875" bestFit="1" customWidth="1"/>
    <col min="2" max="2" width="25.88671875" bestFit="1" customWidth="1"/>
    <col min="3" max="3" width="9.44140625" bestFit="1" customWidth="1"/>
    <col min="4" max="4" width="2.6640625" customWidth="1"/>
    <col min="5" max="5" width="10.33203125" bestFit="1" customWidth="1"/>
    <col min="6" max="6" width="21.6640625" bestFit="1" customWidth="1"/>
    <col min="7" max="7" width="10.44140625" bestFit="1" customWidth="1"/>
    <col min="8" max="8" width="10.109375" bestFit="1" customWidth="1"/>
  </cols>
  <sheetData>
    <row r="1" spans="1:8" x14ac:dyDescent="0.3">
      <c r="A1" s="77"/>
      <c r="B1" s="77"/>
      <c r="C1" s="78">
        <v>45931</v>
      </c>
    </row>
    <row r="2" spans="1:8" x14ac:dyDescent="0.3">
      <c r="A2" s="15" t="s">
        <v>1935</v>
      </c>
      <c r="B2" s="16" t="s">
        <v>1936</v>
      </c>
      <c r="C2" s="17" t="s">
        <v>704</v>
      </c>
      <c r="E2" t="s">
        <v>1937</v>
      </c>
      <c r="F2" t="s">
        <v>103</v>
      </c>
      <c r="G2" t="s">
        <v>1938</v>
      </c>
      <c r="H2" s="181">
        <v>-10000</v>
      </c>
    </row>
    <row r="3" spans="1:8" x14ac:dyDescent="0.3">
      <c r="A3" s="15" t="s">
        <v>1939</v>
      </c>
      <c r="B3" s="16" t="s">
        <v>1936</v>
      </c>
      <c r="C3" s="17" t="s">
        <v>704</v>
      </c>
      <c r="E3" t="s">
        <v>1940</v>
      </c>
      <c r="F3" t="s">
        <v>103</v>
      </c>
      <c r="G3" t="s">
        <v>1941</v>
      </c>
      <c r="H3" s="181">
        <v>-10000</v>
      </c>
    </row>
    <row r="4" spans="1:8" x14ac:dyDescent="0.3">
      <c r="A4" s="15" t="s">
        <v>1942</v>
      </c>
      <c r="B4" s="16" t="s">
        <v>1936</v>
      </c>
      <c r="C4" s="17" t="s">
        <v>704</v>
      </c>
      <c r="E4" t="s">
        <v>1943</v>
      </c>
      <c r="F4" t="s">
        <v>103</v>
      </c>
      <c r="G4" t="s">
        <v>1944</v>
      </c>
      <c r="H4" s="181">
        <v>-10000</v>
      </c>
    </row>
    <row r="5" spans="1:8" x14ac:dyDescent="0.3">
      <c r="A5" s="15" t="s">
        <v>1945</v>
      </c>
      <c r="B5" s="16" t="s">
        <v>1936</v>
      </c>
      <c r="C5" s="18" t="s">
        <v>704</v>
      </c>
      <c r="E5" t="s">
        <v>1905</v>
      </c>
      <c r="F5" t="s">
        <v>103</v>
      </c>
      <c r="G5" t="s">
        <v>1946</v>
      </c>
      <c r="H5" s="181">
        <v>-10000</v>
      </c>
    </row>
    <row r="6" spans="1:8" x14ac:dyDescent="0.3">
      <c r="A6" s="15" t="s">
        <v>1947</v>
      </c>
      <c r="B6" s="16" t="s">
        <v>1936</v>
      </c>
      <c r="C6" s="17" t="s">
        <v>704</v>
      </c>
    </row>
    <row r="7" spans="1:8" x14ac:dyDescent="0.3">
      <c r="A7" s="15" t="s">
        <v>1948</v>
      </c>
      <c r="B7" s="16"/>
      <c r="C7" s="17" t="s">
        <v>704</v>
      </c>
    </row>
    <row r="8" spans="1:8" x14ac:dyDescent="0.3">
      <c r="A8" s="15" t="s">
        <v>1949</v>
      </c>
      <c r="B8" s="16" t="s">
        <v>1950</v>
      </c>
      <c r="C8" s="17" t="s">
        <v>704</v>
      </c>
    </row>
    <row r="9" spans="1:8" x14ac:dyDescent="0.3">
      <c r="A9" s="15" t="s">
        <v>1951</v>
      </c>
      <c r="B9" s="16" t="s">
        <v>1936</v>
      </c>
      <c r="C9" s="76" t="s">
        <v>704</v>
      </c>
    </row>
    <row r="10" spans="1:8" x14ac:dyDescent="0.3">
      <c r="A10" s="15" t="s">
        <v>1952</v>
      </c>
      <c r="B10" s="16" t="s">
        <v>1953</v>
      </c>
      <c r="C10" s="17" t="s">
        <v>704</v>
      </c>
    </row>
    <row r="11" spans="1:8" x14ac:dyDescent="0.3">
      <c r="A11" s="15" t="s">
        <v>1954</v>
      </c>
      <c r="B11" s="16" t="s">
        <v>1953</v>
      </c>
      <c r="C11" s="17" t="s">
        <v>704</v>
      </c>
    </row>
    <row r="12" spans="1:8" x14ac:dyDescent="0.3">
      <c r="A12" s="15" t="s">
        <v>1955</v>
      </c>
      <c r="B12" s="16" t="s">
        <v>1953</v>
      </c>
      <c r="C12" s="17" t="s">
        <v>704</v>
      </c>
    </row>
    <row r="13" spans="1:8" x14ac:dyDescent="0.3">
      <c r="A13" s="15" t="s">
        <v>1956</v>
      </c>
      <c r="B13" s="16" t="s">
        <v>1953</v>
      </c>
      <c r="C13" s="17" t="s">
        <v>704</v>
      </c>
    </row>
    <row r="15" spans="1:8" x14ac:dyDescent="0.3">
      <c r="A15" t="s">
        <v>1616</v>
      </c>
    </row>
    <row r="16" spans="1:8" x14ac:dyDescent="0.3">
      <c r="A16" t="s">
        <v>1957</v>
      </c>
    </row>
    <row r="17" spans="1:1" x14ac:dyDescent="0.3">
      <c r="A17" t="s">
        <v>1958</v>
      </c>
    </row>
    <row r="18" spans="1:1" x14ac:dyDescent="0.3">
      <c r="A18" t="s">
        <v>1959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9D2B-C110-4685-B5F3-8249F2514116}">
  <dimension ref="A1:C21"/>
  <sheetViews>
    <sheetView showGridLines="0" workbookViewId="0">
      <selection activeCell="A20" sqref="A20:A21"/>
    </sheetView>
  </sheetViews>
  <sheetFormatPr defaultColWidth="8.88671875" defaultRowHeight="14.4" x14ac:dyDescent="0.3"/>
  <cols>
    <col min="1" max="1" width="10.88671875" style="50" bestFit="1" customWidth="1"/>
    <col min="2" max="2" width="77" style="50" customWidth="1"/>
    <col min="3" max="3" width="101.6640625" style="97" customWidth="1"/>
    <col min="4" max="16384" width="8.88671875" style="50"/>
  </cols>
  <sheetData>
    <row r="1" spans="1:3" s="115" customFormat="1" x14ac:dyDescent="0.3">
      <c r="A1" s="113" t="s">
        <v>1960</v>
      </c>
      <c r="B1" s="113" t="s">
        <v>1961</v>
      </c>
      <c r="C1" s="114" t="s">
        <v>1962</v>
      </c>
    </row>
    <row r="2" spans="1:3" ht="28.8" x14ac:dyDescent="0.3">
      <c r="A2" s="110">
        <v>46021</v>
      </c>
      <c r="B2" s="111" t="s">
        <v>1963</v>
      </c>
      <c r="C2" s="112" t="s">
        <v>1964</v>
      </c>
    </row>
    <row r="3" spans="1:3" x14ac:dyDescent="0.3">
      <c r="A3" s="110">
        <v>46021</v>
      </c>
      <c r="B3" s="111" t="s">
        <v>1965</v>
      </c>
      <c r="C3" s="112" t="s">
        <v>1966</v>
      </c>
    </row>
    <row r="4" spans="1:3" x14ac:dyDescent="0.3">
      <c r="A4" s="110">
        <v>46022</v>
      </c>
      <c r="B4" s="111" t="s">
        <v>1967</v>
      </c>
      <c r="C4" s="112" t="s">
        <v>1968</v>
      </c>
    </row>
    <row r="5" spans="1:3" x14ac:dyDescent="0.3">
      <c r="A5" s="110">
        <v>46022</v>
      </c>
      <c r="B5" s="111" t="s">
        <v>1969</v>
      </c>
      <c r="C5" s="112" t="s">
        <v>1970</v>
      </c>
    </row>
    <row r="6" spans="1:3" x14ac:dyDescent="0.3">
      <c r="A6" s="111"/>
      <c r="B6" s="111" t="s">
        <v>1971</v>
      </c>
      <c r="C6" s="112"/>
    </row>
    <row r="7" spans="1:3" x14ac:dyDescent="0.3">
      <c r="A7" s="111"/>
      <c r="B7" s="111" t="s">
        <v>1972</v>
      </c>
      <c r="C7" s="112"/>
    </row>
    <row r="8" spans="1:3" x14ac:dyDescent="0.3">
      <c r="A8" s="111"/>
      <c r="B8" s="111" t="s">
        <v>1973</v>
      </c>
      <c r="C8" s="112"/>
    </row>
    <row r="9" spans="1:3" x14ac:dyDescent="0.3">
      <c r="A9" s="111"/>
      <c r="B9" s="111" t="s">
        <v>1974</v>
      </c>
      <c r="C9" s="112"/>
    </row>
    <row r="10" spans="1:3" x14ac:dyDescent="0.3">
      <c r="A10" s="111"/>
      <c r="B10" s="111" t="s">
        <v>1975</v>
      </c>
      <c r="C10" s="112"/>
    </row>
    <row r="11" spans="1:3" x14ac:dyDescent="0.3">
      <c r="A11" s="111"/>
      <c r="B11" s="111" t="s">
        <v>1976</v>
      </c>
      <c r="C11" s="112"/>
    </row>
    <row r="12" spans="1:3" x14ac:dyDescent="0.3">
      <c r="A12" s="111"/>
      <c r="B12" s="111" t="s">
        <v>1977</v>
      </c>
      <c r="C12" s="112"/>
    </row>
    <row r="13" spans="1:3" x14ac:dyDescent="0.3">
      <c r="A13" s="111"/>
      <c r="B13" s="111" t="s">
        <v>1978</v>
      </c>
      <c r="C13" s="112"/>
    </row>
    <row r="14" spans="1:3" x14ac:dyDescent="0.3">
      <c r="A14" s="111"/>
      <c r="B14" s="111" t="s">
        <v>1617</v>
      </c>
      <c r="C14" s="112"/>
    </row>
    <row r="15" spans="1:3" x14ac:dyDescent="0.3">
      <c r="A15" s="111"/>
      <c r="B15" s="111"/>
      <c r="C15" s="112"/>
    </row>
    <row r="18" spans="1:2" x14ac:dyDescent="0.3">
      <c r="A18" s="170" t="s">
        <v>1979</v>
      </c>
      <c r="B18" s="50" t="s">
        <v>1980</v>
      </c>
    </row>
    <row r="19" spans="1:2" x14ac:dyDescent="0.3">
      <c r="A19" s="170" t="s">
        <v>1979</v>
      </c>
      <c r="B19" s="50" t="s">
        <v>1981</v>
      </c>
    </row>
    <row r="20" spans="1:2" x14ac:dyDescent="0.3">
      <c r="A20" s="170" t="s">
        <v>1979</v>
      </c>
      <c r="B20" s="50" t="s">
        <v>1982</v>
      </c>
    </row>
    <row r="21" spans="1:2" x14ac:dyDescent="0.3">
      <c r="A21" s="170" t="s">
        <v>1979</v>
      </c>
      <c r="B21" s="50" t="s">
        <v>1983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1A17-7AFA-4B2E-9080-CD1768A065B5}">
  <dimension ref="B2:K28"/>
  <sheetViews>
    <sheetView showGridLines="0" workbookViewId="0">
      <selection activeCell="F12" sqref="F12"/>
    </sheetView>
  </sheetViews>
  <sheetFormatPr defaultRowHeight="14.4" x14ac:dyDescent="0.3"/>
  <cols>
    <col min="2" max="2" width="10.88671875" bestFit="1" customWidth="1"/>
    <col min="3" max="3" width="23.33203125" bestFit="1" customWidth="1"/>
    <col min="4" max="4" width="10.88671875" bestFit="1" customWidth="1"/>
    <col min="5" max="5" width="10.33203125" bestFit="1" customWidth="1"/>
    <col min="8" max="8" width="39.44140625" customWidth="1"/>
    <col min="9" max="9" width="14.109375" customWidth="1"/>
    <col min="10" max="10" width="14.5546875" customWidth="1"/>
    <col min="11" max="11" width="13.33203125" style="204" bestFit="1" customWidth="1"/>
  </cols>
  <sheetData>
    <row r="2" spans="2:11" x14ac:dyDescent="0.3">
      <c r="B2" s="515" t="s">
        <v>1984</v>
      </c>
      <c r="C2" s="515"/>
      <c r="D2" s="515"/>
      <c r="E2" s="515"/>
      <c r="H2" s="204" t="s">
        <v>466</v>
      </c>
      <c r="I2" s="493" t="s">
        <v>1065</v>
      </c>
      <c r="J2" s="493" t="s">
        <v>1985</v>
      </c>
    </row>
    <row r="3" spans="2:11" x14ac:dyDescent="0.3">
      <c r="B3" s="291">
        <v>45854</v>
      </c>
      <c r="C3" t="s">
        <v>230</v>
      </c>
      <c r="D3" t="s">
        <v>1986</v>
      </c>
      <c r="E3" s="292">
        <v>-4586.54</v>
      </c>
      <c r="H3" s="205" t="s">
        <v>1987</v>
      </c>
      <c r="I3" s="206">
        <v>45839</v>
      </c>
      <c r="J3" s="207">
        <v>22320</v>
      </c>
      <c r="K3" s="516">
        <f>SUM(J3:J6)</f>
        <v>112680</v>
      </c>
    </row>
    <row r="4" spans="2:11" x14ac:dyDescent="0.3">
      <c r="B4" s="291">
        <v>45885</v>
      </c>
      <c r="C4" t="s">
        <v>230</v>
      </c>
      <c r="D4" t="s">
        <v>1986</v>
      </c>
      <c r="E4" s="292">
        <v>-4586.54</v>
      </c>
      <c r="H4" s="205" t="s">
        <v>1987</v>
      </c>
      <c r="I4" s="206">
        <v>45846</v>
      </c>
      <c r="J4" s="207">
        <v>24120</v>
      </c>
      <c r="K4" s="517"/>
    </row>
    <row r="5" spans="2:11" x14ac:dyDescent="0.3">
      <c r="B5" s="291">
        <v>45916</v>
      </c>
      <c r="C5" t="s">
        <v>230</v>
      </c>
      <c r="D5" t="s">
        <v>1986</v>
      </c>
      <c r="E5" s="292">
        <v>-4586.54</v>
      </c>
      <c r="H5" s="208" t="s">
        <v>1987</v>
      </c>
      <c r="I5" s="206">
        <v>45855</v>
      </c>
      <c r="J5" s="207">
        <v>34200</v>
      </c>
      <c r="K5" s="517"/>
    </row>
    <row r="6" spans="2:11" x14ac:dyDescent="0.3">
      <c r="B6" s="291">
        <v>45946</v>
      </c>
      <c r="C6" t="s">
        <v>230</v>
      </c>
      <c r="D6" t="s">
        <v>1986</v>
      </c>
      <c r="E6" s="292">
        <v>-4586.54</v>
      </c>
      <c r="H6" s="208" t="s">
        <v>1987</v>
      </c>
      <c r="I6" s="206">
        <v>45862</v>
      </c>
      <c r="J6" s="207">
        <v>32040</v>
      </c>
      <c r="K6" s="517"/>
    </row>
    <row r="7" spans="2:11" x14ac:dyDescent="0.3">
      <c r="B7" s="291">
        <v>45977</v>
      </c>
      <c r="C7" t="s">
        <v>230</v>
      </c>
      <c r="D7" t="s">
        <v>1986</v>
      </c>
      <c r="E7" s="292">
        <v>-4586.54</v>
      </c>
      <c r="H7" s="209" t="s">
        <v>1988</v>
      </c>
      <c r="I7" s="210">
        <v>45871</v>
      </c>
      <c r="J7" s="211">
        <v>23400</v>
      </c>
      <c r="K7" s="518">
        <f>SUM(J7:J9)</f>
        <v>55600</v>
      </c>
    </row>
    <row r="8" spans="2:11" x14ac:dyDescent="0.3">
      <c r="B8" s="291">
        <v>46007</v>
      </c>
      <c r="C8" t="s">
        <v>230</v>
      </c>
      <c r="D8" t="s">
        <v>1986</v>
      </c>
      <c r="E8" s="292">
        <v>-4586.54</v>
      </c>
      <c r="H8" s="209" t="s">
        <v>1987</v>
      </c>
      <c r="I8" s="210">
        <v>45883</v>
      </c>
      <c r="J8" s="211">
        <v>17150</v>
      </c>
      <c r="K8" s="519"/>
    </row>
    <row r="9" spans="2:11" x14ac:dyDescent="0.3">
      <c r="B9" s="291">
        <v>46038</v>
      </c>
      <c r="C9" t="s">
        <v>230</v>
      </c>
      <c r="D9" t="s">
        <v>1986</v>
      </c>
      <c r="E9" s="292">
        <v>-4586.54</v>
      </c>
      <c r="H9" s="209" t="s">
        <v>1987</v>
      </c>
      <c r="I9" s="210">
        <v>45891</v>
      </c>
      <c r="J9" s="211">
        <v>15050</v>
      </c>
      <c r="K9" s="519"/>
    </row>
    <row r="10" spans="2:11" x14ac:dyDescent="0.3">
      <c r="B10" s="291">
        <v>46069</v>
      </c>
      <c r="C10" t="s">
        <v>230</v>
      </c>
      <c r="D10" t="s">
        <v>1986</v>
      </c>
      <c r="E10" s="292">
        <v>-4586.54</v>
      </c>
      <c r="H10" s="212" t="s">
        <v>1987</v>
      </c>
      <c r="I10" s="213">
        <v>45901</v>
      </c>
      <c r="J10" s="214">
        <v>20300</v>
      </c>
      <c r="K10" s="520">
        <f>SUM(J10:J13)</f>
        <v>69300</v>
      </c>
    </row>
    <row r="11" spans="2:11" x14ac:dyDescent="0.3">
      <c r="B11" s="493">
        <f>COUNT(B3:B10)</f>
        <v>8</v>
      </c>
      <c r="E11" s="202">
        <f>SUM(E3:E10)</f>
        <v>-36692.32</v>
      </c>
      <c r="H11" s="212" t="s">
        <v>1987</v>
      </c>
      <c r="I11" s="213">
        <v>45908</v>
      </c>
      <c r="J11" s="214">
        <v>10500</v>
      </c>
      <c r="K11" s="521"/>
    </row>
    <row r="12" spans="2:11" x14ac:dyDescent="0.3">
      <c r="H12" s="212" t="s">
        <v>1987</v>
      </c>
      <c r="I12" s="213">
        <v>45909</v>
      </c>
      <c r="J12" s="214">
        <v>12250</v>
      </c>
      <c r="K12" s="521"/>
    </row>
    <row r="13" spans="2:11" x14ac:dyDescent="0.3">
      <c r="B13" s="526" t="s">
        <v>1989</v>
      </c>
      <c r="C13" s="526"/>
      <c r="D13" s="526"/>
      <c r="E13" s="526"/>
      <c r="H13" s="212" t="s">
        <v>1987</v>
      </c>
      <c r="I13" s="213">
        <v>45924</v>
      </c>
      <c r="J13" s="214">
        <v>26250</v>
      </c>
      <c r="K13" s="521"/>
    </row>
    <row r="14" spans="2:11" x14ac:dyDescent="0.3">
      <c r="B14" s="291">
        <v>45497</v>
      </c>
      <c r="C14" s="526" t="s">
        <v>1990</v>
      </c>
      <c r="D14" s="526"/>
      <c r="E14" s="292">
        <v>-827.27</v>
      </c>
      <c r="H14" s="215" t="s">
        <v>1987</v>
      </c>
      <c r="I14" s="216">
        <v>45931</v>
      </c>
      <c r="J14" s="217">
        <v>25900</v>
      </c>
      <c r="K14" s="522">
        <f>SUM(J14:J16)</f>
        <v>59450</v>
      </c>
    </row>
    <row r="15" spans="2:11" x14ac:dyDescent="0.3">
      <c r="B15" s="291">
        <v>45528</v>
      </c>
      <c r="C15" s="526" t="s">
        <v>1991</v>
      </c>
      <c r="D15" s="526"/>
      <c r="E15" s="292">
        <v>-827.27</v>
      </c>
      <c r="H15" s="215" t="s">
        <v>1987</v>
      </c>
      <c r="I15" s="216">
        <v>45952</v>
      </c>
      <c r="J15" s="217">
        <v>15000</v>
      </c>
      <c r="K15" s="523"/>
    </row>
    <row r="16" spans="2:11" x14ac:dyDescent="0.3">
      <c r="B16" s="291">
        <v>45559</v>
      </c>
      <c r="C16" s="526" t="s">
        <v>1992</v>
      </c>
      <c r="D16" s="526"/>
      <c r="E16" s="292">
        <v>-827.27</v>
      </c>
      <c r="H16" s="215" t="s">
        <v>1987</v>
      </c>
      <c r="I16" s="216">
        <v>45961</v>
      </c>
      <c r="J16" s="217">
        <v>18550</v>
      </c>
      <c r="K16" s="523"/>
    </row>
    <row r="17" spans="2:11" x14ac:dyDescent="0.3">
      <c r="B17" s="291">
        <v>45589</v>
      </c>
      <c r="C17" s="526" t="s">
        <v>1993</v>
      </c>
      <c r="D17" s="526"/>
      <c r="E17" s="292">
        <v>-827.27</v>
      </c>
      <c r="H17" s="218" t="s">
        <v>1987</v>
      </c>
      <c r="I17" s="219">
        <v>45967</v>
      </c>
      <c r="J17" s="220">
        <v>11000</v>
      </c>
      <c r="K17" s="524">
        <f>SUM(J17:J20)</f>
        <v>84850</v>
      </c>
    </row>
    <row r="18" spans="2:11" x14ac:dyDescent="0.3">
      <c r="B18" s="291">
        <v>45620</v>
      </c>
      <c r="C18" s="526" t="s">
        <v>1994</v>
      </c>
      <c r="D18" s="526"/>
      <c r="E18" s="292">
        <v>-827.27</v>
      </c>
      <c r="H18" s="218" t="s">
        <v>1987</v>
      </c>
      <c r="I18" s="219">
        <v>45973</v>
      </c>
      <c r="J18" s="220">
        <v>36400</v>
      </c>
      <c r="K18" s="525"/>
    </row>
    <row r="19" spans="2:11" x14ac:dyDescent="0.3">
      <c r="B19" s="291">
        <v>45650</v>
      </c>
      <c r="C19" s="526" t="s">
        <v>1995</v>
      </c>
      <c r="D19" s="526"/>
      <c r="E19" s="292">
        <v>-827.27</v>
      </c>
      <c r="H19" s="218" t="s">
        <v>1987</v>
      </c>
      <c r="I19" s="219">
        <v>45982</v>
      </c>
      <c r="J19" s="220">
        <v>18550</v>
      </c>
      <c r="K19" s="525"/>
    </row>
    <row r="20" spans="2:11" x14ac:dyDescent="0.3">
      <c r="B20" s="291">
        <v>46046</v>
      </c>
      <c r="C20" s="526" t="s">
        <v>1487</v>
      </c>
      <c r="D20" s="526"/>
      <c r="E20" s="292">
        <v>-827.27</v>
      </c>
      <c r="H20" s="218" t="s">
        <v>1987</v>
      </c>
      <c r="I20" s="219">
        <v>45988</v>
      </c>
      <c r="J20" s="220">
        <v>18900</v>
      </c>
      <c r="K20" s="525"/>
    </row>
    <row r="21" spans="2:11" x14ac:dyDescent="0.3">
      <c r="B21" s="291">
        <v>46077</v>
      </c>
      <c r="C21" s="526" t="s">
        <v>1996</v>
      </c>
      <c r="D21" s="526"/>
      <c r="E21" s="292">
        <v>-827.27</v>
      </c>
      <c r="H21" s="221" t="s">
        <v>1987</v>
      </c>
      <c r="I21" s="222">
        <v>46003</v>
      </c>
      <c r="J21" s="223">
        <v>17150</v>
      </c>
      <c r="K21" s="527">
        <f>SUM(J21:J22)</f>
        <v>29650</v>
      </c>
    </row>
    <row r="22" spans="2:11" x14ac:dyDescent="0.3">
      <c r="B22" s="493">
        <f>COUNT(B14:B21)</f>
        <v>8</v>
      </c>
      <c r="E22" s="202">
        <f>SUM(E14:E21)</f>
        <v>-6618.1600000000017</v>
      </c>
      <c r="H22" s="221" t="s">
        <v>1987</v>
      </c>
      <c r="I22" s="222">
        <v>46008</v>
      </c>
      <c r="J22" s="223">
        <v>12500</v>
      </c>
      <c r="K22" s="528"/>
    </row>
    <row r="23" spans="2:11" x14ac:dyDescent="0.3">
      <c r="H23" s="224" t="s">
        <v>1987</v>
      </c>
      <c r="I23" s="225">
        <v>46037</v>
      </c>
      <c r="J23" s="226">
        <v>15000</v>
      </c>
      <c r="K23" s="529">
        <f>SUM(J23:J25)</f>
        <v>27000</v>
      </c>
    </row>
    <row r="24" spans="2:11" x14ac:dyDescent="0.3">
      <c r="C24" s="515" t="s">
        <v>1892</v>
      </c>
      <c r="D24" s="515"/>
      <c r="E24" s="202">
        <f>E11+E22</f>
        <v>-43310.48</v>
      </c>
      <c r="H24" s="224" t="s">
        <v>1987</v>
      </c>
      <c r="I24" s="225">
        <v>46044</v>
      </c>
      <c r="J24" s="226">
        <v>8000</v>
      </c>
      <c r="K24" s="530"/>
    </row>
    <row r="25" spans="2:11" x14ac:dyDescent="0.3">
      <c r="H25" s="224" t="s">
        <v>1987</v>
      </c>
      <c r="I25" s="225">
        <v>46050</v>
      </c>
      <c r="J25" s="226">
        <v>4000</v>
      </c>
      <c r="K25" s="530"/>
    </row>
    <row r="26" spans="2:11" x14ac:dyDescent="0.3">
      <c r="H26" s="227" t="s">
        <v>1987</v>
      </c>
      <c r="I26" s="228">
        <v>46065</v>
      </c>
      <c r="J26" s="229">
        <v>5000</v>
      </c>
      <c r="K26" s="513">
        <f>SUM(J26:J27)</f>
        <v>11000</v>
      </c>
    </row>
    <row r="27" spans="2:11" x14ac:dyDescent="0.3">
      <c r="H27" s="227" t="s">
        <v>1987</v>
      </c>
      <c r="I27" s="228">
        <v>46078</v>
      </c>
      <c r="J27" s="229">
        <v>6000</v>
      </c>
      <c r="K27" s="514"/>
    </row>
    <row r="28" spans="2:11" x14ac:dyDescent="0.3">
      <c r="J28" s="203">
        <f>SUM(J3:J27)</f>
        <v>449530</v>
      </c>
    </row>
  </sheetData>
  <autoFilter ref="H2:J27" xr:uid="{82C81A17-7AFA-4B2E-9080-CD1768A065B5}">
    <sortState xmlns:xlrd2="http://schemas.microsoft.com/office/spreadsheetml/2017/richdata2" ref="H3:J27">
      <sortCondition ref="I2:I27"/>
    </sortState>
  </autoFilter>
  <mergeCells count="19">
    <mergeCell ref="C24:D24"/>
    <mergeCell ref="K21:K22"/>
    <mergeCell ref="K23:K25"/>
    <mergeCell ref="K26:K27"/>
    <mergeCell ref="B2:E2"/>
    <mergeCell ref="K3:K6"/>
    <mergeCell ref="K7:K9"/>
    <mergeCell ref="K10:K13"/>
    <mergeCell ref="K14:K16"/>
    <mergeCell ref="K17:K20"/>
    <mergeCell ref="B13:E13"/>
    <mergeCell ref="C14:D14"/>
    <mergeCell ref="C15:D15"/>
    <mergeCell ref="C16:D16"/>
    <mergeCell ref="C17:D17"/>
    <mergeCell ref="C18:D18"/>
    <mergeCell ref="C19:D19"/>
    <mergeCell ref="C20:D20"/>
    <mergeCell ref="C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C.Pagar</vt:lpstr>
      <vt:lpstr>COMPROMISSOS</vt:lpstr>
      <vt:lpstr>DDA</vt:lpstr>
      <vt:lpstr>RECEBIDOS</vt:lpstr>
      <vt:lpstr>COMPARATIVOS</vt:lpstr>
      <vt:lpstr>FATURAS</vt:lpstr>
      <vt:lpstr>MÉTRICAS</vt:lpstr>
      <vt:lpstr>INDICADORES</vt:lpstr>
      <vt:lpstr>CPV</vt:lpstr>
      <vt:lpstr>DRE</vt:lpstr>
      <vt:lpstr>DFC</vt:lpstr>
      <vt:lpstr>BALANÇO PATRIMONIAL</vt:lpstr>
      <vt:lpstr>PRODUÇÃO</vt:lpstr>
      <vt:lpstr>RELATÓRIOS</vt:lpstr>
      <vt:lpstr>AÇÕES</vt:lpstr>
      <vt:lpstr>VINICIUS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Gotti005</dc:creator>
  <cp:keywords/>
  <dc:description/>
  <cp:lastModifiedBy>Eduardo Cotta</cp:lastModifiedBy>
  <cp:revision/>
  <dcterms:created xsi:type="dcterms:W3CDTF">2025-09-22T21:33:42Z</dcterms:created>
  <dcterms:modified xsi:type="dcterms:W3CDTF">2026-05-01T19:27:41Z</dcterms:modified>
  <cp:category/>
  <cp:contentStatus/>
</cp:coreProperties>
</file>