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d3dd0af008984df/Consultorias/GitHub/Cotta-Consultoria/Gott Bike/"/>
    </mc:Choice>
  </mc:AlternateContent>
  <xr:revisionPtr revIDLastSave="2223" documentId="8_{49B7964F-2481-4178-A148-E82770C67CC1}" xr6:coauthVersionLast="47" xr6:coauthVersionMax="47" xr10:uidLastSave="{2BFE415B-0709-4FFD-8D9B-5187CFAA970E}"/>
  <bookViews>
    <workbookView xWindow="-108" yWindow="-108" windowWidth="23256" windowHeight="12456" activeTab="3" xr2:uid="{AF016D11-4BBA-49FD-9799-541824B780DA}"/>
  </bookViews>
  <sheets>
    <sheet name="Faturamento" sheetId="4" r:id="rId1"/>
    <sheet name="Contas Recebidas" sheetId="2" r:id="rId2"/>
    <sheet name="Contas Pagas" sheetId="1" r:id="rId3"/>
    <sheet name="Controle de Cheques" sheetId="5" r:id="rId4"/>
    <sheet name="Compras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4" l="1"/>
  <c r="I20" i="2"/>
  <c r="I19" i="2"/>
  <c r="I21" i="2" s="1"/>
  <c r="E1" i="1"/>
  <c r="E1" i="4"/>
  <c r="J3" i="4" s="1"/>
  <c r="E1" i="3"/>
  <c r="F1" i="2"/>
  <c r="F1" i="1"/>
  <c r="L3" i="4" l="1"/>
  <c r="D1" i="1"/>
</calcChain>
</file>

<file path=xl/sharedStrings.xml><?xml version="1.0" encoding="utf-8"?>
<sst xmlns="http://schemas.openxmlformats.org/spreadsheetml/2006/main" count="905" uniqueCount="236">
  <si>
    <t>CONTROLE DE FATURAMENTO</t>
  </si>
  <si>
    <t>PLATAFORMAS</t>
  </si>
  <si>
    <t>MÊS</t>
  </si>
  <si>
    <t>FATURAMENTO</t>
  </si>
  <si>
    <t>TOTAL DE BIKES</t>
  </si>
  <si>
    <t>TICKET MÉDIO VENDA</t>
  </si>
  <si>
    <t>Data</t>
  </si>
  <si>
    <t>Qtde</t>
  </si>
  <si>
    <t>Plataforma</t>
  </si>
  <si>
    <t>(R$) Valor</t>
  </si>
  <si>
    <t>Amazon Global Api</t>
  </si>
  <si>
    <t>abr/26</t>
  </si>
  <si>
    <t>Magazine Luiza</t>
  </si>
  <si>
    <t>Mercado Livre</t>
  </si>
  <si>
    <t>Shopee</t>
  </si>
  <si>
    <t>Tiktok Shop</t>
  </si>
  <si>
    <t>Via Varejo</t>
  </si>
  <si>
    <t>Web Continental</t>
  </si>
  <si>
    <t>Netshoes</t>
  </si>
  <si>
    <t>CONTROLE DE ENTRADAS</t>
  </si>
  <si>
    <t>REPASSE MERCADO PAGO</t>
  </si>
  <si>
    <t>Banco</t>
  </si>
  <si>
    <t>Descrição</t>
  </si>
  <si>
    <t>DATA</t>
  </si>
  <si>
    <t xml:space="preserve">VALOR </t>
  </si>
  <si>
    <t>DESTINO</t>
  </si>
  <si>
    <t>Sicredi</t>
  </si>
  <si>
    <t>RECEBIMENTO PIX 48697278000196 GOTT SAUDE COMERC</t>
  </si>
  <si>
    <t>SICREDI</t>
  </si>
  <si>
    <t>GETNET CREDITO MASTER | GETNET | 0001-96</t>
  </si>
  <si>
    <t>RECEBIMENTO PIX 13884775000119 HUB INSTITUICAO D</t>
  </si>
  <si>
    <t>LIBERACAO CREDITO R$ 227.063,97</t>
  </si>
  <si>
    <t>BRADESCO</t>
  </si>
  <si>
    <t xml:space="preserve">RECEBIMENTO PIX 27415911000136 Bytedance Brasil </t>
  </si>
  <si>
    <t>MAGALUPAY</t>
  </si>
  <si>
    <t>Vicini</t>
  </si>
  <si>
    <t>Bradesco</t>
  </si>
  <si>
    <t>Tacari</t>
  </si>
  <si>
    <t>RECEBIMENTO PIX SICREDI 42965989000118 L A T SHO</t>
  </si>
  <si>
    <t>Mapfre</t>
  </si>
  <si>
    <t>TED 61074175000138 MAPFRE SEGUROS GERAIS S.A.</t>
  </si>
  <si>
    <t>GETNET CREDITO VISA | GETNET | 0001-96</t>
  </si>
  <si>
    <t>GETNET CREDITO ELO | GETNET | 0001-96</t>
  </si>
  <si>
    <t>RECEBIMENTO PIX 08584116000127 WEBCONTINENTAL LT</t>
  </si>
  <si>
    <t>RECEBIMENTO PIX 57436421000187 57.436.421 AUDINE</t>
  </si>
  <si>
    <t>RECEBIMENTO PIX 27415911000136 Bytedance Brasil</t>
  </si>
  <si>
    <t xml:space="preserve">
GETNET CREDITO MASTER | GETNET | 0001-96</t>
  </si>
  <si>
    <t>GETNET CREDITO AMEX | GETNET | 0001-96</t>
  </si>
  <si>
    <t xml:space="preserve">
RECEBIMENTO PIX 13884775000119 HUB INSTITUICAO D</t>
  </si>
  <si>
    <t>TED 33041260065290 GRUPO CASAS BAHIA S A</t>
  </si>
  <si>
    <t>RECEBIMENTO PIX 45990586000117 TAC STORE</t>
  </si>
  <si>
    <t>RECEBIMENTO PIX 42580969896 MARCOS DOUGLAS NOGUE</t>
  </si>
  <si>
    <t>CONTROLE DE SAÍDAS</t>
  </si>
  <si>
    <t xml:space="preserve"> </t>
  </si>
  <si>
    <t>CADASTRO FORNECEDORES</t>
  </si>
  <si>
    <t>Fornecedor</t>
  </si>
  <si>
    <t>Classificação</t>
  </si>
  <si>
    <t>Transferência</t>
  </si>
  <si>
    <t>ADV. EVANDRO LUIZ DA SILVA</t>
  </si>
  <si>
    <t>MERCADO LIVRE</t>
  </si>
  <si>
    <t>INVESTIMENTO</t>
  </si>
  <si>
    <t>ANYMARKET</t>
  </si>
  <si>
    <t>M F A T</t>
  </si>
  <si>
    <t>FRETE DE SAÍDA</t>
  </si>
  <si>
    <t>AROSUL</t>
  </si>
  <si>
    <t>JULIO ANDÓ</t>
  </si>
  <si>
    <t>PEÇAS</t>
  </si>
  <si>
    <t>RODOMIX</t>
  </si>
  <si>
    <t>ATLANTA</t>
  </si>
  <si>
    <t>WESTER</t>
  </si>
  <si>
    <t>BLUE</t>
  </si>
  <si>
    <t>JUROS CHEQUE ESPECIAL</t>
  </si>
  <si>
    <t>TRANSFERÊNCIA SICREDI PARA BRADESCO</t>
  </si>
  <si>
    <t>BRASILE</t>
  </si>
  <si>
    <t>TAXAS BANCÁRIAS</t>
  </si>
  <si>
    <t>BRASPRESS</t>
  </si>
  <si>
    <t>BRUMED</t>
  </si>
  <si>
    <t>JOSÉ FABIO</t>
  </si>
  <si>
    <t>CANDIDO &amp; CHEVONICA</t>
  </si>
  <si>
    <t>THAINA LANZA</t>
  </si>
  <si>
    <t>CAROL PAPELARIA</t>
  </si>
  <si>
    <t>BRASSPRESS</t>
  </si>
  <si>
    <t>CEZAR KHALIL</t>
  </si>
  <si>
    <t>FUNCIONÁRIOS</t>
  </si>
  <si>
    <t>DIÁRIAS</t>
  </si>
  <si>
    <t>COMPANY</t>
  </si>
  <si>
    <t>CONECTTIVA</t>
  </si>
  <si>
    <t>VTS</t>
  </si>
  <si>
    <t>CONSÓRCIO</t>
  </si>
  <si>
    <t>TICKET SERVIÇOS</t>
  </si>
  <si>
    <t>TICKET ALIMENTAÇÃO</t>
  </si>
  <si>
    <t>COPEL</t>
  </si>
  <si>
    <t>CORPO DE BOMBEIROS</t>
  </si>
  <si>
    <t>DA VINCI</t>
  </si>
  <si>
    <t xml:space="preserve">DENILSON </t>
  </si>
  <si>
    <t>KLS</t>
  </si>
  <si>
    <t>ESTADO PR</t>
  </si>
  <si>
    <t>ESTADO SC</t>
  </si>
  <si>
    <t>URBANO S.A</t>
  </si>
  <si>
    <t>EVANDRO</t>
  </si>
  <si>
    <t>MOLIANI</t>
  </si>
  <si>
    <t>EMBALAGENS</t>
  </si>
  <si>
    <t>EXCELLENCE</t>
  </si>
  <si>
    <t>NEW BOX</t>
  </si>
  <si>
    <t>FLAY</t>
  </si>
  <si>
    <t>LEGACY</t>
  </si>
  <si>
    <t>SERVIÇOS DE SEGURANÇA</t>
  </si>
  <si>
    <t>FMD</t>
  </si>
  <si>
    <t>ALUGUEL</t>
  </si>
  <si>
    <t>FORNECEDORES TERCEARIZADOS</t>
  </si>
  <si>
    <t>OPFACTOR</t>
  </si>
  <si>
    <t>VEGA</t>
  </si>
  <si>
    <t>GRAFIMAX</t>
  </si>
  <si>
    <t>IFOOD</t>
  </si>
  <si>
    <t>SERVIÇOS TERCEARIZADOS</t>
  </si>
  <si>
    <t>IMOBILIARIA BERTONI</t>
  </si>
  <si>
    <t>INTELIPOST</t>
  </si>
  <si>
    <t>VINICIUS</t>
  </si>
  <si>
    <t>VINICIUS R$ 220.695,30</t>
  </si>
  <si>
    <t>ISAPÁ</t>
  </si>
  <si>
    <t>SALÁRIOS</t>
  </si>
  <si>
    <t>J ALVES</t>
  </si>
  <si>
    <t>SANEPAR</t>
  </si>
  <si>
    <t>JAMEF</t>
  </si>
  <si>
    <t>JR</t>
  </si>
  <si>
    <t>JR COMERCIO</t>
  </si>
  <si>
    <t>SOLUTIKA</t>
  </si>
  <si>
    <t>K MORI</t>
  </si>
  <si>
    <t>KALF</t>
  </si>
  <si>
    <t>ZAFFALÃO E GIMENEZ</t>
  </si>
  <si>
    <t>TRABALHISTA</t>
  </si>
  <si>
    <t>MATEUS</t>
  </si>
  <si>
    <t>K-MORI</t>
  </si>
  <si>
    <t>M A F C</t>
  </si>
  <si>
    <t>MAGALU</t>
  </si>
  <si>
    <t>MAHLE</t>
  </si>
  <si>
    <t>MARKETING-INSTAGRAM</t>
  </si>
  <si>
    <t>MOLIPLAST</t>
  </si>
  <si>
    <t>MONTAGEM RODAS</t>
  </si>
  <si>
    <t>VALES</t>
  </si>
  <si>
    <t>NA PISTA</t>
  </si>
  <si>
    <t>CHEQUE- RIMAXX</t>
  </si>
  <si>
    <t>PJBANK</t>
  </si>
  <si>
    <t>MATERIAL DE ESCRITÓRIO</t>
  </si>
  <si>
    <t>PREDIZE</t>
  </si>
  <si>
    <t>REEMBOLSO SAC</t>
  </si>
  <si>
    <t>RESCISÕES</t>
  </si>
  <si>
    <t>COMPENSAÇÃO DE CHEQUE</t>
  </si>
  <si>
    <t>VIDA SEGURADORA</t>
  </si>
  <si>
    <t>SEGURO DE VIDA</t>
  </si>
  <si>
    <t>SHOPEE</t>
  </si>
  <si>
    <t>COMBUSTÍVEL</t>
  </si>
  <si>
    <t>IMPOSTOS</t>
  </si>
  <si>
    <t xml:space="preserve">TEK SYSTEM </t>
  </si>
  <si>
    <t>TEK SYSTEM</t>
  </si>
  <si>
    <t>ERP</t>
  </si>
  <si>
    <t>DENILSON</t>
  </si>
  <si>
    <t>WR CAMINHÕES</t>
  </si>
  <si>
    <t>FACEBOOK</t>
  </si>
  <si>
    <t>OUTRAS DESPESAS ADMINISTRATIVAS</t>
  </si>
  <si>
    <t>CIRIACO</t>
  </si>
  <si>
    <t>CHEQUE COMPENSADO</t>
  </si>
  <si>
    <t>2F TRANSPORTES</t>
  </si>
  <si>
    <t>YELUM</t>
  </si>
  <si>
    <t>IMOBILIARIA LINHAM</t>
  </si>
  <si>
    <t>CONSULTORIAS</t>
  </si>
  <si>
    <t>ISAPA</t>
  </si>
  <si>
    <t>CANDIDO E CHEVONICA</t>
  </si>
  <si>
    <t>ALIMENTAÇÃO</t>
  </si>
  <si>
    <t>TAXA CORPO DE BOMBEIROS</t>
  </si>
  <si>
    <t>Desp de Marketing e Propaganda</t>
  </si>
  <si>
    <t>REEMBOLSO</t>
  </si>
  <si>
    <t>INTERNET</t>
  </si>
  <si>
    <t>ADESIVOS</t>
  </si>
  <si>
    <t>TAXAS</t>
  </si>
  <si>
    <t>T.I</t>
  </si>
  <si>
    <t>CONSERTO DO CAMINHÃO</t>
  </si>
  <si>
    <t>FACEBOOOK</t>
  </si>
  <si>
    <t>COMISSÕES E TAXAS DOS MARKETPLACES</t>
  </si>
  <si>
    <t>ICMS</t>
  </si>
  <si>
    <t>TERRENO LINHAM</t>
  </si>
  <si>
    <t>ADIANTAMENTO SALARIAL</t>
  </si>
  <si>
    <t>FGTS</t>
  </si>
  <si>
    <t>GUIA FUNDO SOCIAL</t>
  </si>
  <si>
    <t>RECEITA FEDERAL</t>
  </si>
  <si>
    <t>IRPF</t>
  </si>
  <si>
    <t>FISCAL</t>
  </si>
  <si>
    <t>EXPRESSO SÃO MIGUEL</t>
  </si>
  <si>
    <t>ESCRITÓRIO GESTÃO</t>
  </si>
  <si>
    <t>CONTABILIDADE</t>
  </si>
  <si>
    <t>GUIA FUNDO DE EDUCAÇÃO</t>
  </si>
  <si>
    <t>CONTHATO</t>
  </si>
  <si>
    <t>RECRUTAMENTO</t>
  </si>
  <si>
    <t>RIMAXX</t>
  </si>
  <si>
    <t>AGROSYSTEM</t>
  </si>
  <si>
    <t>DEDETIZAÇÃO E HIGIENIZAÇÃO</t>
  </si>
  <si>
    <t>OX DA AMAZONIA</t>
  </si>
  <si>
    <t>GRAN RESIDENCE</t>
  </si>
  <si>
    <t>CAROL</t>
  </si>
  <si>
    <t>WENDY</t>
  </si>
  <si>
    <t>THOR</t>
  </si>
  <si>
    <t>RESCISÃO</t>
  </si>
  <si>
    <t>AD FLEX</t>
  </si>
  <si>
    <t>ZOEMAQ</t>
  </si>
  <si>
    <t>MAQUINA</t>
  </si>
  <si>
    <t>DIFAL-CEARÁ</t>
  </si>
  <si>
    <t>CONSERTO MICROONDAS</t>
  </si>
  <si>
    <t>SDS TRANSPORTES</t>
  </si>
  <si>
    <t>MOÍSES MOREIRA</t>
  </si>
  <si>
    <t>EDUARDO</t>
  </si>
  <si>
    <t>CONSULTORIA</t>
  </si>
  <si>
    <t>DIFAL</t>
  </si>
  <si>
    <t>INSS</t>
  </si>
  <si>
    <t xml:space="preserve">INSS </t>
  </si>
  <si>
    <t>COMPEX</t>
  </si>
  <si>
    <t>ALVARÁ</t>
  </si>
  <si>
    <t>CONTROLES CHEQUES</t>
  </si>
  <si>
    <t>nº</t>
  </si>
  <si>
    <t>CHECK</t>
  </si>
  <si>
    <t>Rimaxx</t>
  </si>
  <si>
    <t>Flay</t>
  </si>
  <si>
    <t>Felipe</t>
  </si>
  <si>
    <t>CONTROLE DE COMPRAS</t>
  </si>
  <si>
    <t>PROGRAMAÇÃO SEMANAL</t>
  </si>
  <si>
    <t>REPOSIÇÃO SEMANAL</t>
  </si>
  <si>
    <t>LUMASA</t>
  </si>
  <si>
    <t>REPOSIÇÃO MENSAL</t>
  </si>
  <si>
    <t>LP</t>
  </si>
  <si>
    <t>REPOSIÇÃO EMERGENCIAL</t>
  </si>
  <si>
    <t>NEM BOX</t>
  </si>
  <si>
    <t>REPOSIÇÃO QUINZENAL</t>
  </si>
  <si>
    <t>PROGRAMAÇÃO QUINZENAL</t>
  </si>
  <si>
    <t>REPOSIÇÃO LP</t>
  </si>
  <si>
    <t>REPOSIÇÃO ARO 26</t>
  </si>
  <si>
    <t>ARO 26</t>
  </si>
  <si>
    <t>ARO 26 E MANOEL GOMES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</si>
</sst>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d\ dd/mm/yyyy"/>
    <numFmt numFmtId="165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indexed="8"/>
      <name val="Arial"/>
      <family val="2"/>
    </font>
    <font>
      <sz val="10"/>
      <name val="Arial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</font>
    <font>
      <sz val="10"/>
      <color rgb="FF000000"/>
      <name val="Calibri"/>
    </font>
    <font>
      <sz val="8"/>
      <color rgb="FF666666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rgb="FFFBFBFB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8EA9DB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0" borderId="0" xfId="0" applyNumberFormat="1"/>
    <xf numFmtId="44" fontId="3" fillId="0" borderId="0" xfId="1" applyFont="1" applyAlignment="1">
      <alignment horizontal="center"/>
    </xf>
    <xf numFmtId="44" fontId="0" fillId="0" borderId="0" xfId="1" applyFont="1"/>
    <xf numFmtId="0" fontId="2" fillId="0" borderId="0" xfId="0" applyFont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44" fontId="3" fillId="0" borderId="0" xfId="1" applyFont="1"/>
    <xf numFmtId="49" fontId="5" fillId="0" borderId="4" xfId="2" applyNumberFormat="1" applyFont="1" applyBorder="1" applyAlignment="1">
      <alignment horizontal="left"/>
    </xf>
    <xf numFmtId="164" fontId="6" fillId="0" borderId="5" xfId="0" applyNumberFormat="1" applyFont="1" applyBorder="1" applyAlignment="1">
      <alignment horizontal="center"/>
    </xf>
    <xf numFmtId="0" fontId="0" fillId="0" borderId="5" xfId="0" applyBorder="1"/>
    <xf numFmtId="14" fontId="0" fillId="0" borderId="5" xfId="0" applyNumberFormat="1" applyBorder="1"/>
    <xf numFmtId="165" fontId="0" fillId="0" borderId="5" xfId="0" applyNumberFormat="1" applyBorder="1"/>
    <xf numFmtId="0" fontId="7" fillId="0" borderId="5" xfId="0" applyFont="1" applyBorder="1" applyAlignment="1">
      <alignment horizontal="center"/>
    </xf>
    <xf numFmtId="14" fontId="0" fillId="2" borderId="5" xfId="0" applyNumberFormat="1" applyFill="1" applyBorder="1"/>
    <xf numFmtId="165" fontId="0" fillId="2" borderId="5" xfId="0" applyNumberFormat="1" applyFill="1" applyBorder="1"/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44" fontId="0" fillId="2" borderId="5" xfId="0" applyNumberFormat="1" applyFill="1" applyBorder="1"/>
    <xf numFmtId="44" fontId="0" fillId="0" borderId="5" xfId="0" applyNumberFormat="1" applyBorder="1"/>
    <xf numFmtId="14" fontId="8" fillId="0" borderId="10" xfId="0" applyNumberFormat="1" applyFont="1" applyBorder="1"/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14" fontId="8" fillId="2" borderId="9" xfId="0" applyNumberFormat="1" applyFont="1" applyFill="1" applyBorder="1"/>
    <xf numFmtId="0" fontId="9" fillId="2" borderId="9" xfId="0" applyFont="1" applyFill="1" applyBorder="1" applyAlignment="1">
      <alignment horizontal="center"/>
    </xf>
    <xf numFmtId="14" fontId="8" fillId="2" borderId="10" xfId="0" applyNumberFormat="1" applyFont="1" applyFill="1" applyBorder="1"/>
    <xf numFmtId="0" fontId="9" fillId="2" borderId="10" xfId="0" applyFont="1" applyFill="1" applyBorder="1" applyAlignment="1">
      <alignment horizontal="center"/>
    </xf>
    <xf numFmtId="14" fontId="8" fillId="0" borderId="5" xfId="0" applyNumberFormat="1" applyFont="1" applyBorder="1"/>
    <xf numFmtId="0" fontId="9" fillId="0" borderId="5" xfId="0" applyFont="1" applyBorder="1" applyAlignment="1">
      <alignment horizontal="center"/>
    </xf>
    <xf numFmtId="8" fontId="0" fillId="0" borderId="5" xfId="0" applyNumberFormat="1" applyBorder="1"/>
    <xf numFmtId="14" fontId="8" fillId="2" borderId="5" xfId="0" applyNumberFormat="1" applyFont="1" applyFill="1" applyBorder="1"/>
    <xf numFmtId="0" fontId="9" fillId="2" borderId="5" xfId="0" applyFont="1" applyFill="1" applyBorder="1" applyAlignment="1">
      <alignment horizontal="center"/>
    </xf>
    <xf numFmtId="8" fontId="0" fillId="2" borderId="5" xfId="0" applyNumberFormat="1" applyFill="1" applyBorder="1"/>
    <xf numFmtId="14" fontId="8" fillId="2" borderId="12" xfId="0" applyNumberFormat="1" applyFont="1" applyFill="1" applyBorder="1"/>
    <xf numFmtId="0" fontId="9" fillId="2" borderId="13" xfId="0" applyFont="1" applyFill="1" applyBorder="1" applyAlignment="1">
      <alignment horizontal="center"/>
    </xf>
    <xf numFmtId="165" fontId="0" fillId="2" borderId="14" xfId="0" applyNumberFormat="1" applyFill="1" applyBorder="1"/>
    <xf numFmtId="0" fontId="0" fillId="2" borderId="14" xfId="0" applyFill="1" applyBorder="1"/>
    <xf numFmtId="0" fontId="0" fillId="0" borderId="0" xfId="0" applyAlignment="1">
      <alignment horizontal="left"/>
    </xf>
    <xf numFmtId="0" fontId="0" fillId="2" borderId="5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center"/>
    </xf>
    <xf numFmtId="0" fontId="10" fillId="0" borderId="0" xfId="0" applyFont="1" applyAlignment="1">
      <alignment wrapText="1"/>
    </xf>
    <xf numFmtId="0" fontId="10" fillId="5" borderId="0" xfId="0" applyFont="1" applyFill="1" applyAlignment="1">
      <alignment wrapText="1"/>
    </xf>
    <xf numFmtId="165" fontId="0" fillId="0" borderId="14" xfId="0" applyNumberFormat="1" applyBorder="1"/>
    <xf numFmtId="0" fontId="0" fillId="0" borderId="14" xfId="0" applyBorder="1"/>
    <xf numFmtId="44" fontId="0" fillId="0" borderId="0" xfId="0" applyNumberFormat="1" applyAlignment="1">
      <alignment vertical="center"/>
    </xf>
    <xf numFmtId="44" fontId="0" fillId="0" borderId="0" xfId="1" applyFont="1" applyAlignment="1">
      <alignment horizontal="left"/>
    </xf>
    <xf numFmtId="0" fontId="2" fillId="4" borderId="15" xfId="0" applyFont="1" applyFill="1" applyBorder="1" applyAlignment="1">
      <alignment horizontal="center"/>
    </xf>
    <xf numFmtId="44" fontId="0" fillId="3" borderId="15" xfId="0" applyNumberFormat="1" applyFill="1" applyBorder="1" applyAlignment="1">
      <alignment horizontal="center"/>
    </xf>
    <xf numFmtId="49" fontId="0" fillId="3" borderId="15" xfId="0" applyNumberFormat="1" applyFill="1" applyBorder="1" applyAlignment="1">
      <alignment horizontal="center"/>
    </xf>
    <xf numFmtId="165" fontId="3" fillId="0" borderId="0" xfId="0" applyNumberFormat="1" applyFont="1"/>
    <xf numFmtId="165" fontId="3" fillId="0" borderId="0" xfId="1" applyNumberFormat="1" applyFont="1" applyAlignment="1">
      <alignment horizontal="center"/>
    </xf>
    <xf numFmtId="164" fontId="0" fillId="6" borderId="0" xfId="0" applyNumberFormat="1" applyFill="1"/>
    <xf numFmtId="3" fontId="3" fillId="0" borderId="0" xfId="3" applyNumberFormat="1" applyFont="1" applyAlignment="1">
      <alignment horizontal="center"/>
    </xf>
    <xf numFmtId="3" fontId="0" fillId="3" borderId="15" xfId="0" applyNumberFormat="1" applyFill="1" applyBorder="1" applyAlignment="1">
      <alignment horizontal="center"/>
    </xf>
    <xf numFmtId="44" fontId="0" fillId="0" borderId="5" xfId="1" applyFont="1" applyBorder="1"/>
    <xf numFmtId="0" fontId="0" fillId="2" borderId="0" xfId="0" applyFill="1" applyAlignment="1">
      <alignment horizontal="center"/>
    </xf>
    <xf numFmtId="44" fontId="0" fillId="2" borderId="5" xfId="1" applyFont="1" applyFill="1" applyBorder="1"/>
    <xf numFmtId="0" fontId="0" fillId="0" borderId="14" xfId="0" applyBorder="1" applyAlignment="1">
      <alignment horizontal="center"/>
    </xf>
    <xf numFmtId="44" fontId="0" fillId="0" borderId="14" xfId="1" applyFont="1" applyBorder="1"/>
    <xf numFmtId="164" fontId="0" fillId="3" borderId="15" xfId="0" applyNumberFormat="1" applyFill="1" applyBorder="1"/>
    <xf numFmtId="164" fontId="0" fillId="0" borderId="15" xfId="0" applyNumberFormat="1" applyBorder="1"/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</cellXfs>
  <cellStyles count="4">
    <cellStyle name="Moeda" xfId="1" builtinId="4"/>
    <cellStyle name="Normal" xfId="0" builtinId="0"/>
    <cellStyle name="Normal 2" xfId="2" xr:uid="{2DD0F42A-57C3-43C0-BD80-D91BE36C01D3}"/>
    <cellStyle name="Vírgula" xfId="3" builtinId="3"/>
  </cellStyles>
  <dxfs count="3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dd\ 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/>
    </dxf>
    <dxf>
      <numFmt numFmtId="164" formatCode="ddd\ 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968E04-06EF-4CC7-9C6F-A57B1CBB5F4B}" name="Tabela1" displayName="Tabela1" ref="B3:E107" totalsRowShown="0" headerRowDxfId="30">
  <autoFilter ref="B3:E107" xr:uid="{4D968E04-06EF-4CC7-9C6F-A57B1CBB5F4B}"/>
  <sortState xmlns:xlrd2="http://schemas.microsoft.com/office/spreadsheetml/2017/richdata2" ref="B4:E89">
    <sortCondition ref="B3:B89"/>
  </sortState>
  <tableColumns count="4">
    <tableColumn id="1" xr3:uid="{BB065966-614D-4168-B93D-A210BB1E0C8D}" name="Data" dataDxfId="29"/>
    <tableColumn id="2" xr3:uid="{0E418006-DCE5-4F97-93B4-A899D67631E7}" name="Qtde" dataDxfId="28"/>
    <tableColumn id="3" xr3:uid="{5E9349A6-F048-4999-B707-3D89C965382E}" name="Plataforma"/>
    <tableColumn id="4" xr3:uid="{11AA1DC1-1AE5-4E49-B53D-967E3111E872}" name="(R$) Valor" dataCellStyle="Moeda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EF1F2A8-F80A-407B-8B7B-0BFBFEDF6A0D}" name="Tabela8" displayName="Tabela8" ref="G2:G10" totalsRowShown="0" headerRowDxfId="27" dataDxfId="25" headerRowBorderDxfId="26" tableBorderDxfId="24" totalsRowBorderDxfId="23">
  <autoFilter ref="G2:G10" xr:uid="{0EF1F2A8-F80A-407B-8B7B-0BFBFEDF6A0D}"/>
  <tableColumns count="1">
    <tableColumn id="1" xr3:uid="{047DC460-557A-40DB-8C81-95DF946F5AD7}" name="PLATAFORMAS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B69137-5DEF-4DEE-A295-1FA4C5115578}" name="Tabela135" displayName="Tabela135" ref="B3:F53" totalsRowShown="0" headerRowDxfId="21">
  <autoFilter ref="B3:F53" xr:uid="{6EB69137-5DEF-4DEE-A295-1FA4C5115578}"/>
  <tableColumns count="5">
    <tableColumn id="1" xr3:uid="{F39CB7F4-E762-4BDF-B2C6-8749DB68D027}" name="Data"/>
    <tableColumn id="2" xr3:uid="{E9E42632-7C2F-4C97-BCA4-C914BCBA10DC}" name="Banco" dataDxfId="20"/>
    <tableColumn id="3" xr3:uid="{5B08F7C6-B877-42F6-98D4-8D56834BE254}" name="Plataforma" dataDxfId="19"/>
    <tableColumn id="6" xr3:uid="{F7822F46-F359-40F0-8736-0420E5F8BEF4}" name="Descrição"/>
    <tableColumn id="4" xr3:uid="{D0BDF5C5-4A71-4AC2-A4FF-BA03AF90DFCB}" name="(R$) Valor" dataCellStyle="Moeda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7A3570C-9B27-40AF-9CD6-28857E5EBB30}" name="Tabela810" displayName="Tabela810" ref="L2:L14" totalsRowShown="0" headerRowDxfId="18" dataDxfId="16" headerRowBorderDxfId="17" tableBorderDxfId="15" totalsRowBorderDxfId="14">
  <autoFilter ref="L2:L14" xr:uid="{67A3570C-9B27-40AF-9CD6-28857E5EBB30}"/>
  <tableColumns count="1">
    <tableColumn id="1" xr3:uid="{9127BBB1-B684-40F8-8735-E6EFF2611541}" name="PLATAFORMAS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0E1681-2A06-40B2-9F0F-8A80EAD60188}" name="Tabela13" displayName="Tabela13" ref="B3:F198" totalsRowShown="0" headerRowDxfId="12">
  <autoFilter ref="B3:F198" xr:uid="{C40E1681-2A06-40B2-9F0F-8A80EAD60188}"/>
  <tableColumns count="5">
    <tableColumn id="1" xr3:uid="{6CE0E58B-6690-45A4-8D8F-962F67B0773A}" name="Data" dataDxfId="11"/>
    <tableColumn id="3" xr3:uid="{9BD39337-5CC3-45E0-9CCF-8A1AF726B1E7}" name="Fornecedor" dataDxfId="10"/>
    <tableColumn id="6" xr3:uid="{83C7ADF5-BFC9-4593-8DC5-4C3E3C16ED71}" name="Classificação" dataDxfId="9"/>
    <tableColumn id="2" xr3:uid="{75D7101C-1F6F-4866-AE9B-8E1020F00ABA}" name="Transferência" dataDxfId="8" dataCellStyle="Moeda"/>
    <tableColumn id="4" xr3:uid="{6D5478EE-2C1F-4D7A-AA31-67FDC70DDD6E}" name="(R$) Valor" dataCellStyle="Moeda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8072D7-5426-41A3-ADCC-07A04FBBA8A3}" name="Tabela6" displayName="Tabela6" ref="H2:H88" totalsRowShown="0" headerRowDxfId="7" dataDxfId="6">
  <autoFilter ref="H2:H88" xr:uid="{E28072D7-5426-41A3-ADCC-07A04FBBA8A3}"/>
  <sortState xmlns:xlrd2="http://schemas.microsoft.com/office/spreadsheetml/2017/richdata2" ref="H3:H88">
    <sortCondition ref="H2:H88"/>
  </sortState>
  <tableColumns count="1">
    <tableColumn id="1" xr3:uid="{B8D45F4A-1FA5-4A2C-99C2-02A8C6CF34F3}" name="CADASTRO FORNECEDORES" dataDxfId="5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04E65A-2485-4589-A796-1A66585BC718}" name="Tabela1356" displayName="Tabela1356" ref="B3:E50" totalsRowShown="0" headerRowDxfId="4">
  <autoFilter ref="B3:E50" xr:uid="{1E04E65A-2485-4589-A796-1A66585BC718}"/>
  <tableColumns count="4">
    <tableColumn id="1" xr3:uid="{3EF54C17-4CBA-4AE8-9B76-5B5C08E0C878}" name="Data"/>
    <tableColumn id="3" xr3:uid="{AE045E1D-0144-4129-B5E1-6BC6563C07B0}" name="Fornecedor" dataDxfId="3"/>
    <tableColumn id="6" xr3:uid="{17A7D750-119E-48E3-A2DF-92FF8F8FF366}" name="Classificação"/>
    <tableColumn id="4" xr3:uid="{D73E1E3C-DF46-43F1-B52C-BB8B9323AD7D}" name="(R$) Valor" dataCellStyle="Moeda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311ECA-A28B-4E7B-BB3D-F7BF74360FC3}" name="Tabela68" displayName="Tabela68" ref="G2:G23" totalsRowShown="0" headerRowDxfId="2" dataDxfId="1">
  <autoFilter ref="G2:G23" xr:uid="{89311ECA-A28B-4E7B-BB3D-F7BF74360FC3}"/>
  <tableColumns count="1">
    <tableColumn id="1" xr3:uid="{55FCFB01-5372-41CE-BE25-9DE0A0CD5C5F}" name="CADASTRO FORNECEDOR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10B4-81C2-44F7-A8DF-A454E1B8F2ED}">
  <dimension ref="B1:L105"/>
  <sheetViews>
    <sheetView showGridLines="0" workbookViewId="0">
      <selection activeCell="B1" sqref="B1"/>
    </sheetView>
  </sheetViews>
  <sheetFormatPr defaultRowHeight="14.4" x14ac:dyDescent="0.3"/>
  <cols>
    <col min="1" max="1" width="2.6640625" customWidth="1"/>
    <col min="2" max="2" width="15.109375" style="4" bestFit="1" customWidth="1"/>
    <col min="3" max="3" width="9.5546875" style="1" bestFit="1" customWidth="1"/>
    <col min="4" max="4" width="29.5546875" customWidth="1"/>
    <col min="5" max="5" width="15.88671875" style="6" bestFit="1" customWidth="1"/>
    <col min="6" max="6" width="2.6640625" customWidth="1"/>
    <col min="7" max="7" width="26.5546875" bestFit="1" customWidth="1"/>
    <col min="8" max="8" width="2.6640625" customWidth="1"/>
    <col min="9" max="9" width="6.33203125" bestFit="1" customWidth="1"/>
    <col min="10" max="10" width="18.88671875" customWidth="1"/>
    <col min="11" max="11" width="14" bestFit="1" customWidth="1"/>
    <col min="12" max="12" width="18.88671875" bestFit="1" customWidth="1"/>
  </cols>
  <sheetData>
    <row r="1" spans="2:12" x14ac:dyDescent="0.3">
      <c r="C1" s="60">
        <f>SUBTOTAL(9,Tabela1[Qtde])</f>
        <v>1533</v>
      </c>
      <c r="E1" s="12">
        <f>SUBTOTAL(9,Tabela1[(R$) Valor])</f>
        <v>1150759.95</v>
      </c>
    </row>
    <row r="2" spans="2:12" x14ac:dyDescent="0.3">
      <c r="B2" s="71" t="s">
        <v>0</v>
      </c>
      <c r="C2" s="71"/>
      <c r="D2" s="71"/>
      <c r="E2" s="71"/>
      <c r="G2" s="10" t="s">
        <v>1</v>
      </c>
      <c r="I2" s="54" t="s">
        <v>2</v>
      </c>
      <c r="J2" s="54" t="s">
        <v>3</v>
      </c>
      <c r="K2" s="54" t="s">
        <v>4</v>
      </c>
      <c r="L2" s="54" t="s">
        <v>5</v>
      </c>
    </row>
    <row r="3" spans="2:12" s="2" customFormat="1" x14ac:dyDescent="0.3">
      <c r="B3" s="3" t="s">
        <v>6</v>
      </c>
      <c r="C3" s="2" t="s">
        <v>7</v>
      </c>
      <c r="D3" s="2" t="s">
        <v>8</v>
      </c>
      <c r="E3" s="5" t="s">
        <v>9</v>
      </c>
      <c r="G3" s="8" t="s">
        <v>10</v>
      </c>
      <c r="I3" s="56" t="s">
        <v>11</v>
      </c>
      <c r="J3" s="55">
        <f>E1</f>
        <v>1150759.95</v>
      </c>
      <c r="K3" s="61">
        <v>1630</v>
      </c>
      <c r="L3" s="55">
        <f>IFERROR(J3/K3,0)</f>
        <v>705.9876993865031</v>
      </c>
    </row>
    <row r="4" spans="2:12" x14ac:dyDescent="0.3">
      <c r="B4" s="4">
        <v>46113</v>
      </c>
      <c r="C4" s="1">
        <v>1</v>
      </c>
      <c r="D4" t="s">
        <v>12</v>
      </c>
      <c r="E4" s="6">
        <v>577.79999999999995</v>
      </c>
      <c r="G4" s="9" t="s">
        <v>12</v>
      </c>
    </row>
    <row r="5" spans="2:12" x14ac:dyDescent="0.3">
      <c r="B5" s="4">
        <v>46113</v>
      </c>
      <c r="C5" s="1">
        <v>10</v>
      </c>
      <c r="D5" t="s">
        <v>13</v>
      </c>
      <c r="E5" s="6">
        <v>7380.88</v>
      </c>
      <c r="G5" s="8" t="s">
        <v>13</v>
      </c>
    </row>
    <row r="6" spans="2:12" x14ac:dyDescent="0.3">
      <c r="B6" s="4">
        <v>46113</v>
      </c>
      <c r="C6" s="1">
        <v>33</v>
      </c>
      <c r="D6" t="s">
        <v>14</v>
      </c>
      <c r="E6" s="6">
        <v>23535.96</v>
      </c>
      <c r="G6" s="9" t="s">
        <v>14</v>
      </c>
    </row>
    <row r="7" spans="2:12" x14ac:dyDescent="0.3">
      <c r="B7" s="4">
        <v>46113</v>
      </c>
      <c r="C7" s="1">
        <v>1</v>
      </c>
      <c r="D7" t="s">
        <v>15</v>
      </c>
      <c r="E7" s="6">
        <v>1022.54</v>
      </c>
      <c r="G7" s="8" t="s">
        <v>16</v>
      </c>
    </row>
    <row r="8" spans="2:12" x14ac:dyDescent="0.3">
      <c r="B8" s="4">
        <v>46113</v>
      </c>
      <c r="C8" s="1">
        <v>1</v>
      </c>
      <c r="D8" t="s">
        <v>16</v>
      </c>
      <c r="E8" s="6">
        <v>999.55</v>
      </c>
      <c r="G8" s="9" t="s">
        <v>15</v>
      </c>
    </row>
    <row r="9" spans="2:12" x14ac:dyDescent="0.3">
      <c r="B9" s="4">
        <v>46114</v>
      </c>
      <c r="C9" s="1">
        <v>1</v>
      </c>
      <c r="D9" t="s">
        <v>12</v>
      </c>
      <c r="E9" s="6">
        <v>999.45</v>
      </c>
      <c r="G9" s="8" t="s">
        <v>17</v>
      </c>
    </row>
    <row r="10" spans="2:12" x14ac:dyDescent="0.3">
      <c r="B10" s="4">
        <v>46114</v>
      </c>
      <c r="C10" s="1">
        <v>9</v>
      </c>
      <c r="D10" t="s">
        <v>16</v>
      </c>
      <c r="E10" s="6">
        <v>6674.3</v>
      </c>
      <c r="G10" s="11" t="s">
        <v>18</v>
      </c>
    </row>
    <row r="11" spans="2:12" x14ac:dyDescent="0.3">
      <c r="B11" s="4">
        <v>46114</v>
      </c>
      <c r="C11" s="1">
        <v>12</v>
      </c>
      <c r="D11" t="s">
        <v>13</v>
      </c>
      <c r="E11" s="6">
        <v>9293.6299999999992</v>
      </c>
    </row>
    <row r="12" spans="2:12" x14ac:dyDescent="0.3">
      <c r="B12" s="4">
        <v>46114</v>
      </c>
      <c r="C12" s="1">
        <v>39</v>
      </c>
      <c r="D12" t="s">
        <v>14</v>
      </c>
      <c r="E12" s="6">
        <v>28799.62</v>
      </c>
    </row>
    <row r="13" spans="2:12" x14ac:dyDescent="0.3">
      <c r="B13" s="4">
        <v>46115</v>
      </c>
      <c r="C13" s="1">
        <v>21</v>
      </c>
      <c r="D13" t="s">
        <v>14</v>
      </c>
      <c r="E13" s="6">
        <v>15133.97</v>
      </c>
    </row>
    <row r="14" spans="2:12" x14ac:dyDescent="0.3">
      <c r="B14" s="4">
        <v>46115</v>
      </c>
      <c r="C14" s="1">
        <v>10</v>
      </c>
      <c r="D14" t="s">
        <v>13</v>
      </c>
      <c r="E14" s="6">
        <v>6839.16</v>
      </c>
    </row>
    <row r="15" spans="2:12" x14ac:dyDescent="0.3">
      <c r="B15" s="4">
        <v>46115</v>
      </c>
      <c r="C15" s="1">
        <v>2</v>
      </c>
      <c r="D15" t="s">
        <v>16</v>
      </c>
      <c r="E15" s="6">
        <v>1410.4</v>
      </c>
    </row>
    <row r="16" spans="2:12" x14ac:dyDescent="0.3">
      <c r="B16" s="4">
        <v>46115</v>
      </c>
      <c r="C16" s="1">
        <v>1</v>
      </c>
      <c r="D16" t="s">
        <v>17</v>
      </c>
      <c r="E16" s="6">
        <v>2377.9</v>
      </c>
    </row>
    <row r="17" spans="2:5" x14ac:dyDescent="0.3">
      <c r="B17" s="4">
        <v>46116</v>
      </c>
      <c r="C17" s="1">
        <v>1</v>
      </c>
      <c r="D17" t="s">
        <v>12</v>
      </c>
      <c r="E17" s="6">
        <v>590.22</v>
      </c>
    </row>
    <row r="18" spans="2:5" x14ac:dyDescent="0.3">
      <c r="B18" s="4">
        <v>46116</v>
      </c>
      <c r="C18" s="1">
        <v>12</v>
      </c>
      <c r="D18" t="s">
        <v>13</v>
      </c>
      <c r="E18" s="6">
        <v>6866.8</v>
      </c>
    </row>
    <row r="19" spans="2:5" x14ac:dyDescent="0.3">
      <c r="B19" s="4">
        <v>46116</v>
      </c>
      <c r="C19" s="1">
        <v>43</v>
      </c>
      <c r="D19" t="s">
        <v>14</v>
      </c>
      <c r="E19" s="6">
        <v>32745.85</v>
      </c>
    </row>
    <row r="20" spans="2:5" x14ac:dyDescent="0.3">
      <c r="B20" s="4">
        <v>46116</v>
      </c>
      <c r="C20" s="1">
        <v>2</v>
      </c>
      <c r="D20" t="s">
        <v>15</v>
      </c>
      <c r="E20" s="6">
        <v>899.38</v>
      </c>
    </row>
    <row r="21" spans="2:5" x14ac:dyDescent="0.3">
      <c r="B21" s="4">
        <v>46116</v>
      </c>
      <c r="C21" s="1">
        <v>1</v>
      </c>
      <c r="D21" t="s">
        <v>16</v>
      </c>
      <c r="E21" s="6">
        <v>753.9</v>
      </c>
    </row>
    <row r="22" spans="2:5" x14ac:dyDescent="0.3">
      <c r="B22" s="4">
        <v>46117</v>
      </c>
      <c r="C22" s="1">
        <v>2</v>
      </c>
      <c r="D22" t="s">
        <v>10</v>
      </c>
      <c r="E22" s="6">
        <v>1348</v>
      </c>
    </row>
    <row r="23" spans="2:5" x14ac:dyDescent="0.3">
      <c r="B23" s="4">
        <v>46117</v>
      </c>
      <c r="C23" s="1">
        <v>11</v>
      </c>
      <c r="D23" t="s">
        <v>13</v>
      </c>
      <c r="E23" s="6">
        <v>8018.35</v>
      </c>
    </row>
    <row r="24" spans="2:5" x14ac:dyDescent="0.3">
      <c r="B24" s="4">
        <v>46117</v>
      </c>
      <c r="C24" s="1">
        <v>32</v>
      </c>
      <c r="D24" t="s">
        <v>14</v>
      </c>
      <c r="E24" s="6">
        <v>23954.81</v>
      </c>
    </row>
    <row r="25" spans="2:5" x14ac:dyDescent="0.3">
      <c r="B25" s="4">
        <v>46117</v>
      </c>
      <c r="C25" s="1">
        <v>3</v>
      </c>
      <c r="D25" t="s">
        <v>16</v>
      </c>
      <c r="E25" s="6">
        <v>2301.6999999999998</v>
      </c>
    </row>
    <row r="26" spans="2:5" x14ac:dyDescent="0.3">
      <c r="B26" s="4">
        <v>46118</v>
      </c>
      <c r="C26" s="1">
        <v>1</v>
      </c>
      <c r="D26" t="s">
        <v>12</v>
      </c>
      <c r="E26" s="6">
        <v>951.74</v>
      </c>
    </row>
    <row r="27" spans="2:5" x14ac:dyDescent="0.3">
      <c r="B27" s="4">
        <v>46118</v>
      </c>
      <c r="C27" s="1">
        <v>14</v>
      </c>
      <c r="D27" t="s">
        <v>13</v>
      </c>
      <c r="E27" s="6">
        <v>10337.6</v>
      </c>
    </row>
    <row r="28" spans="2:5" x14ac:dyDescent="0.3">
      <c r="B28" s="4">
        <v>46118</v>
      </c>
      <c r="C28" s="1">
        <v>41</v>
      </c>
      <c r="D28" t="s">
        <v>14</v>
      </c>
      <c r="E28" s="6">
        <v>29270.240000000002</v>
      </c>
    </row>
    <row r="29" spans="2:5" x14ac:dyDescent="0.3">
      <c r="B29" s="4">
        <v>46119</v>
      </c>
      <c r="C29" s="1">
        <v>1</v>
      </c>
      <c r="D29" t="s">
        <v>10</v>
      </c>
      <c r="E29" s="6">
        <v>769</v>
      </c>
    </row>
    <row r="30" spans="2:5" x14ac:dyDescent="0.3">
      <c r="B30" s="4">
        <v>46119</v>
      </c>
      <c r="C30" s="1">
        <v>1</v>
      </c>
      <c r="D30" t="s">
        <v>12</v>
      </c>
      <c r="E30" s="6">
        <v>773.9</v>
      </c>
    </row>
    <row r="31" spans="2:5" x14ac:dyDescent="0.3">
      <c r="B31" s="4">
        <v>46119</v>
      </c>
      <c r="C31" s="1">
        <v>21</v>
      </c>
      <c r="D31" t="s">
        <v>13</v>
      </c>
      <c r="E31" s="6">
        <v>13085.68</v>
      </c>
    </row>
    <row r="32" spans="2:5" x14ac:dyDescent="0.3">
      <c r="B32" s="4">
        <v>46119</v>
      </c>
      <c r="C32" s="1">
        <v>65</v>
      </c>
      <c r="D32" t="s">
        <v>14</v>
      </c>
      <c r="E32" s="6">
        <v>47337.96</v>
      </c>
    </row>
    <row r="33" spans="2:5" x14ac:dyDescent="0.3">
      <c r="B33" s="4">
        <v>46119</v>
      </c>
      <c r="C33" s="1">
        <v>1</v>
      </c>
      <c r="D33" t="s">
        <v>15</v>
      </c>
      <c r="E33" s="6">
        <v>663.5</v>
      </c>
    </row>
    <row r="34" spans="2:5" x14ac:dyDescent="0.3">
      <c r="B34" s="4">
        <v>46119</v>
      </c>
      <c r="C34" s="1">
        <v>7</v>
      </c>
      <c r="D34" t="s">
        <v>16</v>
      </c>
      <c r="E34" s="6">
        <v>6828.1</v>
      </c>
    </row>
    <row r="35" spans="2:5" x14ac:dyDescent="0.3">
      <c r="B35" s="4">
        <v>46120</v>
      </c>
      <c r="C35" s="1">
        <v>2</v>
      </c>
      <c r="D35" t="s">
        <v>10</v>
      </c>
      <c r="E35" s="6">
        <v>1538</v>
      </c>
    </row>
    <row r="36" spans="2:5" x14ac:dyDescent="0.3">
      <c r="B36" s="4">
        <v>46120</v>
      </c>
      <c r="C36" s="1">
        <v>12</v>
      </c>
      <c r="D36" t="s">
        <v>13</v>
      </c>
      <c r="E36" s="6">
        <v>8784.39</v>
      </c>
    </row>
    <row r="37" spans="2:5" x14ac:dyDescent="0.3">
      <c r="B37" s="4">
        <v>46120</v>
      </c>
      <c r="C37" s="1">
        <v>62</v>
      </c>
      <c r="D37" t="s">
        <v>14</v>
      </c>
      <c r="E37" s="6">
        <v>45046.9</v>
      </c>
    </row>
    <row r="38" spans="2:5" x14ac:dyDescent="0.3">
      <c r="B38" s="4">
        <v>46120</v>
      </c>
      <c r="C38" s="1">
        <v>4</v>
      </c>
      <c r="D38" t="s">
        <v>16</v>
      </c>
      <c r="E38" s="6">
        <v>5117.6000000000004</v>
      </c>
    </row>
    <row r="39" spans="2:5" x14ac:dyDescent="0.3">
      <c r="B39" s="4">
        <v>46121</v>
      </c>
      <c r="C39" s="1">
        <v>1</v>
      </c>
      <c r="D39" t="s">
        <v>12</v>
      </c>
      <c r="E39" s="6">
        <v>893.9</v>
      </c>
    </row>
    <row r="40" spans="2:5" x14ac:dyDescent="0.3">
      <c r="B40" s="4">
        <v>46121</v>
      </c>
      <c r="C40" s="1">
        <v>4</v>
      </c>
      <c r="D40" t="s">
        <v>12</v>
      </c>
      <c r="E40" s="6">
        <v>2922.54</v>
      </c>
    </row>
    <row r="41" spans="2:5" x14ac:dyDescent="0.3">
      <c r="B41" s="4">
        <v>46121</v>
      </c>
      <c r="C41" s="1">
        <v>60</v>
      </c>
      <c r="D41" t="s">
        <v>14</v>
      </c>
      <c r="E41" s="6">
        <v>45523.38</v>
      </c>
    </row>
    <row r="42" spans="2:5" x14ac:dyDescent="0.3">
      <c r="B42" s="4">
        <v>46121</v>
      </c>
      <c r="C42" s="1">
        <v>4</v>
      </c>
      <c r="D42" t="s">
        <v>16</v>
      </c>
      <c r="E42" s="6">
        <v>4429.8999999999996</v>
      </c>
    </row>
    <row r="43" spans="2:5" x14ac:dyDescent="0.3">
      <c r="B43" s="4">
        <v>46122</v>
      </c>
      <c r="C43" s="1">
        <v>2</v>
      </c>
      <c r="D43" t="s">
        <v>16</v>
      </c>
      <c r="E43" s="6">
        <v>1591.8</v>
      </c>
    </row>
    <row r="44" spans="2:5" x14ac:dyDescent="0.3">
      <c r="B44" s="4">
        <v>46122</v>
      </c>
      <c r="C44" s="1">
        <v>1</v>
      </c>
      <c r="D44" t="s">
        <v>10</v>
      </c>
      <c r="E44" s="6">
        <v>769</v>
      </c>
    </row>
    <row r="45" spans="2:5" x14ac:dyDescent="0.3">
      <c r="B45" s="4">
        <v>46122</v>
      </c>
      <c r="C45" s="1">
        <v>3</v>
      </c>
      <c r="D45" t="s">
        <v>13</v>
      </c>
      <c r="E45" s="6">
        <v>2264.6999999999998</v>
      </c>
    </row>
    <row r="46" spans="2:5" x14ac:dyDescent="0.3">
      <c r="B46" s="4">
        <v>46122</v>
      </c>
      <c r="C46" s="1">
        <v>73</v>
      </c>
      <c r="D46" t="s">
        <v>14</v>
      </c>
      <c r="E46" s="6">
        <v>53207.86</v>
      </c>
    </row>
    <row r="47" spans="2:5" x14ac:dyDescent="0.3">
      <c r="B47" s="4">
        <v>46123</v>
      </c>
      <c r="C47" s="1">
        <v>4</v>
      </c>
      <c r="D47" t="s">
        <v>13</v>
      </c>
      <c r="E47" s="6">
        <v>3279.6</v>
      </c>
    </row>
    <row r="48" spans="2:5" x14ac:dyDescent="0.3">
      <c r="B48" s="4">
        <v>46123</v>
      </c>
      <c r="C48" s="1">
        <v>2</v>
      </c>
      <c r="D48" t="s">
        <v>18</v>
      </c>
      <c r="E48" s="6">
        <v>1767.8</v>
      </c>
    </row>
    <row r="49" spans="2:5" x14ac:dyDescent="0.3">
      <c r="B49" s="4">
        <v>46123</v>
      </c>
      <c r="C49" s="1">
        <v>1</v>
      </c>
      <c r="D49" t="s">
        <v>16</v>
      </c>
      <c r="E49" s="6">
        <v>753.9</v>
      </c>
    </row>
    <row r="50" spans="2:5" x14ac:dyDescent="0.3">
      <c r="B50" s="4">
        <v>46123</v>
      </c>
      <c r="C50" s="1">
        <v>73</v>
      </c>
      <c r="D50" t="s">
        <v>18</v>
      </c>
      <c r="E50" s="6">
        <v>55008.160000000003</v>
      </c>
    </row>
    <row r="51" spans="2:5" x14ac:dyDescent="0.3">
      <c r="B51" s="4">
        <v>46124</v>
      </c>
      <c r="C51" s="1">
        <v>3</v>
      </c>
      <c r="D51" t="s">
        <v>13</v>
      </c>
      <c r="E51" s="6">
        <v>2166.7800000000002</v>
      </c>
    </row>
    <row r="52" spans="2:5" x14ac:dyDescent="0.3">
      <c r="B52" s="4">
        <v>46124</v>
      </c>
      <c r="C52" s="1">
        <v>3</v>
      </c>
      <c r="D52" t="s">
        <v>16</v>
      </c>
      <c r="E52" s="6">
        <v>4149.7</v>
      </c>
    </row>
    <row r="53" spans="2:5" x14ac:dyDescent="0.3">
      <c r="B53" s="4">
        <v>46124</v>
      </c>
      <c r="C53" s="1">
        <v>58</v>
      </c>
      <c r="D53" t="s">
        <v>14</v>
      </c>
      <c r="E53" s="6">
        <v>43064.74</v>
      </c>
    </row>
    <row r="54" spans="2:5" x14ac:dyDescent="0.3">
      <c r="B54" s="4">
        <v>46125</v>
      </c>
      <c r="C54" s="1">
        <v>6</v>
      </c>
      <c r="D54" t="s">
        <v>13</v>
      </c>
      <c r="E54" s="6">
        <v>5023.46</v>
      </c>
    </row>
    <row r="55" spans="2:5" x14ac:dyDescent="0.3">
      <c r="B55" s="4">
        <v>46125</v>
      </c>
      <c r="C55" s="1">
        <v>64</v>
      </c>
      <c r="D55" t="s">
        <v>14</v>
      </c>
      <c r="E55" s="6">
        <v>48180.23</v>
      </c>
    </row>
    <row r="56" spans="2:5" x14ac:dyDescent="0.3">
      <c r="B56" s="4">
        <v>46125</v>
      </c>
      <c r="C56" s="1">
        <v>3</v>
      </c>
      <c r="D56" t="s">
        <v>16</v>
      </c>
      <c r="E56" s="6">
        <v>2529.8000000000002</v>
      </c>
    </row>
    <row r="57" spans="2:5" x14ac:dyDescent="0.3">
      <c r="B57" s="4">
        <v>46126</v>
      </c>
      <c r="C57" s="1">
        <v>1</v>
      </c>
      <c r="D57" t="s">
        <v>10</v>
      </c>
      <c r="E57" s="6">
        <v>769</v>
      </c>
    </row>
    <row r="58" spans="2:5" x14ac:dyDescent="0.3">
      <c r="B58" s="4">
        <v>46126</v>
      </c>
      <c r="C58" s="1">
        <v>1</v>
      </c>
      <c r="D58" t="s">
        <v>12</v>
      </c>
      <c r="E58" s="6">
        <v>704</v>
      </c>
    </row>
    <row r="59" spans="2:5" x14ac:dyDescent="0.3">
      <c r="B59" s="4">
        <v>46126</v>
      </c>
      <c r="C59" s="1">
        <v>7</v>
      </c>
      <c r="D59" t="s">
        <v>13</v>
      </c>
      <c r="E59" s="6">
        <v>5707</v>
      </c>
    </row>
    <row r="60" spans="2:5" x14ac:dyDescent="0.3">
      <c r="B60" s="4">
        <v>46126</v>
      </c>
      <c r="C60" s="1">
        <v>35</v>
      </c>
      <c r="D60" t="s">
        <v>14</v>
      </c>
      <c r="E60" s="6">
        <v>24605</v>
      </c>
    </row>
    <row r="61" spans="2:5" x14ac:dyDescent="0.3">
      <c r="B61" s="4">
        <v>46126</v>
      </c>
      <c r="C61" s="1">
        <v>1</v>
      </c>
      <c r="D61" t="s">
        <v>16</v>
      </c>
      <c r="E61" s="6">
        <v>824</v>
      </c>
    </row>
    <row r="62" spans="2:5" x14ac:dyDescent="0.3">
      <c r="B62" s="4">
        <v>46127</v>
      </c>
      <c r="C62" s="1">
        <v>3</v>
      </c>
      <c r="D62" t="s">
        <v>13</v>
      </c>
      <c r="E62" s="6">
        <v>2388.38</v>
      </c>
    </row>
    <row r="63" spans="2:5" x14ac:dyDescent="0.3">
      <c r="B63" s="4">
        <v>46127</v>
      </c>
      <c r="C63" s="1">
        <v>67</v>
      </c>
      <c r="D63" t="s">
        <v>14</v>
      </c>
      <c r="E63" s="6">
        <v>49270.34</v>
      </c>
    </row>
    <row r="64" spans="2:5" x14ac:dyDescent="0.3">
      <c r="B64" s="4">
        <v>46127</v>
      </c>
      <c r="C64" s="1">
        <v>1</v>
      </c>
      <c r="D64" t="s">
        <v>15</v>
      </c>
      <c r="E64" s="6">
        <v>923.49</v>
      </c>
    </row>
    <row r="65" spans="2:5" x14ac:dyDescent="0.3">
      <c r="B65" s="4">
        <v>46127</v>
      </c>
      <c r="C65" s="1">
        <v>4</v>
      </c>
      <c r="D65" t="s">
        <v>16</v>
      </c>
      <c r="E65" s="6">
        <v>3091.9</v>
      </c>
    </row>
    <row r="66" spans="2:5" x14ac:dyDescent="0.3">
      <c r="B66" s="4">
        <v>46127</v>
      </c>
      <c r="C66" s="1">
        <v>1</v>
      </c>
      <c r="D66" t="s">
        <v>17</v>
      </c>
      <c r="E66" s="6">
        <v>2037.9</v>
      </c>
    </row>
    <row r="67" spans="2:5" x14ac:dyDescent="0.3">
      <c r="B67" s="4">
        <v>46128</v>
      </c>
      <c r="C67" s="1">
        <v>2</v>
      </c>
      <c r="D67" t="s">
        <v>16</v>
      </c>
      <c r="E67" s="6">
        <v>1727.8</v>
      </c>
    </row>
    <row r="68" spans="2:5" x14ac:dyDescent="0.3">
      <c r="B68" s="4">
        <v>46128</v>
      </c>
      <c r="C68" s="1">
        <v>1</v>
      </c>
      <c r="D68" t="s">
        <v>10</v>
      </c>
      <c r="E68" s="6">
        <v>769</v>
      </c>
    </row>
    <row r="69" spans="2:5" x14ac:dyDescent="0.3">
      <c r="B69" s="4">
        <v>46128</v>
      </c>
      <c r="C69" s="1">
        <v>6</v>
      </c>
      <c r="D69" t="s">
        <v>13</v>
      </c>
      <c r="E69" s="6">
        <v>4734.04</v>
      </c>
    </row>
    <row r="70" spans="2:5" x14ac:dyDescent="0.3">
      <c r="B70" s="4">
        <v>46128</v>
      </c>
      <c r="C70" s="1">
        <v>59</v>
      </c>
      <c r="D70" t="s">
        <v>14</v>
      </c>
      <c r="E70" s="6">
        <v>42282.67</v>
      </c>
    </row>
    <row r="71" spans="2:5" x14ac:dyDescent="0.3">
      <c r="B71" s="4">
        <v>46129</v>
      </c>
      <c r="C71" s="1">
        <v>1</v>
      </c>
      <c r="D71" t="s">
        <v>16</v>
      </c>
      <c r="E71" s="6">
        <v>880.2</v>
      </c>
    </row>
    <row r="72" spans="2:5" x14ac:dyDescent="0.3">
      <c r="B72" s="4">
        <v>46129</v>
      </c>
      <c r="C72" s="1">
        <v>3</v>
      </c>
      <c r="D72" t="s">
        <v>13</v>
      </c>
      <c r="E72" s="6">
        <v>2240.2600000000002</v>
      </c>
    </row>
    <row r="73" spans="2:5" x14ac:dyDescent="0.3">
      <c r="B73" s="4">
        <v>46129</v>
      </c>
      <c r="C73" s="1">
        <v>50</v>
      </c>
      <c r="D73" t="s">
        <v>14</v>
      </c>
      <c r="E73" s="6">
        <v>37764</v>
      </c>
    </row>
    <row r="74" spans="2:5" x14ac:dyDescent="0.3">
      <c r="B74" s="4">
        <v>46129</v>
      </c>
      <c r="C74" s="1">
        <v>1</v>
      </c>
      <c r="D74" t="s">
        <v>18</v>
      </c>
      <c r="E74" s="6">
        <v>713.9</v>
      </c>
    </row>
    <row r="75" spans="2:5" x14ac:dyDescent="0.3">
      <c r="B75" s="4">
        <v>46130</v>
      </c>
      <c r="C75" s="1">
        <v>7</v>
      </c>
      <c r="D75" t="s">
        <v>13</v>
      </c>
      <c r="E75" s="6">
        <v>5175.68</v>
      </c>
    </row>
    <row r="76" spans="2:5" x14ac:dyDescent="0.3">
      <c r="B76" s="4">
        <v>46130</v>
      </c>
      <c r="C76" s="1">
        <v>41</v>
      </c>
      <c r="D76" t="s">
        <v>14</v>
      </c>
      <c r="E76" s="6">
        <v>29981.46</v>
      </c>
    </row>
    <row r="77" spans="2:5" x14ac:dyDescent="0.3">
      <c r="B77" s="4">
        <v>46130</v>
      </c>
      <c r="C77" s="1">
        <v>1</v>
      </c>
      <c r="D77" t="s">
        <v>16</v>
      </c>
      <c r="E77" s="6">
        <v>623.9</v>
      </c>
    </row>
    <row r="78" spans="2:5" x14ac:dyDescent="0.3">
      <c r="B78" s="4">
        <v>46131</v>
      </c>
      <c r="C78" s="1">
        <v>5</v>
      </c>
      <c r="D78" t="s">
        <v>10</v>
      </c>
      <c r="E78" s="6">
        <v>3275</v>
      </c>
    </row>
    <row r="79" spans="2:5" x14ac:dyDescent="0.3">
      <c r="B79" s="4">
        <v>46131</v>
      </c>
      <c r="C79" s="1">
        <v>2</v>
      </c>
      <c r="D79" t="s">
        <v>13</v>
      </c>
      <c r="E79" s="6">
        <v>1486.72</v>
      </c>
    </row>
    <row r="80" spans="2:5" x14ac:dyDescent="0.3">
      <c r="B80" s="4">
        <v>46131</v>
      </c>
      <c r="C80" s="1">
        <v>32</v>
      </c>
      <c r="D80" t="s">
        <v>14</v>
      </c>
      <c r="E80" s="6">
        <v>24359.4</v>
      </c>
    </row>
    <row r="81" spans="2:5" x14ac:dyDescent="0.3">
      <c r="B81" s="4">
        <v>46131</v>
      </c>
      <c r="C81" s="1">
        <v>1</v>
      </c>
      <c r="D81" t="s">
        <v>16</v>
      </c>
      <c r="E81" s="6">
        <v>733.9</v>
      </c>
    </row>
    <row r="82" spans="2:5" x14ac:dyDescent="0.3">
      <c r="B82" s="4">
        <v>46132</v>
      </c>
      <c r="C82" s="1">
        <v>6</v>
      </c>
      <c r="D82" t="s">
        <v>13</v>
      </c>
      <c r="E82" s="6">
        <v>4190.3599999999997</v>
      </c>
    </row>
    <row r="83" spans="2:5" x14ac:dyDescent="0.3">
      <c r="B83" s="4">
        <v>46132</v>
      </c>
      <c r="C83" s="1">
        <v>51</v>
      </c>
      <c r="D83" t="s">
        <v>14</v>
      </c>
      <c r="E83" s="6">
        <v>37618.129999999997</v>
      </c>
    </row>
    <row r="84" spans="2:5" x14ac:dyDescent="0.3">
      <c r="B84" s="4">
        <v>46132</v>
      </c>
      <c r="C84" s="1">
        <v>5</v>
      </c>
      <c r="D84" t="s">
        <v>16</v>
      </c>
      <c r="E84" s="6">
        <v>4079.5</v>
      </c>
    </row>
    <row r="85" spans="2:5" x14ac:dyDescent="0.3">
      <c r="B85" s="4">
        <v>46133</v>
      </c>
      <c r="C85" s="1">
        <v>1</v>
      </c>
      <c r="D85" t="s">
        <v>10</v>
      </c>
      <c r="E85" s="6">
        <v>769</v>
      </c>
    </row>
    <row r="86" spans="2:5" x14ac:dyDescent="0.3">
      <c r="B86" s="4">
        <v>46133</v>
      </c>
      <c r="C86" s="1">
        <v>1</v>
      </c>
      <c r="D86" t="s">
        <v>12</v>
      </c>
      <c r="E86" s="6">
        <v>743.85</v>
      </c>
    </row>
    <row r="87" spans="2:5" x14ac:dyDescent="0.3">
      <c r="B87" s="4">
        <v>46133</v>
      </c>
      <c r="C87" s="1">
        <v>5</v>
      </c>
      <c r="D87" t="s">
        <v>13</v>
      </c>
      <c r="E87" s="6">
        <v>4336.0200000000004</v>
      </c>
    </row>
    <row r="88" spans="2:5" x14ac:dyDescent="0.3">
      <c r="B88" s="4">
        <v>46133</v>
      </c>
      <c r="C88" s="1">
        <v>29</v>
      </c>
      <c r="D88" t="s">
        <v>14</v>
      </c>
      <c r="E88" s="6">
        <v>22422.71</v>
      </c>
    </row>
    <row r="89" spans="2:5" x14ac:dyDescent="0.3">
      <c r="B89" s="4">
        <v>46133</v>
      </c>
      <c r="C89" s="1">
        <v>2</v>
      </c>
      <c r="D89" t="s">
        <v>16</v>
      </c>
      <c r="E89" s="6">
        <v>1876.1</v>
      </c>
    </row>
    <row r="90" spans="2:5" x14ac:dyDescent="0.3">
      <c r="B90" s="4">
        <v>46134</v>
      </c>
      <c r="C90" s="1">
        <v>3</v>
      </c>
      <c r="D90" t="s">
        <v>13</v>
      </c>
      <c r="E90" s="6">
        <v>2106.98</v>
      </c>
    </row>
    <row r="91" spans="2:5" x14ac:dyDescent="0.3">
      <c r="B91" s="4">
        <v>46134</v>
      </c>
      <c r="C91" s="1">
        <v>111</v>
      </c>
      <c r="D91" t="s">
        <v>14</v>
      </c>
      <c r="E91" s="6">
        <v>86913.33</v>
      </c>
    </row>
    <row r="92" spans="2:5" x14ac:dyDescent="0.3">
      <c r="B92" s="4">
        <v>46134</v>
      </c>
      <c r="C92" s="1">
        <v>3</v>
      </c>
      <c r="D92" t="s">
        <v>16</v>
      </c>
      <c r="E92" s="6">
        <v>2801.7</v>
      </c>
    </row>
    <row r="93" spans="2:5" x14ac:dyDescent="0.3">
      <c r="B93" s="4">
        <v>46135</v>
      </c>
      <c r="C93" s="1">
        <v>1</v>
      </c>
      <c r="D93" t="s">
        <v>13</v>
      </c>
      <c r="E93" s="6">
        <v>825.9</v>
      </c>
    </row>
    <row r="94" spans="2:5" x14ac:dyDescent="0.3">
      <c r="B94" s="4">
        <v>46135</v>
      </c>
      <c r="C94" s="1">
        <v>35</v>
      </c>
      <c r="D94" t="s">
        <v>14</v>
      </c>
      <c r="E94" s="6">
        <v>27646.44</v>
      </c>
    </row>
    <row r="95" spans="2:5" x14ac:dyDescent="0.3">
      <c r="B95" s="4">
        <v>46135</v>
      </c>
      <c r="C95" s="1">
        <v>5</v>
      </c>
      <c r="D95" t="s">
        <v>16</v>
      </c>
      <c r="E95" s="6">
        <v>4102.1000000000004</v>
      </c>
    </row>
    <row r="96" spans="2:5" x14ac:dyDescent="0.3">
      <c r="B96" s="4">
        <v>46136</v>
      </c>
      <c r="C96" s="1">
        <v>2</v>
      </c>
      <c r="D96" t="s">
        <v>16</v>
      </c>
      <c r="E96" s="6">
        <v>1347.8</v>
      </c>
    </row>
    <row r="97" spans="2:5" x14ac:dyDescent="0.3">
      <c r="B97" s="4">
        <v>46136</v>
      </c>
      <c r="C97" s="1">
        <v>1</v>
      </c>
      <c r="D97" t="s">
        <v>12</v>
      </c>
      <c r="E97" s="6">
        <v>739.9</v>
      </c>
    </row>
    <row r="98" spans="2:5" x14ac:dyDescent="0.3">
      <c r="B98" s="4">
        <v>46136</v>
      </c>
      <c r="C98" s="1">
        <v>2</v>
      </c>
      <c r="D98" t="s">
        <v>13</v>
      </c>
      <c r="E98" s="6">
        <v>1595.88</v>
      </c>
    </row>
    <row r="99" spans="2:5" x14ac:dyDescent="0.3">
      <c r="B99" s="4">
        <v>46136</v>
      </c>
      <c r="C99" s="1">
        <v>21</v>
      </c>
      <c r="D99" t="s">
        <v>14</v>
      </c>
      <c r="E99" s="6">
        <v>15251.65</v>
      </c>
    </row>
    <row r="100" spans="2:5" x14ac:dyDescent="0.3">
      <c r="B100" s="4">
        <v>46137</v>
      </c>
      <c r="C100" s="1">
        <v>1</v>
      </c>
      <c r="D100" t="s">
        <v>13</v>
      </c>
      <c r="E100" s="6">
        <v>539.12</v>
      </c>
    </row>
    <row r="101" spans="2:5" x14ac:dyDescent="0.3">
      <c r="B101" s="4">
        <v>46137</v>
      </c>
      <c r="C101" s="1">
        <v>31</v>
      </c>
      <c r="D101" t="s">
        <v>14</v>
      </c>
      <c r="E101" s="6">
        <v>22818.080000000002</v>
      </c>
    </row>
    <row r="102" spans="2:5" x14ac:dyDescent="0.3">
      <c r="B102" s="4">
        <v>46137</v>
      </c>
      <c r="C102" s="1">
        <v>3</v>
      </c>
      <c r="D102" t="s">
        <v>16</v>
      </c>
      <c r="E102" s="6">
        <v>2348</v>
      </c>
    </row>
    <row r="103" spans="2:5" x14ac:dyDescent="0.3">
      <c r="B103" s="4">
        <v>46138</v>
      </c>
      <c r="C103" s="1">
        <v>3</v>
      </c>
      <c r="D103" t="s">
        <v>13</v>
      </c>
      <c r="E103" s="6">
        <v>2299.08</v>
      </c>
    </row>
    <row r="104" spans="2:5" x14ac:dyDescent="0.3">
      <c r="B104" s="4">
        <v>46138</v>
      </c>
      <c r="C104" s="1">
        <v>32</v>
      </c>
      <c r="D104" t="s">
        <v>14</v>
      </c>
      <c r="E104" s="6">
        <v>25019.45</v>
      </c>
    </row>
    <row r="105" spans="2:5" x14ac:dyDescent="0.3">
      <c r="B105" s="4">
        <v>46138</v>
      </c>
      <c r="C105" s="1">
        <v>1</v>
      </c>
      <c r="D105" t="s">
        <v>16</v>
      </c>
      <c r="E105" s="6">
        <v>743.9</v>
      </c>
    </row>
  </sheetData>
  <mergeCells count="1">
    <mergeCell ref="B2:E2"/>
  </mergeCells>
  <dataValidations disablePrompts="1" count="1">
    <dataValidation type="list" allowBlank="1" showInputMessage="1" showErrorMessage="1" sqref="D4:D107" xr:uid="{A625BF53-AEF2-4343-98C8-03A2E1A9920C}">
      <formula1>$G$3:$G$10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AF1E-9915-47D4-8A4E-D08B404C994F}">
  <dimension ref="B1:L58"/>
  <sheetViews>
    <sheetView showGridLines="0" workbookViewId="0">
      <selection activeCell="I1" sqref="I1:I1048576"/>
    </sheetView>
  </sheetViews>
  <sheetFormatPr defaultRowHeight="15" customHeight="1" x14ac:dyDescent="0.3"/>
  <cols>
    <col min="1" max="1" width="3.6640625" customWidth="1"/>
    <col min="2" max="2" width="14.5546875" bestFit="1" customWidth="1"/>
    <col min="3" max="3" width="14.5546875" style="1" customWidth="1"/>
    <col min="4" max="4" width="17.109375" style="1" customWidth="1"/>
    <col min="5" max="5" width="60.6640625" bestFit="1" customWidth="1"/>
    <col min="6" max="6" width="14.109375" style="6" bestFit="1" customWidth="1"/>
    <col min="7" max="7" width="3.109375" customWidth="1"/>
    <col min="8" max="8" width="14.5546875" bestFit="1" customWidth="1"/>
    <col min="9" max="9" width="14.109375" bestFit="1" customWidth="1"/>
    <col min="10" max="10" width="14" customWidth="1"/>
    <col min="11" max="11" width="3.6640625" customWidth="1"/>
    <col min="12" max="12" width="18.33203125" bestFit="1" customWidth="1"/>
  </cols>
  <sheetData>
    <row r="1" spans="2:12" ht="14.4" x14ac:dyDescent="0.3">
      <c r="F1" s="12">
        <f>SUBTOTAL(9,Tabela135[(R$) Valor])</f>
        <v>814152.59</v>
      </c>
    </row>
    <row r="2" spans="2:12" ht="14.4" x14ac:dyDescent="0.3">
      <c r="B2" s="71" t="s">
        <v>19</v>
      </c>
      <c r="C2" s="71"/>
      <c r="D2" s="71"/>
      <c r="E2" s="71"/>
      <c r="F2" s="71"/>
      <c r="H2" s="72" t="s">
        <v>20</v>
      </c>
      <c r="I2" s="73"/>
      <c r="J2" s="74"/>
      <c r="L2" s="10" t="s">
        <v>1</v>
      </c>
    </row>
    <row r="3" spans="2:12" ht="14.4" x14ac:dyDescent="0.3">
      <c r="B3" s="2" t="s">
        <v>6</v>
      </c>
      <c r="C3" s="2" t="s">
        <v>21</v>
      </c>
      <c r="D3" s="2" t="s">
        <v>8</v>
      </c>
      <c r="E3" s="2" t="s">
        <v>22</v>
      </c>
      <c r="F3" s="5" t="s">
        <v>9</v>
      </c>
      <c r="H3" s="18" t="s">
        <v>23</v>
      </c>
      <c r="I3" s="18" t="s">
        <v>24</v>
      </c>
      <c r="J3" s="18" t="s">
        <v>25</v>
      </c>
      <c r="L3" s="8" t="s">
        <v>10</v>
      </c>
    </row>
    <row r="4" spans="2:12" ht="14.4" x14ac:dyDescent="0.3">
      <c r="B4" s="4">
        <v>46114</v>
      </c>
      <c r="C4" s="47" t="s">
        <v>26</v>
      </c>
      <c r="D4" s="1" t="s">
        <v>14</v>
      </c>
      <c r="E4" s="13" t="s">
        <v>27</v>
      </c>
      <c r="F4" s="6">
        <v>20435</v>
      </c>
      <c r="H4" s="67">
        <v>46030</v>
      </c>
      <c r="I4" s="20">
        <v>1021.54</v>
      </c>
      <c r="J4" s="21" t="s">
        <v>28</v>
      </c>
      <c r="L4" s="9" t="s">
        <v>12</v>
      </c>
    </row>
    <row r="5" spans="2:12" ht="14.4" x14ac:dyDescent="0.3">
      <c r="B5" s="4">
        <v>46118</v>
      </c>
      <c r="C5" s="47" t="s">
        <v>26</v>
      </c>
      <c r="D5" s="1" t="s">
        <v>14</v>
      </c>
      <c r="E5" t="s">
        <v>27</v>
      </c>
      <c r="F5" s="6">
        <v>13502</v>
      </c>
      <c r="H5" s="68">
        <v>46042</v>
      </c>
      <c r="I5" s="17">
        <v>26000</v>
      </c>
      <c r="J5" s="15" t="s">
        <v>28</v>
      </c>
      <c r="L5" s="8" t="s">
        <v>13</v>
      </c>
    </row>
    <row r="6" spans="2:12" ht="14.4" x14ac:dyDescent="0.3">
      <c r="B6" s="4">
        <v>46118</v>
      </c>
      <c r="C6" s="47" t="s">
        <v>26</v>
      </c>
      <c r="D6" s="1" t="s">
        <v>16</v>
      </c>
      <c r="E6" t="s">
        <v>29</v>
      </c>
      <c r="F6" s="6">
        <v>82.59</v>
      </c>
      <c r="H6" s="67">
        <v>46051</v>
      </c>
      <c r="I6" s="20">
        <v>6559</v>
      </c>
      <c r="J6" s="21" t="s">
        <v>28</v>
      </c>
      <c r="L6" s="9" t="s">
        <v>14</v>
      </c>
    </row>
    <row r="7" spans="2:12" ht="14.4" x14ac:dyDescent="0.3">
      <c r="B7" s="4">
        <v>46118</v>
      </c>
      <c r="C7" s="47" t="s">
        <v>26</v>
      </c>
      <c r="D7" s="1" t="s">
        <v>18</v>
      </c>
      <c r="E7" t="s">
        <v>30</v>
      </c>
      <c r="F7" s="6">
        <v>266.32</v>
      </c>
      <c r="H7" s="68">
        <v>46087</v>
      </c>
      <c r="I7" s="17">
        <v>14000</v>
      </c>
      <c r="J7" s="15" t="s">
        <v>28</v>
      </c>
      <c r="L7" s="8" t="s">
        <v>16</v>
      </c>
    </row>
    <row r="8" spans="2:12" ht="14.4" x14ac:dyDescent="0.3">
      <c r="B8" s="4">
        <v>46118</v>
      </c>
      <c r="C8" s="47" t="s">
        <v>26</v>
      </c>
      <c r="D8" s="1" t="s">
        <v>26</v>
      </c>
      <c r="E8" t="s">
        <v>31</v>
      </c>
      <c r="F8" s="6">
        <v>0</v>
      </c>
      <c r="H8" s="67">
        <v>46090</v>
      </c>
      <c r="I8" s="20">
        <v>24200</v>
      </c>
      <c r="J8" s="21" t="s">
        <v>28</v>
      </c>
      <c r="L8" s="9" t="s">
        <v>15</v>
      </c>
    </row>
    <row r="9" spans="2:12" ht="14.4" x14ac:dyDescent="0.3">
      <c r="B9" s="4">
        <v>46118</v>
      </c>
      <c r="C9" s="47" t="s">
        <v>26</v>
      </c>
      <c r="D9" s="1" t="s">
        <v>14</v>
      </c>
      <c r="E9" t="s">
        <v>27</v>
      </c>
      <c r="F9" s="6">
        <v>46650</v>
      </c>
      <c r="H9" s="68">
        <v>46119</v>
      </c>
      <c r="I9" s="17">
        <v>3200</v>
      </c>
      <c r="J9" s="15" t="s">
        <v>32</v>
      </c>
      <c r="L9" s="8" t="s">
        <v>17</v>
      </c>
    </row>
    <row r="10" spans="2:12" ht="14.4" x14ac:dyDescent="0.3">
      <c r="B10" s="4">
        <v>46119</v>
      </c>
      <c r="C10" s="47" t="s">
        <v>26</v>
      </c>
      <c r="D10" s="1" t="s">
        <v>15</v>
      </c>
      <c r="E10" t="s">
        <v>33</v>
      </c>
      <c r="F10" s="6">
        <v>542.97</v>
      </c>
      <c r="H10" s="67">
        <v>46122</v>
      </c>
      <c r="I10" s="20">
        <v>2000</v>
      </c>
      <c r="J10" s="21" t="s">
        <v>34</v>
      </c>
      <c r="L10" s="11" t="s">
        <v>18</v>
      </c>
    </row>
    <row r="11" spans="2:12" ht="14.4" x14ac:dyDescent="0.3">
      <c r="B11" s="4">
        <v>46119</v>
      </c>
      <c r="C11" s="47" t="s">
        <v>26</v>
      </c>
      <c r="D11" s="1" t="s">
        <v>14</v>
      </c>
      <c r="E11" t="s">
        <v>27</v>
      </c>
      <c r="F11" s="6">
        <v>50000</v>
      </c>
      <c r="H11" s="68">
        <v>46129</v>
      </c>
      <c r="I11" s="17">
        <v>4300</v>
      </c>
      <c r="J11" s="15" t="s">
        <v>32</v>
      </c>
      <c r="L11" s="8" t="s">
        <v>35</v>
      </c>
    </row>
    <row r="12" spans="2:12" ht="14.4" x14ac:dyDescent="0.3">
      <c r="B12" s="4">
        <v>46119</v>
      </c>
      <c r="C12" s="47" t="s">
        <v>36</v>
      </c>
      <c r="D12" s="1" t="s">
        <v>13</v>
      </c>
      <c r="F12" s="6">
        <v>3200</v>
      </c>
      <c r="H12" s="67">
        <v>46132</v>
      </c>
      <c r="I12" s="41">
        <v>4825</v>
      </c>
      <c r="J12" s="42" t="s">
        <v>32</v>
      </c>
      <c r="L12" s="11" t="s">
        <v>37</v>
      </c>
    </row>
    <row r="13" spans="2:12" ht="14.4" x14ac:dyDescent="0.3">
      <c r="B13" s="4">
        <v>46120</v>
      </c>
      <c r="C13" s="47" t="s">
        <v>26</v>
      </c>
      <c r="D13" s="1" t="s">
        <v>37</v>
      </c>
      <c r="E13" t="s">
        <v>38</v>
      </c>
      <c r="F13" s="6">
        <v>350</v>
      </c>
      <c r="H13" s="68">
        <v>46134</v>
      </c>
      <c r="I13" s="50">
        <v>10000</v>
      </c>
      <c r="J13" s="51" t="s">
        <v>28</v>
      </c>
      <c r="L13" s="8" t="s">
        <v>39</v>
      </c>
    </row>
    <row r="14" spans="2:12" ht="14.4" x14ac:dyDescent="0.3">
      <c r="B14" s="4">
        <v>46120</v>
      </c>
      <c r="C14" s="47" t="s">
        <v>26</v>
      </c>
      <c r="D14" s="1" t="s">
        <v>14</v>
      </c>
      <c r="E14" t="s">
        <v>27</v>
      </c>
      <c r="F14" s="6">
        <v>24769</v>
      </c>
      <c r="H14" s="67">
        <v>46134</v>
      </c>
      <c r="I14" s="41">
        <v>22000</v>
      </c>
      <c r="J14" s="21" t="s">
        <v>32</v>
      </c>
      <c r="L14" s="11" t="s">
        <v>26</v>
      </c>
    </row>
    <row r="15" spans="2:12" ht="14.4" x14ac:dyDescent="0.3">
      <c r="B15" s="4">
        <v>46121</v>
      </c>
      <c r="C15" s="47" t="s">
        <v>26</v>
      </c>
      <c r="D15" s="1" t="s">
        <v>39</v>
      </c>
      <c r="E15" t="s">
        <v>40</v>
      </c>
      <c r="F15" s="6">
        <v>469.86</v>
      </c>
      <c r="H15" s="68">
        <v>46137</v>
      </c>
      <c r="I15" s="50">
        <v>10000</v>
      </c>
      <c r="J15" s="51" t="s">
        <v>32</v>
      </c>
    </row>
    <row r="16" spans="2:12" ht="14.4" x14ac:dyDescent="0.3">
      <c r="B16" s="4">
        <v>46121</v>
      </c>
      <c r="C16" s="47" t="s">
        <v>26</v>
      </c>
      <c r="D16" s="1" t="s">
        <v>14</v>
      </c>
      <c r="E16" t="s">
        <v>27</v>
      </c>
      <c r="F16" s="6">
        <v>50000</v>
      </c>
      <c r="H16" s="67">
        <v>46137</v>
      </c>
      <c r="I16" s="20">
        <v>7770</v>
      </c>
      <c r="J16" s="21" t="s">
        <v>28</v>
      </c>
    </row>
    <row r="17" spans="2:9" ht="14.4" x14ac:dyDescent="0.3">
      <c r="B17" s="4">
        <v>46122</v>
      </c>
      <c r="C17" s="47" t="s">
        <v>26</v>
      </c>
      <c r="D17" s="1" t="s">
        <v>16</v>
      </c>
      <c r="E17" t="s">
        <v>41</v>
      </c>
      <c r="F17" s="6">
        <v>2290.2800000000002</v>
      </c>
    </row>
    <row r="18" spans="2:9" ht="14.4" x14ac:dyDescent="0.3">
      <c r="B18" s="4">
        <v>46122</v>
      </c>
      <c r="C18" s="47" t="s">
        <v>26</v>
      </c>
      <c r="D18" s="1" t="s">
        <v>16</v>
      </c>
      <c r="E18" t="s">
        <v>42</v>
      </c>
      <c r="F18" s="6">
        <v>479.72</v>
      </c>
    </row>
    <row r="19" spans="2:9" ht="14.4" x14ac:dyDescent="0.3">
      <c r="B19" s="4">
        <v>46122</v>
      </c>
      <c r="C19" s="47" t="s">
        <v>26</v>
      </c>
      <c r="D19" s="1" t="s">
        <v>16</v>
      </c>
      <c r="E19" t="s">
        <v>29</v>
      </c>
      <c r="F19" s="6">
        <v>2690.03</v>
      </c>
      <c r="H19" t="s">
        <v>26</v>
      </c>
      <c r="I19" s="52">
        <f>SUMIF(C:C,H19,F:F)</f>
        <v>769827.59</v>
      </c>
    </row>
    <row r="20" spans="2:9" ht="14.4" x14ac:dyDescent="0.3">
      <c r="B20" s="4">
        <v>46122</v>
      </c>
      <c r="C20" s="47" t="s">
        <v>26</v>
      </c>
      <c r="D20" s="1" t="s">
        <v>17</v>
      </c>
      <c r="E20" t="s">
        <v>43</v>
      </c>
      <c r="F20" s="6">
        <v>2476.36</v>
      </c>
      <c r="H20" t="s">
        <v>36</v>
      </c>
      <c r="I20" s="52">
        <f>SUMIF(C:C,H20,F:F)</f>
        <v>44325</v>
      </c>
    </row>
    <row r="21" spans="2:9" ht="14.4" x14ac:dyDescent="0.3">
      <c r="B21" s="4">
        <v>46122</v>
      </c>
      <c r="C21" s="47" t="s">
        <v>26</v>
      </c>
      <c r="E21" t="s">
        <v>44</v>
      </c>
      <c r="F21" s="6">
        <v>140</v>
      </c>
      <c r="I21" s="52">
        <f>I19+I20</f>
        <v>814152.59</v>
      </c>
    </row>
    <row r="22" spans="2:9" ht="14.4" x14ac:dyDescent="0.3">
      <c r="B22" s="4">
        <v>46125</v>
      </c>
      <c r="C22" s="47" t="s">
        <v>26</v>
      </c>
      <c r="D22" s="1" t="s">
        <v>14</v>
      </c>
      <c r="E22" t="s">
        <v>27</v>
      </c>
      <c r="F22" s="6">
        <v>24850</v>
      </c>
    </row>
    <row r="23" spans="2:9" ht="14.4" x14ac:dyDescent="0.3">
      <c r="B23" s="4">
        <v>46125</v>
      </c>
      <c r="C23" s="47" t="s">
        <v>26</v>
      </c>
      <c r="D23" s="1" t="s">
        <v>15</v>
      </c>
      <c r="E23" t="s">
        <v>33</v>
      </c>
      <c r="F23" s="6">
        <v>256.14</v>
      </c>
    </row>
    <row r="24" spans="2:9" ht="14.4" x14ac:dyDescent="0.3">
      <c r="B24" s="4">
        <v>46125</v>
      </c>
      <c r="C24" s="47" t="s">
        <v>26</v>
      </c>
      <c r="D24" s="1" t="s">
        <v>14</v>
      </c>
      <c r="E24" t="s">
        <v>27</v>
      </c>
      <c r="F24" s="6">
        <v>27884</v>
      </c>
    </row>
    <row r="25" spans="2:9" ht="14.4" x14ac:dyDescent="0.3">
      <c r="B25" s="4">
        <v>46126</v>
      </c>
      <c r="C25" s="47" t="s">
        <v>26</v>
      </c>
      <c r="D25" s="1" t="s">
        <v>15</v>
      </c>
      <c r="E25" t="s">
        <v>45</v>
      </c>
      <c r="F25" s="6">
        <v>707.92</v>
      </c>
    </row>
    <row r="26" spans="2:9" ht="14.4" x14ac:dyDescent="0.3">
      <c r="B26" s="4">
        <v>46127</v>
      </c>
      <c r="C26" s="47" t="s">
        <v>26</v>
      </c>
      <c r="D26" s="1" t="s">
        <v>14</v>
      </c>
      <c r="E26" t="s">
        <v>27</v>
      </c>
      <c r="F26" s="6">
        <v>50000</v>
      </c>
    </row>
    <row r="27" spans="2:9" ht="14.4" x14ac:dyDescent="0.3">
      <c r="B27" s="4">
        <v>46128</v>
      </c>
      <c r="C27" s="47" t="s">
        <v>26</v>
      </c>
      <c r="D27" s="1" t="s">
        <v>14</v>
      </c>
      <c r="E27" t="s">
        <v>27</v>
      </c>
      <c r="F27" s="6">
        <v>82039</v>
      </c>
    </row>
    <row r="28" spans="2:9" ht="14.4" x14ac:dyDescent="0.3">
      <c r="B28" s="4">
        <v>46128</v>
      </c>
      <c r="C28" s="47" t="s">
        <v>26</v>
      </c>
      <c r="D28" s="1" t="s">
        <v>14</v>
      </c>
      <c r="E28" t="s">
        <v>27</v>
      </c>
      <c r="F28" s="6">
        <v>30409</v>
      </c>
    </row>
    <row r="29" spans="2:9" ht="14.4" x14ac:dyDescent="0.3">
      <c r="B29" s="4">
        <v>46128</v>
      </c>
      <c r="C29" s="47" t="s">
        <v>26</v>
      </c>
      <c r="D29" s="1" t="s">
        <v>15</v>
      </c>
      <c r="E29" t="s">
        <v>45</v>
      </c>
      <c r="F29" s="6">
        <v>641.91999999999996</v>
      </c>
    </row>
    <row r="30" spans="2:9" ht="15" customHeight="1" x14ac:dyDescent="0.3">
      <c r="B30" s="4">
        <v>46129</v>
      </c>
      <c r="C30" s="47" t="s">
        <v>26</v>
      </c>
      <c r="D30" s="1" t="s">
        <v>14</v>
      </c>
      <c r="E30" t="s">
        <v>27</v>
      </c>
      <c r="F30" s="6">
        <v>42189</v>
      </c>
    </row>
    <row r="31" spans="2:9" ht="15" customHeight="1" x14ac:dyDescent="0.3">
      <c r="B31" s="4">
        <v>46129</v>
      </c>
      <c r="C31" s="1" t="s">
        <v>36</v>
      </c>
      <c r="D31" s="1" t="s">
        <v>13</v>
      </c>
      <c r="F31" s="6">
        <v>4300</v>
      </c>
    </row>
    <row r="32" spans="2:9" ht="15" customHeight="1" x14ac:dyDescent="0.3">
      <c r="B32" s="4">
        <v>46132</v>
      </c>
      <c r="C32" s="1" t="s">
        <v>26</v>
      </c>
      <c r="D32" s="1" t="s">
        <v>16</v>
      </c>
      <c r="E32" t="s">
        <v>41</v>
      </c>
      <c r="F32" s="6">
        <v>5771.86</v>
      </c>
      <c r="G32" s="48"/>
    </row>
    <row r="33" spans="2:7" ht="15" customHeight="1" x14ac:dyDescent="0.3">
      <c r="B33" s="4">
        <v>46132</v>
      </c>
      <c r="C33" s="1" t="s">
        <v>26</v>
      </c>
      <c r="D33" s="1" t="s">
        <v>16</v>
      </c>
      <c r="E33" t="s">
        <v>42</v>
      </c>
      <c r="F33" s="6">
        <v>751.55</v>
      </c>
      <c r="G33" s="48"/>
    </row>
    <row r="34" spans="2:7" ht="15" customHeight="1" x14ac:dyDescent="0.3">
      <c r="B34" s="4">
        <v>46132</v>
      </c>
      <c r="C34" s="1" t="s">
        <v>26</v>
      </c>
      <c r="D34" s="1" t="s">
        <v>16</v>
      </c>
      <c r="E34" t="s">
        <v>46</v>
      </c>
      <c r="F34" s="6">
        <v>8083.68</v>
      </c>
    </row>
    <row r="35" spans="2:7" ht="15" customHeight="1" x14ac:dyDescent="0.3">
      <c r="B35" s="4">
        <v>46132</v>
      </c>
      <c r="C35" s="1" t="s">
        <v>26</v>
      </c>
      <c r="D35" s="1" t="s">
        <v>16</v>
      </c>
      <c r="E35" t="s">
        <v>29</v>
      </c>
      <c r="F35" s="6">
        <v>1312.2</v>
      </c>
    </row>
    <row r="36" spans="2:7" ht="15" customHeight="1" x14ac:dyDescent="0.3">
      <c r="B36" s="4">
        <v>46132</v>
      </c>
      <c r="C36" s="1" t="s">
        <v>26</v>
      </c>
      <c r="D36" s="1" t="s">
        <v>16</v>
      </c>
      <c r="E36" t="s">
        <v>41</v>
      </c>
      <c r="F36" s="6">
        <v>678.51</v>
      </c>
    </row>
    <row r="37" spans="2:7" ht="15" customHeight="1" x14ac:dyDescent="0.3">
      <c r="B37" s="4">
        <v>46132</v>
      </c>
      <c r="C37" s="1" t="s">
        <v>26</v>
      </c>
      <c r="D37" s="1" t="s">
        <v>16</v>
      </c>
      <c r="E37" t="s">
        <v>46</v>
      </c>
      <c r="F37" s="6">
        <v>616.95000000000005</v>
      </c>
    </row>
    <row r="38" spans="2:7" ht="15" customHeight="1" x14ac:dyDescent="0.3">
      <c r="B38" s="4">
        <v>46132</v>
      </c>
      <c r="C38" s="1" t="s">
        <v>26</v>
      </c>
      <c r="D38" s="1" t="s">
        <v>16</v>
      </c>
      <c r="E38" t="s">
        <v>47</v>
      </c>
      <c r="F38" s="6">
        <v>553.13</v>
      </c>
    </row>
    <row r="39" spans="2:7" ht="15" customHeight="1" x14ac:dyDescent="0.3">
      <c r="B39" s="4">
        <v>46132</v>
      </c>
      <c r="C39" s="1" t="s">
        <v>26</v>
      </c>
      <c r="D39" s="1" t="s">
        <v>12</v>
      </c>
      <c r="E39" t="s">
        <v>48</v>
      </c>
      <c r="F39" s="6">
        <v>1451.48</v>
      </c>
      <c r="G39" s="49"/>
    </row>
    <row r="40" spans="2:7" ht="15" customHeight="1" x14ac:dyDescent="0.3">
      <c r="B40" s="4">
        <v>46132</v>
      </c>
      <c r="C40" s="1" t="s">
        <v>26</v>
      </c>
      <c r="D40" s="1" t="s">
        <v>14</v>
      </c>
      <c r="E40" t="s">
        <v>27</v>
      </c>
      <c r="F40" s="6">
        <v>31934</v>
      </c>
    </row>
    <row r="41" spans="2:7" ht="15" customHeight="1" x14ac:dyDescent="0.3">
      <c r="B41" s="4">
        <v>46132</v>
      </c>
      <c r="C41" s="1" t="s">
        <v>36</v>
      </c>
      <c r="D41" s="1" t="s">
        <v>13</v>
      </c>
      <c r="F41" s="6">
        <v>4825</v>
      </c>
    </row>
    <row r="42" spans="2:7" ht="15" customHeight="1" x14ac:dyDescent="0.3">
      <c r="B42" s="4">
        <v>46134</v>
      </c>
      <c r="C42" s="1" t="s">
        <v>26</v>
      </c>
      <c r="D42" s="1" t="s">
        <v>16</v>
      </c>
      <c r="E42" t="s">
        <v>49</v>
      </c>
      <c r="F42" s="6">
        <v>81158.12</v>
      </c>
    </row>
    <row r="43" spans="2:7" ht="15" customHeight="1" x14ac:dyDescent="0.3">
      <c r="B43" s="4">
        <v>46134</v>
      </c>
      <c r="C43" s="1" t="s">
        <v>26</v>
      </c>
      <c r="D43" s="1" t="s">
        <v>13</v>
      </c>
      <c r="E43" t="s">
        <v>27</v>
      </c>
      <c r="F43" s="6">
        <v>10000</v>
      </c>
    </row>
    <row r="44" spans="2:7" ht="15" customHeight="1" x14ac:dyDescent="0.3">
      <c r="B44" s="4">
        <v>46134</v>
      </c>
      <c r="C44" s="1" t="s">
        <v>26</v>
      </c>
      <c r="D44" s="1" t="s">
        <v>14</v>
      </c>
      <c r="E44" t="s">
        <v>27</v>
      </c>
      <c r="F44" s="6">
        <v>50000</v>
      </c>
    </row>
    <row r="45" spans="2:7" ht="15" customHeight="1" x14ac:dyDescent="0.3">
      <c r="B45" s="4">
        <v>46134</v>
      </c>
      <c r="C45" s="1" t="s">
        <v>36</v>
      </c>
      <c r="D45" s="1" t="s">
        <v>13</v>
      </c>
      <c r="F45" s="6">
        <v>22000</v>
      </c>
    </row>
    <row r="46" spans="2:7" ht="15" customHeight="1" x14ac:dyDescent="0.3">
      <c r="B46" s="4">
        <v>46135</v>
      </c>
      <c r="C46" s="1" t="s">
        <v>26</v>
      </c>
      <c r="D46" s="1" t="s">
        <v>14</v>
      </c>
      <c r="E46" t="s">
        <v>27</v>
      </c>
      <c r="F46" s="6">
        <v>4563</v>
      </c>
    </row>
    <row r="47" spans="2:7" ht="15" customHeight="1" x14ac:dyDescent="0.3">
      <c r="B47" s="4">
        <v>46135</v>
      </c>
      <c r="C47" s="1" t="s">
        <v>26</v>
      </c>
      <c r="D47" s="1" t="s">
        <v>37</v>
      </c>
      <c r="E47" t="s">
        <v>50</v>
      </c>
      <c r="F47" s="6">
        <v>350</v>
      </c>
    </row>
    <row r="48" spans="2:7" ht="15" customHeight="1" x14ac:dyDescent="0.3">
      <c r="B48" s="4">
        <v>46135</v>
      </c>
      <c r="C48" s="1" t="s">
        <v>26</v>
      </c>
      <c r="D48" s="1" t="s">
        <v>14</v>
      </c>
      <c r="E48" t="s">
        <v>27</v>
      </c>
      <c r="F48" s="6">
        <v>50000</v>
      </c>
    </row>
    <row r="49" spans="2:6" ht="15" customHeight="1" x14ac:dyDescent="0.3">
      <c r="B49" s="4">
        <v>46136</v>
      </c>
      <c r="C49" s="1" t="s">
        <v>26</v>
      </c>
      <c r="D49" s="1" t="s">
        <v>14</v>
      </c>
      <c r="E49" t="s">
        <v>27</v>
      </c>
      <c r="F49" s="6">
        <v>23554</v>
      </c>
    </row>
    <row r="50" spans="2:6" ht="15" customHeight="1" x14ac:dyDescent="0.3">
      <c r="B50" s="4">
        <v>46136</v>
      </c>
      <c r="C50" s="1" t="s">
        <v>26</v>
      </c>
      <c r="D50" s="63" t="s">
        <v>14</v>
      </c>
      <c r="E50" t="s">
        <v>27</v>
      </c>
      <c r="F50" s="6">
        <v>16908</v>
      </c>
    </row>
    <row r="51" spans="2:6" ht="15" customHeight="1" x14ac:dyDescent="0.3">
      <c r="B51" s="4">
        <v>46137</v>
      </c>
      <c r="C51" s="1" t="s">
        <v>36</v>
      </c>
      <c r="D51" s="1" t="s">
        <v>13</v>
      </c>
      <c r="F51" s="6">
        <v>10000</v>
      </c>
    </row>
    <row r="52" spans="2:6" ht="15" customHeight="1" x14ac:dyDescent="0.3">
      <c r="B52" s="4">
        <v>46139</v>
      </c>
      <c r="C52" s="1" t="s">
        <v>26</v>
      </c>
      <c r="D52" s="63"/>
      <c r="E52" t="s">
        <v>51</v>
      </c>
      <c r="F52" s="6">
        <v>250</v>
      </c>
    </row>
    <row r="53" spans="2:6" ht="15" customHeight="1" x14ac:dyDescent="0.3">
      <c r="B53" s="4">
        <v>46139</v>
      </c>
      <c r="C53" s="65" t="s">
        <v>26</v>
      </c>
      <c r="D53" s="1" t="s">
        <v>13</v>
      </c>
      <c r="E53" s="1" t="s">
        <v>13</v>
      </c>
      <c r="F53" s="66">
        <v>7770</v>
      </c>
    </row>
    <row r="54" spans="2:6" ht="15" customHeight="1" x14ac:dyDescent="0.3">
      <c r="B54" s="21"/>
      <c r="C54" s="22"/>
      <c r="D54" s="22"/>
      <c r="E54" s="21"/>
      <c r="F54" s="64"/>
    </row>
    <row r="55" spans="2:6" ht="15" customHeight="1" x14ac:dyDescent="0.3">
      <c r="B55" s="15"/>
      <c r="C55" s="23"/>
      <c r="D55" s="23"/>
      <c r="E55" s="15"/>
      <c r="F55" s="62"/>
    </row>
    <row r="56" spans="2:6" ht="15" customHeight="1" x14ac:dyDescent="0.3">
      <c r="B56" s="21"/>
      <c r="C56" s="22"/>
      <c r="D56" s="22"/>
      <c r="E56" s="21"/>
      <c r="F56" s="64"/>
    </row>
    <row r="57" spans="2:6" ht="15" customHeight="1" x14ac:dyDescent="0.3">
      <c r="B57" s="15"/>
      <c r="C57" s="23"/>
      <c r="D57" s="23"/>
      <c r="E57" s="15"/>
      <c r="F57" s="62"/>
    </row>
    <row r="58" spans="2:6" ht="15" customHeight="1" x14ac:dyDescent="0.3">
      <c r="B58" s="21"/>
      <c r="C58" s="22"/>
      <c r="D58" s="22"/>
      <c r="E58" s="21"/>
      <c r="F58" s="64"/>
    </row>
  </sheetData>
  <mergeCells count="2">
    <mergeCell ref="B2:F2"/>
    <mergeCell ref="H2:J2"/>
  </mergeCells>
  <dataValidations count="1">
    <dataValidation type="list" allowBlank="1" showInputMessage="1" showErrorMessage="1" sqref="D4:D14 D16:D30 D33:D52" xr:uid="{D4BB0447-AF3D-4F86-9822-6839F011C631}">
      <formula1>$L$3:$L$14</formula1>
    </dataValidation>
  </dataValidation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3483-898B-48DF-A920-0A4DCD53730D}">
  <dimension ref="B1:H198"/>
  <sheetViews>
    <sheetView showGridLines="0" workbookViewId="0">
      <selection activeCell="F191" sqref="F191"/>
    </sheetView>
  </sheetViews>
  <sheetFormatPr defaultRowHeight="15" customHeight="1" x14ac:dyDescent="0.3"/>
  <cols>
    <col min="1" max="1" width="2.6640625" customWidth="1"/>
    <col min="2" max="2" width="15.109375" bestFit="1" customWidth="1"/>
    <col min="3" max="3" width="30.5546875" style="43" bestFit="1" customWidth="1"/>
    <col min="4" max="4" width="38.33203125" style="1" bestFit="1" customWidth="1"/>
    <col min="5" max="5" width="18.109375" style="6" bestFit="1" customWidth="1"/>
    <col min="6" max="6" width="14.88671875" style="6" bestFit="1" customWidth="1"/>
    <col min="7" max="7" width="2.6640625" customWidth="1"/>
    <col min="8" max="8" width="29" bestFit="1" customWidth="1"/>
    <col min="9" max="9" width="2.6640625" customWidth="1"/>
  </cols>
  <sheetData>
    <row r="1" spans="2:8" ht="14.4" x14ac:dyDescent="0.3">
      <c r="D1" s="57">
        <f>SUM(E1:F1)</f>
        <v>664406.19999999972</v>
      </c>
      <c r="E1" s="58">
        <f>SUBTOTAL(9,Tabela13[Transferência])</f>
        <v>41100</v>
      </c>
      <c r="F1" s="58">
        <f>SUBTOTAL(9,Tabela13[(R$) Valor])</f>
        <v>623306.19999999972</v>
      </c>
    </row>
    <row r="2" spans="2:8" ht="15" customHeight="1" x14ac:dyDescent="0.3">
      <c r="B2" s="71" t="s">
        <v>52</v>
      </c>
      <c r="C2" s="71"/>
      <c r="D2" s="71"/>
      <c r="E2" s="71"/>
      <c r="F2" s="71"/>
      <c r="G2" t="s">
        <v>53</v>
      </c>
      <c r="H2" s="7" t="s">
        <v>54</v>
      </c>
    </row>
    <row r="3" spans="2:8" ht="14.4" x14ac:dyDescent="0.3">
      <c r="B3" s="2" t="s">
        <v>6</v>
      </c>
      <c r="C3" s="2" t="s">
        <v>55</v>
      </c>
      <c r="D3" s="2" t="s">
        <v>56</v>
      </c>
      <c r="E3" s="5" t="s">
        <v>57</v>
      </c>
      <c r="F3" s="5" t="s">
        <v>9</v>
      </c>
      <c r="H3" s="1" t="s">
        <v>58</v>
      </c>
    </row>
    <row r="4" spans="2:8" ht="14.4" x14ac:dyDescent="0.3">
      <c r="B4" s="4">
        <v>46113</v>
      </c>
      <c r="C4" s="43" t="s">
        <v>59</v>
      </c>
      <c r="D4" s="43" t="s">
        <v>60</v>
      </c>
      <c r="F4" s="6">
        <v>1440</v>
      </c>
      <c r="H4" s="1" t="s">
        <v>61</v>
      </c>
    </row>
    <row r="5" spans="2:8" ht="14.4" x14ac:dyDescent="0.3">
      <c r="B5" s="4">
        <v>46113</v>
      </c>
      <c r="C5" s="43" t="s">
        <v>62</v>
      </c>
      <c r="D5" s="43" t="s">
        <v>63</v>
      </c>
      <c r="F5" s="6">
        <v>153.66</v>
      </c>
      <c r="H5" s="1" t="s">
        <v>64</v>
      </c>
    </row>
    <row r="6" spans="2:8" ht="14.4" x14ac:dyDescent="0.3">
      <c r="B6" s="4">
        <v>46113</v>
      </c>
      <c r="C6" s="43" t="s">
        <v>65</v>
      </c>
      <c r="D6" s="43" t="s">
        <v>66</v>
      </c>
      <c r="F6" s="6">
        <v>2911.3</v>
      </c>
      <c r="H6" s="1" t="s">
        <v>64</v>
      </c>
    </row>
    <row r="7" spans="2:8" ht="14.4" x14ac:dyDescent="0.3">
      <c r="B7" s="4">
        <v>46113</v>
      </c>
      <c r="C7" s="43" t="s">
        <v>67</v>
      </c>
      <c r="D7" s="43" t="s">
        <v>63</v>
      </c>
      <c r="F7" s="6">
        <v>64.39</v>
      </c>
      <c r="H7" s="1" t="s">
        <v>68</v>
      </c>
    </row>
    <row r="8" spans="2:8" ht="14.4" x14ac:dyDescent="0.3">
      <c r="B8" s="4">
        <v>46113</v>
      </c>
      <c r="C8" s="43" t="s">
        <v>69</v>
      </c>
      <c r="D8" s="43" t="s">
        <v>66</v>
      </c>
      <c r="F8" s="6">
        <v>930.1</v>
      </c>
      <c r="H8" s="1" t="s">
        <v>70</v>
      </c>
    </row>
    <row r="9" spans="2:8" ht="14.4" x14ac:dyDescent="0.3">
      <c r="B9" s="4">
        <v>46113</v>
      </c>
      <c r="C9" s="43" t="s">
        <v>28</v>
      </c>
      <c r="D9" s="43" t="s">
        <v>71</v>
      </c>
      <c r="F9" s="6">
        <v>102.92</v>
      </c>
      <c r="H9" s="1" t="s">
        <v>32</v>
      </c>
    </row>
    <row r="10" spans="2:8" ht="14.4" x14ac:dyDescent="0.3">
      <c r="B10" s="4">
        <v>46113</v>
      </c>
      <c r="C10" s="43" t="s">
        <v>28</v>
      </c>
      <c r="D10" s="43" t="s">
        <v>72</v>
      </c>
      <c r="E10" s="6">
        <v>2100</v>
      </c>
      <c r="F10" s="6">
        <v>0</v>
      </c>
      <c r="H10" s="1" t="s">
        <v>73</v>
      </c>
    </row>
    <row r="11" spans="2:8" ht="14.4" x14ac:dyDescent="0.3">
      <c r="B11" s="4">
        <v>46113</v>
      </c>
      <c r="C11" s="43" t="s">
        <v>28</v>
      </c>
      <c r="D11" s="43" t="s">
        <v>74</v>
      </c>
      <c r="F11" s="6">
        <v>140.53</v>
      </c>
      <c r="H11" s="1" t="s">
        <v>75</v>
      </c>
    </row>
    <row r="12" spans="2:8" ht="14.4" x14ac:dyDescent="0.3">
      <c r="B12" s="4">
        <v>46114</v>
      </c>
      <c r="C12" s="43" t="s">
        <v>67</v>
      </c>
      <c r="D12" s="43" t="s">
        <v>63</v>
      </c>
      <c r="F12" s="6">
        <v>2039.26</v>
      </c>
      <c r="H12" s="1" t="s">
        <v>76</v>
      </c>
    </row>
    <row r="13" spans="2:8" ht="14.4" x14ac:dyDescent="0.3">
      <c r="B13" s="4">
        <v>46114</v>
      </c>
      <c r="C13" s="43" t="s">
        <v>77</v>
      </c>
      <c r="D13" s="43" t="s">
        <v>63</v>
      </c>
      <c r="F13" s="6">
        <v>135</v>
      </c>
      <c r="H13" s="1" t="s">
        <v>78</v>
      </c>
    </row>
    <row r="14" spans="2:8" ht="14.4" x14ac:dyDescent="0.3">
      <c r="B14" s="4">
        <v>46114</v>
      </c>
      <c r="C14" s="43" t="s">
        <v>79</v>
      </c>
      <c r="D14" s="43" t="s">
        <v>63</v>
      </c>
      <c r="F14" s="6">
        <v>1490</v>
      </c>
      <c r="H14" s="1" t="s">
        <v>80</v>
      </c>
    </row>
    <row r="15" spans="2:8" ht="14.4" x14ac:dyDescent="0.3">
      <c r="B15" s="4">
        <v>46114</v>
      </c>
      <c r="C15" s="43" t="s">
        <v>81</v>
      </c>
      <c r="D15" s="43" t="s">
        <v>63</v>
      </c>
      <c r="F15" s="6">
        <v>176.6</v>
      </c>
      <c r="H15" s="1" t="s">
        <v>82</v>
      </c>
    </row>
    <row r="16" spans="2:8" ht="14.4" x14ac:dyDescent="0.3">
      <c r="B16" s="4">
        <v>46114</v>
      </c>
      <c r="C16" s="43" t="s">
        <v>83</v>
      </c>
      <c r="D16" s="43" t="s">
        <v>84</v>
      </c>
      <c r="F16" s="6">
        <v>400</v>
      </c>
      <c r="H16" s="1" t="s">
        <v>85</v>
      </c>
    </row>
    <row r="17" spans="2:8" ht="14.4" x14ac:dyDescent="0.3">
      <c r="B17" s="4">
        <v>46114</v>
      </c>
      <c r="C17" s="43" t="s">
        <v>65</v>
      </c>
      <c r="D17" s="43" t="s">
        <v>66</v>
      </c>
      <c r="F17" s="6">
        <v>19184.13</v>
      </c>
      <c r="H17" s="1" t="s">
        <v>86</v>
      </c>
    </row>
    <row r="18" spans="2:8" ht="14.4" x14ac:dyDescent="0.3">
      <c r="B18" s="4">
        <v>46114</v>
      </c>
      <c r="C18" s="43" t="s">
        <v>87</v>
      </c>
      <c r="D18" s="43" t="s">
        <v>66</v>
      </c>
      <c r="F18" s="6">
        <v>2728.65</v>
      </c>
      <c r="H18" s="1" t="s">
        <v>88</v>
      </c>
    </row>
    <row r="19" spans="2:8" ht="14.4" x14ac:dyDescent="0.3">
      <c r="B19" s="4">
        <v>46118</v>
      </c>
      <c r="C19" s="43" t="s">
        <v>89</v>
      </c>
      <c r="D19" s="43" t="s">
        <v>90</v>
      </c>
      <c r="F19" s="6">
        <v>2240</v>
      </c>
      <c r="H19" s="1" t="s">
        <v>91</v>
      </c>
    </row>
    <row r="20" spans="2:8" ht="14.4" x14ac:dyDescent="0.3">
      <c r="B20" s="4">
        <v>46118</v>
      </c>
      <c r="C20" s="43" t="s">
        <v>28</v>
      </c>
      <c r="D20" s="43" t="s">
        <v>74</v>
      </c>
      <c r="F20" s="6">
        <v>8035.64</v>
      </c>
      <c r="H20" s="1" t="s">
        <v>92</v>
      </c>
    </row>
    <row r="21" spans="2:8" ht="14.4" x14ac:dyDescent="0.3">
      <c r="B21" s="4">
        <v>46118</v>
      </c>
      <c r="C21" s="43" t="s">
        <v>83</v>
      </c>
      <c r="D21" s="43" t="s">
        <v>84</v>
      </c>
      <c r="F21" s="6">
        <v>360</v>
      </c>
      <c r="H21" s="1" t="s">
        <v>93</v>
      </c>
    </row>
    <row r="22" spans="2:8" ht="14.4" x14ac:dyDescent="0.3">
      <c r="B22" s="4">
        <v>46118</v>
      </c>
      <c r="C22" s="43" t="s">
        <v>65</v>
      </c>
      <c r="D22" s="43" t="s">
        <v>66</v>
      </c>
      <c r="F22" s="6">
        <v>3935.66</v>
      </c>
      <c r="H22" s="1" t="s">
        <v>94</v>
      </c>
    </row>
    <row r="23" spans="2:8" ht="14.4" x14ac:dyDescent="0.3">
      <c r="B23" s="4">
        <v>46118</v>
      </c>
      <c r="C23" s="43" t="s">
        <v>95</v>
      </c>
      <c r="D23" s="43" t="s">
        <v>66</v>
      </c>
      <c r="F23" s="6">
        <v>5789.1</v>
      </c>
      <c r="H23" s="1" t="s">
        <v>96</v>
      </c>
    </row>
    <row r="24" spans="2:8" ht="14.4" x14ac:dyDescent="0.3">
      <c r="B24" s="4">
        <v>46118</v>
      </c>
      <c r="C24" s="43" t="s">
        <v>87</v>
      </c>
      <c r="D24" s="43" t="s">
        <v>66</v>
      </c>
      <c r="F24" s="6">
        <v>4377.1899999999996</v>
      </c>
      <c r="H24" s="1" t="s">
        <v>97</v>
      </c>
    </row>
    <row r="25" spans="2:8" ht="14.4" x14ac:dyDescent="0.3">
      <c r="B25" s="4">
        <v>46118</v>
      </c>
      <c r="C25" s="43" t="s">
        <v>98</v>
      </c>
      <c r="D25" s="43" t="s">
        <v>63</v>
      </c>
      <c r="F25" s="6">
        <v>302.33999999999997</v>
      </c>
      <c r="H25" s="1" t="s">
        <v>99</v>
      </c>
    </row>
    <row r="26" spans="2:8" ht="14.4" x14ac:dyDescent="0.3">
      <c r="B26" s="4">
        <v>46118</v>
      </c>
      <c r="C26" s="43" t="s">
        <v>100</v>
      </c>
      <c r="D26" s="43" t="s">
        <v>101</v>
      </c>
      <c r="F26" s="6">
        <v>299.95999999999998</v>
      </c>
      <c r="H26" s="1" t="s">
        <v>102</v>
      </c>
    </row>
    <row r="27" spans="2:8" ht="14.4" x14ac:dyDescent="0.3">
      <c r="B27" s="4">
        <v>46118</v>
      </c>
      <c r="C27" s="43" t="s">
        <v>103</v>
      </c>
      <c r="D27" s="43" t="s">
        <v>101</v>
      </c>
      <c r="F27" s="6">
        <v>3906.98</v>
      </c>
      <c r="H27" s="1" t="s">
        <v>104</v>
      </c>
    </row>
    <row r="28" spans="2:8" ht="14.4" x14ac:dyDescent="0.3">
      <c r="B28" s="4">
        <v>46118</v>
      </c>
      <c r="C28" s="43" t="s">
        <v>105</v>
      </c>
      <c r="D28" s="43" t="s">
        <v>106</v>
      </c>
      <c r="F28" s="6">
        <v>152</v>
      </c>
      <c r="H28" s="1" t="s">
        <v>107</v>
      </c>
    </row>
    <row r="29" spans="2:8" ht="14.4" x14ac:dyDescent="0.3">
      <c r="B29" s="4">
        <v>46118</v>
      </c>
      <c r="C29" s="43" t="s">
        <v>85</v>
      </c>
      <c r="D29" s="43" t="s">
        <v>108</v>
      </c>
      <c r="F29" s="6">
        <v>405.65</v>
      </c>
      <c r="H29" s="1" t="s">
        <v>109</v>
      </c>
    </row>
    <row r="30" spans="2:8" ht="14.4" x14ac:dyDescent="0.3">
      <c r="B30" s="4">
        <v>46118</v>
      </c>
      <c r="C30" s="43" t="s">
        <v>110</v>
      </c>
      <c r="D30" s="43" t="s">
        <v>66</v>
      </c>
      <c r="F30" s="6">
        <v>7415.63</v>
      </c>
      <c r="H30" s="1" t="s">
        <v>83</v>
      </c>
    </row>
    <row r="31" spans="2:8" ht="14.4" x14ac:dyDescent="0.3">
      <c r="B31" s="4">
        <v>46118</v>
      </c>
      <c r="C31" s="43" t="s">
        <v>111</v>
      </c>
      <c r="D31" s="43" t="s">
        <v>66</v>
      </c>
      <c r="F31" s="6">
        <v>10284.719999999999</v>
      </c>
      <c r="H31" s="1" t="s">
        <v>112</v>
      </c>
    </row>
    <row r="32" spans="2:8" ht="14.4" x14ac:dyDescent="0.3">
      <c r="B32" s="4">
        <v>46118</v>
      </c>
      <c r="C32" s="43" t="s">
        <v>73</v>
      </c>
      <c r="D32" s="43" t="s">
        <v>63</v>
      </c>
      <c r="F32" s="6">
        <v>1478.53</v>
      </c>
      <c r="H32" s="1" t="s">
        <v>113</v>
      </c>
    </row>
    <row r="33" spans="2:8" ht="14.4" x14ac:dyDescent="0.3">
      <c r="B33" s="4">
        <v>46118</v>
      </c>
      <c r="C33" s="43" t="s">
        <v>109</v>
      </c>
      <c r="D33" s="43" t="s">
        <v>114</v>
      </c>
      <c r="F33" s="6">
        <v>2947.5</v>
      </c>
      <c r="H33" s="1" t="s">
        <v>115</v>
      </c>
    </row>
    <row r="34" spans="2:8" ht="14.4" x14ac:dyDescent="0.3">
      <c r="B34" s="4">
        <v>46118</v>
      </c>
      <c r="C34" s="43" t="s">
        <v>109</v>
      </c>
      <c r="D34" s="43" t="s">
        <v>66</v>
      </c>
      <c r="F34" s="6">
        <v>50</v>
      </c>
      <c r="H34" s="1" t="s">
        <v>116</v>
      </c>
    </row>
    <row r="35" spans="2:8" ht="14.4" x14ac:dyDescent="0.3">
      <c r="B35" s="4">
        <v>46118</v>
      </c>
      <c r="C35" s="43" t="s">
        <v>117</v>
      </c>
      <c r="D35" s="43" t="s">
        <v>118</v>
      </c>
      <c r="F35" s="6">
        <v>0</v>
      </c>
      <c r="H35" s="1" t="s">
        <v>119</v>
      </c>
    </row>
    <row r="36" spans="2:8" ht="14.4" x14ac:dyDescent="0.3">
      <c r="B36" s="4">
        <v>46119</v>
      </c>
      <c r="C36" s="43" t="s">
        <v>83</v>
      </c>
      <c r="D36" s="43" t="s">
        <v>120</v>
      </c>
      <c r="F36" s="6">
        <v>15195.48</v>
      </c>
      <c r="H36" s="1" t="s">
        <v>121</v>
      </c>
    </row>
    <row r="37" spans="2:8" ht="14.4" x14ac:dyDescent="0.3">
      <c r="B37" s="4">
        <v>46119</v>
      </c>
      <c r="C37" s="43" t="s">
        <v>122</v>
      </c>
      <c r="D37" s="43" t="s">
        <v>122</v>
      </c>
      <c r="F37" s="6">
        <v>209.91</v>
      </c>
      <c r="H37" s="1" t="s">
        <v>123</v>
      </c>
    </row>
    <row r="38" spans="2:8" ht="14.4" x14ac:dyDescent="0.3">
      <c r="B38" s="4">
        <v>46119</v>
      </c>
      <c r="C38" s="43" t="s">
        <v>91</v>
      </c>
      <c r="D38" s="43" t="s">
        <v>91</v>
      </c>
      <c r="F38" s="6">
        <v>175.56</v>
      </c>
      <c r="H38" s="1" t="s">
        <v>77</v>
      </c>
    </row>
    <row r="39" spans="2:8" ht="14.4" x14ac:dyDescent="0.3">
      <c r="B39" s="4">
        <v>46119</v>
      </c>
      <c r="C39" s="43" t="s">
        <v>65</v>
      </c>
      <c r="D39" s="43" t="s">
        <v>66</v>
      </c>
      <c r="F39" s="6">
        <v>11293.32</v>
      </c>
      <c r="H39" s="1" t="s">
        <v>124</v>
      </c>
    </row>
    <row r="40" spans="2:8" ht="14.4" x14ac:dyDescent="0.3">
      <c r="B40" s="4">
        <v>46119</v>
      </c>
      <c r="C40" s="43" t="s">
        <v>104</v>
      </c>
      <c r="D40" s="43" t="s">
        <v>66</v>
      </c>
      <c r="F40" s="6">
        <v>1467.91</v>
      </c>
      <c r="H40" s="1" t="s">
        <v>125</v>
      </c>
    </row>
    <row r="41" spans="2:8" ht="14.4" x14ac:dyDescent="0.3">
      <c r="B41" s="4">
        <v>46119</v>
      </c>
      <c r="C41" s="43" t="s">
        <v>103</v>
      </c>
      <c r="D41" s="43" t="s">
        <v>66</v>
      </c>
      <c r="F41" s="6">
        <v>2959.83</v>
      </c>
      <c r="H41" s="1" t="s">
        <v>65</v>
      </c>
    </row>
    <row r="42" spans="2:8" ht="14.4" x14ac:dyDescent="0.3">
      <c r="B42" s="4">
        <v>46119</v>
      </c>
      <c r="C42" s="43" t="s">
        <v>126</v>
      </c>
      <c r="D42" s="43" t="s">
        <v>66</v>
      </c>
      <c r="F42" s="6">
        <v>901.91</v>
      </c>
      <c r="H42" s="1" t="s">
        <v>127</v>
      </c>
    </row>
    <row r="43" spans="2:8" ht="14.4" x14ac:dyDescent="0.3">
      <c r="B43" s="4">
        <v>46119</v>
      </c>
      <c r="C43" s="43" t="s">
        <v>28</v>
      </c>
      <c r="D43" s="43" t="s">
        <v>72</v>
      </c>
      <c r="E43" s="6">
        <v>13000</v>
      </c>
      <c r="F43" s="6">
        <v>0</v>
      </c>
      <c r="H43" s="1" t="s">
        <v>128</v>
      </c>
    </row>
    <row r="44" spans="2:8" ht="14.4" x14ac:dyDescent="0.3">
      <c r="B44" s="4">
        <v>46119</v>
      </c>
      <c r="C44" s="43" t="s">
        <v>129</v>
      </c>
      <c r="D44" s="43" t="s">
        <v>130</v>
      </c>
      <c r="F44" s="6">
        <v>4390</v>
      </c>
      <c r="H44" s="1" t="s">
        <v>95</v>
      </c>
    </row>
    <row r="45" spans="2:8" ht="14.4" x14ac:dyDescent="0.3">
      <c r="B45" s="4">
        <v>46119</v>
      </c>
      <c r="C45" s="43" t="s">
        <v>131</v>
      </c>
      <c r="D45" s="43" t="s">
        <v>131</v>
      </c>
      <c r="F45" s="6">
        <v>247.89</v>
      </c>
      <c r="H45" s="1" t="s">
        <v>132</v>
      </c>
    </row>
    <row r="46" spans="2:8" ht="14.4" x14ac:dyDescent="0.3">
      <c r="B46" s="4">
        <v>46120</v>
      </c>
      <c r="C46" s="43" t="s">
        <v>88</v>
      </c>
      <c r="D46" s="43" t="s">
        <v>88</v>
      </c>
      <c r="F46" s="6">
        <v>826.7</v>
      </c>
      <c r="H46" s="1" t="s">
        <v>105</v>
      </c>
    </row>
    <row r="47" spans="2:8" ht="14.4" x14ac:dyDescent="0.3">
      <c r="B47" s="4">
        <v>46120</v>
      </c>
      <c r="C47" s="43" t="s">
        <v>131</v>
      </c>
      <c r="D47" s="43" t="s">
        <v>131</v>
      </c>
      <c r="F47" s="6">
        <v>80.73</v>
      </c>
      <c r="H47" s="1" t="s">
        <v>133</v>
      </c>
    </row>
    <row r="48" spans="2:8" ht="14.4" x14ac:dyDescent="0.3">
      <c r="B48" s="4">
        <v>46120</v>
      </c>
      <c r="C48" s="43" t="s">
        <v>127</v>
      </c>
      <c r="D48" s="43" t="s">
        <v>66</v>
      </c>
      <c r="F48" s="6">
        <v>608.92999999999995</v>
      </c>
      <c r="H48" s="1" t="s">
        <v>62</v>
      </c>
    </row>
    <row r="49" spans="2:8" ht="14.4" x14ac:dyDescent="0.3">
      <c r="B49" s="4">
        <v>46120</v>
      </c>
      <c r="C49" s="43" t="s">
        <v>68</v>
      </c>
      <c r="D49" s="43" t="s">
        <v>66</v>
      </c>
      <c r="F49" s="6">
        <v>1033.08</v>
      </c>
      <c r="H49" s="1" t="s">
        <v>134</v>
      </c>
    </row>
    <row r="50" spans="2:8" ht="14.4" x14ac:dyDescent="0.3">
      <c r="B50" s="4">
        <v>46120</v>
      </c>
      <c r="C50" s="43" t="s">
        <v>103</v>
      </c>
      <c r="D50" s="43" t="s">
        <v>101</v>
      </c>
      <c r="F50" s="6">
        <v>2959.84</v>
      </c>
      <c r="H50" s="1" t="s">
        <v>135</v>
      </c>
    </row>
    <row r="51" spans="2:8" ht="14.4" x14ac:dyDescent="0.3">
      <c r="B51" s="4">
        <v>46120</v>
      </c>
      <c r="C51" s="43" t="s">
        <v>110</v>
      </c>
      <c r="D51" s="43" t="s">
        <v>66</v>
      </c>
      <c r="F51" s="6">
        <v>868.28</v>
      </c>
      <c r="H51" s="1" t="s">
        <v>136</v>
      </c>
    </row>
    <row r="52" spans="2:8" ht="14.4" x14ac:dyDescent="0.3">
      <c r="B52" s="4">
        <v>46120</v>
      </c>
      <c r="C52" s="43" t="s">
        <v>65</v>
      </c>
      <c r="D52" s="43" t="s">
        <v>66</v>
      </c>
      <c r="F52" s="6">
        <v>6984.26</v>
      </c>
      <c r="H52" s="1" t="s">
        <v>131</v>
      </c>
    </row>
    <row r="53" spans="2:8" ht="14.4" x14ac:dyDescent="0.3">
      <c r="B53" s="4">
        <v>46120</v>
      </c>
      <c r="C53" s="43" t="s">
        <v>64</v>
      </c>
      <c r="D53" s="43" t="s">
        <v>66</v>
      </c>
      <c r="F53" s="6">
        <v>1874.61</v>
      </c>
      <c r="H53" s="1" t="s">
        <v>59</v>
      </c>
    </row>
    <row r="54" spans="2:8" ht="14.4" x14ac:dyDescent="0.3">
      <c r="B54" s="4">
        <v>46120</v>
      </c>
      <c r="C54" s="43" t="s">
        <v>83</v>
      </c>
      <c r="D54" s="43" t="s">
        <v>130</v>
      </c>
      <c r="F54" s="6">
        <v>2000</v>
      </c>
      <c r="H54" s="1" t="s">
        <v>137</v>
      </c>
    </row>
    <row r="55" spans="2:8" ht="14.4" x14ac:dyDescent="0.3">
      <c r="B55" s="4">
        <v>46120</v>
      </c>
      <c r="C55" s="43" t="s">
        <v>83</v>
      </c>
      <c r="D55" s="43" t="s">
        <v>84</v>
      </c>
      <c r="F55" s="6">
        <v>800</v>
      </c>
      <c r="H55" s="1" t="s">
        <v>138</v>
      </c>
    </row>
    <row r="56" spans="2:8" ht="14.4" x14ac:dyDescent="0.3">
      <c r="B56" s="4">
        <v>46120</v>
      </c>
      <c r="C56" s="43" t="s">
        <v>83</v>
      </c>
      <c r="D56" s="43" t="s">
        <v>139</v>
      </c>
      <c r="F56" s="6">
        <v>903.07</v>
      </c>
      <c r="H56" s="1" t="s">
        <v>140</v>
      </c>
    </row>
    <row r="57" spans="2:8" ht="14.4" x14ac:dyDescent="0.3">
      <c r="B57" s="4">
        <v>46120</v>
      </c>
      <c r="C57" s="43" t="s">
        <v>28</v>
      </c>
      <c r="D57" s="43" t="s">
        <v>141</v>
      </c>
      <c r="F57" s="6">
        <v>19567.97</v>
      </c>
      <c r="H57" s="1" t="s">
        <v>103</v>
      </c>
    </row>
    <row r="58" spans="2:8" ht="14.4" x14ac:dyDescent="0.3">
      <c r="B58" s="14">
        <v>46121</v>
      </c>
      <c r="C58" s="43" t="s">
        <v>28</v>
      </c>
      <c r="D58" s="43" t="s">
        <v>74</v>
      </c>
      <c r="F58" s="6">
        <v>19.57</v>
      </c>
      <c r="H58" s="1" t="s">
        <v>110</v>
      </c>
    </row>
    <row r="59" spans="2:8" ht="14.4" x14ac:dyDescent="0.3">
      <c r="B59" s="14">
        <v>46121</v>
      </c>
      <c r="C59" s="43" t="s">
        <v>110</v>
      </c>
      <c r="D59" s="43" t="s">
        <v>66</v>
      </c>
      <c r="F59" s="6">
        <v>1560.58</v>
      </c>
      <c r="H59" s="1" t="s">
        <v>142</v>
      </c>
    </row>
    <row r="60" spans="2:8" ht="14.4" x14ac:dyDescent="0.3">
      <c r="B60" s="14">
        <v>46121</v>
      </c>
      <c r="C60" s="43" t="s">
        <v>133</v>
      </c>
      <c r="D60" s="43" t="s">
        <v>143</v>
      </c>
      <c r="F60" s="6">
        <v>239.9</v>
      </c>
      <c r="H60" s="1" t="s">
        <v>144</v>
      </c>
    </row>
    <row r="61" spans="2:8" ht="14.4" x14ac:dyDescent="0.3">
      <c r="B61" s="14">
        <v>46121</v>
      </c>
      <c r="C61" s="43" t="s">
        <v>102</v>
      </c>
      <c r="D61" s="43" t="s">
        <v>63</v>
      </c>
      <c r="F61" s="6">
        <v>166.86</v>
      </c>
      <c r="H61" s="1" t="s">
        <v>145</v>
      </c>
    </row>
    <row r="62" spans="2:8" ht="14.4" x14ac:dyDescent="0.3">
      <c r="B62" s="14">
        <v>46121</v>
      </c>
      <c r="C62" s="43" t="s">
        <v>83</v>
      </c>
      <c r="D62" s="43" t="s">
        <v>146</v>
      </c>
      <c r="F62" s="6">
        <v>10872.76</v>
      </c>
      <c r="H62" s="1" t="s">
        <v>67</v>
      </c>
    </row>
    <row r="63" spans="2:8" ht="14.4" x14ac:dyDescent="0.3">
      <c r="B63" s="14">
        <v>46121</v>
      </c>
      <c r="C63" s="43" t="s">
        <v>28</v>
      </c>
      <c r="D63" s="43" t="s">
        <v>147</v>
      </c>
      <c r="F63" s="6">
        <v>1000</v>
      </c>
      <c r="H63" s="1" t="s">
        <v>122</v>
      </c>
    </row>
    <row r="64" spans="2:8" ht="14.4" x14ac:dyDescent="0.3">
      <c r="B64" s="4">
        <v>46122</v>
      </c>
      <c r="C64" s="43" t="s">
        <v>148</v>
      </c>
      <c r="D64" s="43" t="s">
        <v>149</v>
      </c>
      <c r="F64" s="6">
        <v>170.61</v>
      </c>
      <c r="H64" s="1" t="s">
        <v>150</v>
      </c>
    </row>
    <row r="65" spans="2:8" ht="14.4" x14ac:dyDescent="0.3">
      <c r="B65" s="4">
        <v>46122</v>
      </c>
      <c r="C65" s="43" t="s">
        <v>135</v>
      </c>
      <c r="D65" s="43" t="s">
        <v>151</v>
      </c>
      <c r="F65" s="6">
        <v>705.21</v>
      </c>
      <c r="H65" s="1" t="s">
        <v>28</v>
      </c>
    </row>
    <row r="66" spans="2:8" ht="14.4" x14ac:dyDescent="0.3">
      <c r="B66" s="4">
        <v>46122</v>
      </c>
      <c r="C66" s="43" t="s">
        <v>28</v>
      </c>
      <c r="D66" s="43" t="s">
        <v>74</v>
      </c>
      <c r="F66" s="6">
        <v>53.76</v>
      </c>
      <c r="H66" s="1" t="s">
        <v>126</v>
      </c>
    </row>
    <row r="67" spans="2:8" ht="14.4" x14ac:dyDescent="0.3">
      <c r="B67" s="4">
        <v>46122</v>
      </c>
      <c r="C67" s="43" t="s">
        <v>97</v>
      </c>
      <c r="D67" s="43" t="s">
        <v>152</v>
      </c>
      <c r="F67" s="6">
        <v>5466.28</v>
      </c>
      <c r="H67" s="1" t="s">
        <v>153</v>
      </c>
    </row>
    <row r="68" spans="2:8" ht="14.4" x14ac:dyDescent="0.3">
      <c r="B68" s="4">
        <v>46122</v>
      </c>
      <c r="C68" s="43" t="s">
        <v>111</v>
      </c>
      <c r="D68" s="43" t="s">
        <v>66</v>
      </c>
      <c r="F68" s="6">
        <v>3496</v>
      </c>
      <c r="H68" s="1" t="s">
        <v>79</v>
      </c>
    </row>
    <row r="69" spans="2:8" ht="14.4" x14ac:dyDescent="0.3">
      <c r="B69" s="4">
        <v>46122</v>
      </c>
      <c r="C69" s="43" t="s">
        <v>109</v>
      </c>
      <c r="D69" s="43" t="s">
        <v>66</v>
      </c>
      <c r="F69" s="6">
        <v>144</v>
      </c>
      <c r="H69" s="1" t="s">
        <v>89</v>
      </c>
    </row>
    <row r="70" spans="2:8" ht="14.4" x14ac:dyDescent="0.3">
      <c r="B70" s="4">
        <v>46122</v>
      </c>
      <c r="C70" s="43" t="s">
        <v>98</v>
      </c>
      <c r="D70" s="43" t="s">
        <v>63</v>
      </c>
      <c r="F70" s="6">
        <v>123.62</v>
      </c>
      <c r="H70" s="1" t="s">
        <v>98</v>
      </c>
    </row>
    <row r="71" spans="2:8" ht="14.4" x14ac:dyDescent="0.3">
      <c r="B71" s="4">
        <v>46122</v>
      </c>
      <c r="C71" s="43" t="s">
        <v>154</v>
      </c>
      <c r="D71" s="43" t="s">
        <v>155</v>
      </c>
      <c r="F71" s="6">
        <v>3432.87</v>
      </c>
      <c r="H71" s="1" t="s">
        <v>111</v>
      </c>
    </row>
    <row r="72" spans="2:8" ht="14.4" x14ac:dyDescent="0.3">
      <c r="B72" s="4">
        <v>46122</v>
      </c>
      <c r="C72" s="43" t="s">
        <v>142</v>
      </c>
      <c r="D72" s="43" t="s">
        <v>63</v>
      </c>
      <c r="F72" s="6">
        <v>728.25</v>
      </c>
      <c r="H72" s="1" t="s">
        <v>148</v>
      </c>
    </row>
    <row r="73" spans="2:8" ht="14.4" x14ac:dyDescent="0.3">
      <c r="B73" s="4">
        <v>46122</v>
      </c>
      <c r="C73" s="43" t="s">
        <v>156</v>
      </c>
      <c r="D73" s="43" t="s">
        <v>63</v>
      </c>
      <c r="F73" s="6">
        <v>1200</v>
      </c>
      <c r="H73" s="1" t="s">
        <v>87</v>
      </c>
    </row>
    <row r="74" spans="2:8" ht="14.4" x14ac:dyDescent="0.3">
      <c r="B74" s="4">
        <v>46122</v>
      </c>
      <c r="C74" s="43" t="s">
        <v>109</v>
      </c>
      <c r="D74" s="43" t="s">
        <v>114</v>
      </c>
      <c r="F74" s="6">
        <v>400</v>
      </c>
      <c r="H74" s="1" t="s">
        <v>69</v>
      </c>
    </row>
    <row r="75" spans="2:8" ht="14.4" x14ac:dyDescent="0.3">
      <c r="B75" s="4">
        <v>46122</v>
      </c>
      <c r="C75" s="43" t="s">
        <v>83</v>
      </c>
      <c r="D75" s="43" t="s">
        <v>84</v>
      </c>
      <c r="F75" s="6">
        <v>720</v>
      </c>
      <c r="H75" s="1" t="s">
        <v>129</v>
      </c>
    </row>
    <row r="76" spans="2:8" ht="14.4" x14ac:dyDescent="0.3">
      <c r="B76" s="4">
        <v>46122</v>
      </c>
      <c r="C76" s="43" t="s">
        <v>109</v>
      </c>
      <c r="D76" s="43" t="s">
        <v>114</v>
      </c>
      <c r="F76" s="6">
        <v>440</v>
      </c>
      <c r="H76" s="1" t="s">
        <v>157</v>
      </c>
    </row>
    <row r="77" spans="2:8" ht="14.4" x14ac:dyDescent="0.3">
      <c r="B77" s="4">
        <v>46122</v>
      </c>
      <c r="C77" s="43" t="s">
        <v>83</v>
      </c>
      <c r="D77" s="43" t="s">
        <v>146</v>
      </c>
      <c r="F77" s="6">
        <v>3260.93</v>
      </c>
      <c r="H77" s="1" t="s">
        <v>158</v>
      </c>
    </row>
    <row r="78" spans="2:8" ht="14.4" x14ac:dyDescent="0.3">
      <c r="B78" s="4">
        <v>46125</v>
      </c>
      <c r="C78" s="43" t="s">
        <v>28</v>
      </c>
      <c r="D78" s="43" t="s">
        <v>159</v>
      </c>
      <c r="F78" s="6">
        <v>36108.1</v>
      </c>
      <c r="H78" s="1" t="s">
        <v>160</v>
      </c>
    </row>
    <row r="79" spans="2:8" ht="14.4" x14ac:dyDescent="0.3">
      <c r="B79" s="4">
        <v>46125</v>
      </c>
      <c r="C79" s="43" t="s">
        <v>28</v>
      </c>
      <c r="D79" s="43" t="s">
        <v>161</v>
      </c>
      <c r="F79" s="6">
        <v>9266.66</v>
      </c>
      <c r="H79" s="1" t="s">
        <v>162</v>
      </c>
    </row>
    <row r="80" spans="2:8" ht="14.4" x14ac:dyDescent="0.3">
      <c r="B80" s="4">
        <v>46126</v>
      </c>
      <c r="C80" s="43" t="s">
        <v>28</v>
      </c>
      <c r="D80" s="43" t="s">
        <v>74</v>
      </c>
      <c r="F80" s="6">
        <v>6.67</v>
      </c>
      <c r="H80" s="1" t="s">
        <v>163</v>
      </c>
    </row>
    <row r="81" spans="2:8" ht="14.4" x14ac:dyDescent="0.3">
      <c r="B81" s="4">
        <v>46126</v>
      </c>
      <c r="C81" s="43" t="s">
        <v>124</v>
      </c>
      <c r="D81" s="43" t="s">
        <v>66</v>
      </c>
      <c r="F81" s="6">
        <v>9144.36</v>
      </c>
      <c r="H81" s="1" t="s">
        <v>164</v>
      </c>
    </row>
    <row r="82" spans="2:8" ht="14.4" x14ac:dyDescent="0.3">
      <c r="B82" s="4">
        <v>46126</v>
      </c>
      <c r="C82" s="43" t="s">
        <v>65</v>
      </c>
      <c r="D82" s="43" t="s">
        <v>66</v>
      </c>
      <c r="F82" s="6">
        <v>14541.68</v>
      </c>
      <c r="H82" s="1"/>
    </row>
    <row r="83" spans="2:8" ht="14.4" x14ac:dyDescent="0.3">
      <c r="B83" s="4">
        <v>46126</v>
      </c>
      <c r="C83" s="43" t="s">
        <v>64</v>
      </c>
      <c r="D83" s="43" t="s">
        <v>66</v>
      </c>
      <c r="F83" s="6">
        <v>3407.79</v>
      </c>
      <c r="H83" s="1"/>
    </row>
    <row r="84" spans="2:8" ht="14.4" x14ac:dyDescent="0.3">
      <c r="B84" s="4">
        <v>46126</v>
      </c>
      <c r="C84" s="43" t="s">
        <v>116</v>
      </c>
      <c r="D84" s="43" t="s">
        <v>165</v>
      </c>
      <c r="F84" s="6">
        <v>2380.69</v>
      </c>
      <c r="H84" s="1"/>
    </row>
    <row r="85" spans="2:8" ht="14.4" x14ac:dyDescent="0.3">
      <c r="B85" s="4">
        <v>46126</v>
      </c>
      <c r="C85" s="43" t="s">
        <v>144</v>
      </c>
      <c r="D85" s="43" t="s">
        <v>165</v>
      </c>
      <c r="F85" s="6">
        <v>1089.33</v>
      </c>
      <c r="H85" s="1"/>
    </row>
    <row r="86" spans="2:8" ht="14.4" x14ac:dyDescent="0.3">
      <c r="B86" s="4">
        <v>46126</v>
      </c>
      <c r="C86" s="43" t="s">
        <v>154</v>
      </c>
      <c r="D86" s="43" t="s">
        <v>155</v>
      </c>
      <c r="F86" s="6">
        <v>3525.83</v>
      </c>
      <c r="H86" s="1"/>
    </row>
    <row r="87" spans="2:8" ht="14.4" x14ac:dyDescent="0.3">
      <c r="B87" s="4">
        <v>46126</v>
      </c>
      <c r="C87" s="43" t="s">
        <v>121</v>
      </c>
      <c r="D87" s="43" t="s">
        <v>66</v>
      </c>
      <c r="F87" s="6">
        <v>1801.21</v>
      </c>
      <c r="H87" s="1"/>
    </row>
    <row r="88" spans="2:8" ht="14.4" x14ac:dyDescent="0.3">
      <c r="B88" s="4">
        <v>46126</v>
      </c>
      <c r="C88" s="43" t="s">
        <v>166</v>
      </c>
      <c r="D88" s="43" t="s">
        <v>66</v>
      </c>
      <c r="F88" s="6">
        <v>8778.98</v>
      </c>
      <c r="H88" s="1"/>
    </row>
    <row r="89" spans="2:8" ht="14.4" x14ac:dyDescent="0.3">
      <c r="B89" s="4">
        <v>46126</v>
      </c>
      <c r="C89" s="43" t="s">
        <v>103</v>
      </c>
      <c r="D89" s="43" t="s">
        <v>101</v>
      </c>
      <c r="F89" s="6">
        <v>3030.85</v>
      </c>
    </row>
    <row r="90" spans="2:8" ht="14.4" x14ac:dyDescent="0.3">
      <c r="B90" s="4">
        <v>46126</v>
      </c>
      <c r="C90" s="43" t="s">
        <v>127</v>
      </c>
      <c r="D90" s="43" t="s">
        <v>66</v>
      </c>
      <c r="F90" s="6">
        <v>2445.6999999999998</v>
      </c>
    </row>
    <row r="91" spans="2:8" ht="14.4" x14ac:dyDescent="0.3">
      <c r="B91" s="4">
        <v>46126</v>
      </c>
      <c r="C91" s="43" t="s">
        <v>95</v>
      </c>
      <c r="D91" s="43" t="s">
        <v>66</v>
      </c>
      <c r="F91" s="6">
        <v>1260.79</v>
      </c>
    </row>
    <row r="92" spans="2:8" ht="14.4" x14ac:dyDescent="0.3">
      <c r="B92" s="4">
        <v>46126</v>
      </c>
      <c r="C92" s="43" t="s">
        <v>104</v>
      </c>
      <c r="D92" s="43" t="s">
        <v>66</v>
      </c>
      <c r="F92" s="6">
        <v>2504.25</v>
      </c>
    </row>
    <row r="93" spans="2:8" ht="14.4" x14ac:dyDescent="0.3">
      <c r="B93" s="4">
        <v>46126</v>
      </c>
      <c r="C93" s="43" t="s">
        <v>109</v>
      </c>
      <c r="D93" s="43" t="s">
        <v>66</v>
      </c>
      <c r="F93" s="6">
        <v>4470</v>
      </c>
    </row>
    <row r="94" spans="2:8" ht="14.4" x14ac:dyDescent="0.3">
      <c r="B94" s="4">
        <v>46126</v>
      </c>
      <c r="C94" s="43" t="s">
        <v>99</v>
      </c>
      <c r="D94" s="43" t="s">
        <v>130</v>
      </c>
      <c r="F94" s="6">
        <v>1300</v>
      </c>
    </row>
    <row r="95" spans="2:8" ht="14.4" x14ac:dyDescent="0.3">
      <c r="B95" s="4">
        <v>46126</v>
      </c>
      <c r="C95" s="43" t="s">
        <v>167</v>
      </c>
      <c r="D95" s="43" t="s">
        <v>159</v>
      </c>
      <c r="F95" s="6">
        <v>12</v>
      </c>
    </row>
    <row r="96" spans="2:8" ht="14.4" x14ac:dyDescent="0.3">
      <c r="B96" s="4">
        <v>46126</v>
      </c>
      <c r="C96" s="43" t="s">
        <v>113</v>
      </c>
      <c r="D96" s="43" t="s">
        <v>168</v>
      </c>
      <c r="F96" s="6">
        <v>145.99</v>
      </c>
    </row>
    <row r="97" spans="2:6" ht="14.4" x14ac:dyDescent="0.3">
      <c r="B97" s="4">
        <v>46126</v>
      </c>
      <c r="C97" s="43" t="s">
        <v>150</v>
      </c>
      <c r="D97" s="43" t="s">
        <v>159</v>
      </c>
      <c r="F97" s="6">
        <v>621.67999999999995</v>
      </c>
    </row>
    <row r="98" spans="2:6" ht="14.4" x14ac:dyDescent="0.3">
      <c r="B98" s="4">
        <v>46127</v>
      </c>
      <c r="C98" s="43" t="s">
        <v>96</v>
      </c>
      <c r="D98" s="43" t="s">
        <v>169</v>
      </c>
      <c r="F98" s="6">
        <v>222.23</v>
      </c>
    </row>
    <row r="99" spans="2:6" ht="14.4" x14ac:dyDescent="0.3">
      <c r="B99" s="4">
        <v>46127</v>
      </c>
      <c r="C99" s="43" t="s">
        <v>123</v>
      </c>
      <c r="D99" s="43" t="s">
        <v>63</v>
      </c>
      <c r="F99" s="6">
        <v>1320.66</v>
      </c>
    </row>
    <row r="100" spans="2:6" ht="14.4" x14ac:dyDescent="0.3">
      <c r="B100" s="4">
        <v>46127</v>
      </c>
      <c r="C100" s="43" t="s">
        <v>82</v>
      </c>
      <c r="D100" s="43" t="s">
        <v>170</v>
      </c>
      <c r="F100" s="6">
        <v>1680</v>
      </c>
    </row>
    <row r="101" spans="2:6" ht="14.4" x14ac:dyDescent="0.3">
      <c r="B101" s="4">
        <v>46127</v>
      </c>
      <c r="C101" s="43" t="s">
        <v>145</v>
      </c>
      <c r="D101" s="43" t="s">
        <v>171</v>
      </c>
      <c r="F101" s="6">
        <v>150</v>
      </c>
    </row>
    <row r="102" spans="2:6" ht="14.4" x14ac:dyDescent="0.3">
      <c r="B102" s="4">
        <v>46128</v>
      </c>
      <c r="C102" s="43" t="s">
        <v>140</v>
      </c>
      <c r="D102" s="43" t="s">
        <v>66</v>
      </c>
      <c r="F102" s="6">
        <v>3806.08</v>
      </c>
    </row>
    <row r="103" spans="2:6" ht="14.4" x14ac:dyDescent="0.3">
      <c r="B103" s="4">
        <v>46128</v>
      </c>
      <c r="C103" s="43" t="s">
        <v>103</v>
      </c>
      <c r="D103" s="43" t="s">
        <v>101</v>
      </c>
      <c r="F103" s="6">
        <v>2454.98</v>
      </c>
    </row>
    <row r="104" spans="2:6" ht="14.4" x14ac:dyDescent="0.3">
      <c r="B104" s="4">
        <v>46128</v>
      </c>
      <c r="C104" s="43" t="s">
        <v>32</v>
      </c>
      <c r="D104" s="43" t="s">
        <v>159</v>
      </c>
      <c r="F104" s="6">
        <v>38</v>
      </c>
    </row>
    <row r="105" spans="2:6" ht="14.4" x14ac:dyDescent="0.3">
      <c r="B105" s="4">
        <v>46128</v>
      </c>
      <c r="C105" s="43" t="s">
        <v>64</v>
      </c>
      <c r="D105" s="43" t="s">
        <v>66</v>
      </c>
      <c r="F105" s="6">
        <v>2809.99</v>
      </c>
    </row>
    <row r="106" spans="2:6" ht="14.4" x14ac:dyDescent="0.3">
      <c r="B106" s="4">
        <v>46128</v>
      </c>
      <c r="C106" s="43" t="s">
        <v>86</v>
      </c>
      <c r="D106" s="43" t="s">
        <v>172</v>
      </c>
      <c r="F106" s="6">
        <v>152.93</v>
      </c>
    </row>
    <row r="107" spans="2:6" ht="14.4" x14ac:dyDescent="0.3">
      <c r="B107" s="4">
        <v>46128</v>
      </c>
      <c r="C107" s="43" t="s">
        <v>112</v>
      </c>
      <c r="D107" s="43" t="s">
        <v>173</v>
      </c>
      <c r="F107" s="6">
        <v>3664.04</v>
      </c>
    </row>
    <row r="108" spans="2:6" ht="14.4" x14ac:dyDescent="0.3">
      <c r="B108" s="4">
        <v>46128</v>
      </c>
      <c r="C108" s="43" t="s">
        <v>123</v>
      </c>
      <c r="D108" s="43" t="s">
        <v>63</v>
      </c>
      <c r="F108" s="6">
        <v>896.61</v>
      </c>
    </row>
    <row r="109" spans="2:6" ht="14.4" x14ac:dyDescent="0.3">
      <c r="B109" s="4">
        <v>46128</v>
      </c>
      <c r="C109" s="43" t="s">
        <v>76</v>
      </c>
      <c r="D109" s="43" t="s">
        <v>159</v>
      </c>
      <c r="F109" s="6">
        <v>536.58000000000004</v>
      </c>
    </row>
    <row r="110" spans="2:6" ht="14.4" x14ac:dyDescent="0.3">
      <c r="B110" s="4">
        <v>46128</v>
      </c>
      <c r="C110" s="43" t="s">
        <v>61</v>
      </c>
      <c r="D110" s="43" t="s">
        <v>174</v>
      </c>
      <c r="F110" s="6">
        <v>4498.9399999999996</v>
      </c>
    </row>
    <row r="111" spans="2:6" ht="14.4" x14ac:dyDescent="0.3">
      <c r="B111" s="4">
        <v>46128</v>
      </c>
      <c r="C111" s="43" t="s">
        <v>136</v>
      </c>
      <c r="D111" s="43" t="s">
        <v>170</v>
      </c>
      <c r="F111" s="6">
        <v>315</v>
      </c>
    </row>
    <row r="112" spans="2:6" ht="14.4" x14ac:dyDescent="0.3">
      <c r="B112" s="4">
        <v>46128</v>
      </c>
      <c r="C112" s="43" t="s">
        <v>102</v>
      </c>
      <c r="D112" s="43" t="s">
        <v>63</v>
      </c>
      <c r="F112" s="6">
        <v>91.17</v>
      </c>
    </row>
    <row r="113" spans="2:6" ht="14.4" x14ac:dyDescent="0.3">
      <c r="B113" s="4">
        <v>46128</v>
      </c>
      <c r="C113" s="43" t="s">
        <v>107</v>
      </c>
      <c r="D113" s="43" t="s">
        <v>66</v>
      </c>
      <c r="F113" s="6">
        <v>13953.27</v>
      </c>
    </row>
    <row r="114" spans="2:6" ht="14.4" x14ac:dyDescent="0.3">
      <c r="B114" s="4">
        <v>46128</v>
      </c>
      <c r="C114" s="43" t="s">
        <v>67</v>
      </c>
      <c r="D114" s="43" t="s">
        <v>63</v>
      </c>
      <c r="F114" s="6">
        <v>130.5</v>
      </c>
    </row>
    <row r="115" spans="2:6" ht="14.4" x14ac:dyDescent="0.3">
      <c r="B115" s="4">
        <v>46128</v>
      </c>
      <c r="C115" s="43" t="s">
        <v>65</v>
      </c>
      <c r="D115" s="43" t="s">
        <v>66</v>
      </c>
      <c r="F115" s="6">
        <v>5916.4</v>
      </c>
    </row>
    <row r="116" spans="2:6" ht="14.4" x14ac:dyDescent="0.3">
      <c r="B116" s="4">
        <v>46128</v>
      </c>
      <c r="C116" s="43" t="s">
        <v>115</v>
      </c>
      <c r="D116" s="43" t="s">
        <v>108</v>
      </c>
      <c r="F116" s="6">
        <v>13391.92</v>
      </c>
    </row>
    <row r="117" spans="2:6" ht="14.4" x14ac:dyDescent="0.3">
      <c r="B117" s="4">
        <v>46128</v>
      </c>
      <c r="C117" s="43" t="s">
        <v>124</v>
      </c>
      <c r="D117" s="43" t="s">
        <v>66</v>
      </c>
      <c r="F117" s="6">
        <v>826.63</v>
      </c>
    </row>
    <row r="118" spans="2:6" ht="14.4" x14ac:dyDescent="0.3">
      <c r="B118" s="4">
        <v>46128</v>
      </c>
      <c r="C118" s="43" t="s">
        <v>126</v>
      </c>
      <c r="D118" s="43" t="s">
        <v>175</v>
      </c>
      <c r="F118" s="6">
        <v>91.8</v>
      </c>
    </row>
    <row r="119" spans="2:6" ht="14.4" x14ac:dyDescent="0.3">
      <c r="B119" s="4">
        <v>46128</v>
      </c>
      <c r="C119" s="43" t="s">
        <v>133</v>
      </c>
      <c r="D119" s="43" t="s">
        <v>143</v>
      </c>
      <c r="F119" s="6">
        <v>359.29</v>
      </c>
    </row>
    <row r="120" spans="2:6" ht="14.4" x14ac:dyDescent="0.3">
      <c r="B120" s="4">
        <v>46128</v>
      </c>
      <c r="C120" s="43" t="s">
        <v>131</v>
      </c>
      <c r="D120" s="43" t="s">
        <v>131</v>
      </c>
      <c r="F120" s="6">
        <v>7000</v>
      </c>
    </row>
    <row r="121" spans="2:6" ht="14.4" x14ac:dyDescent="0.3">
      <c r="B121" s="4">
        <v>46129</v>
      </c>
      <c r="C121" s="43" t="s">
        <v>28</v>
      </c>
      <c r="D121" s="43" t="s">
        <v>72</v>
      </c>
      <c r="E121" s="6">
        <v>15000</v>
      </c>
      <c r="F121" s="6">
        <v>0</v>
      </c>
    </row>
    <row r="122" spans="2:6" ht="15" customHeight="1" x14ac:dyDescent="0.3">
      <c r="B122" s="4">
        <v>46129</v>
      </c>
      <c r="C122" s="43" t="s">
        <v>157</v>
      </c>
      <c r="D122" s="43" t="s">
        <v>176</v>
      </c>
      <c r="F122" s="6">
        <v>600</v>
      </c>
    </row>
    <row r="123" spans="2:6" ht="15" customHeight="1" x14ac:dyDescent="0.3">
      <c r="B123" s="4">
        <v>46129</v>
      </c>
      <c r="C123" s="43" t="s">
        <v>177</v>
      </c>
      <c r="D123" s="43" t="s">
        <v>178</v>
      </c>
      <c r="F123" s="6">
        <v>3500</v>
      </c>
    </row>
    <row r="124" spans="2:6" ht="15" customHeight="1" x14ac:dyDescent="0.3">
      <c r="B124" s="4">
        <v>46129</v>
      </c>
      <c r="C124" s="43" t="s">
        <v>97</v>
      </c>
      <c r="D124" s="43" t="s">
        <v>179</v>
      </c>
      <c r="F124" s="6">
        <v>92.14</v>
      </c>
    </row>
    <row r="125" spans="2:6" ht="15" customHeight="1" x14ac:dyDescent="0.3">
      <c r="B125" s="4">
        <v>46129</v>
      </c>
      <c r="C125" s="43" t="s">
        <v>83</v>
      </c>
      <c r="D125" s="43" t="s">
        <v>84</v>
      </c>
      <c r="F125" s="6">
        <v>606</v>
      </c>
    </row>
    <row r="126" spans="2:6" ht="15" customHeight="1" x14ac:dyDescent="0.3">
      <c r="B126" s="4">
        <v>46129</v>
      </c>
      <c r="C126" s="43" t="s">
        <v>160</v>
      </c>
      <c r="D126" s="43" t="s">
        <v>63</v>
      </c>
      <c r="F126" s="6">
        <v>2000</v>
      </c>
    </row>
    <row r="127" spans="2:6" ht="15" customHeight="1" x14ac:dyDescent="0.3">
      <c r="B127" s="4">
        <v>46129</v>
      </c>
      <c r="C127" s="43" t="s">
        <v>83</v>
      </c>
      <c r="D127" s="43" t="s">
        <v>84</v>
      </c>
      <c r="F127" s="6">
        <v>106.66</v>
      </c>
    </row>
    <row r="128" spans="2:6" ht="15" customHeight="1" x14ac:dyDescent="0.3">
      <c r="B128" s="4">
        <v>46129</v>
      </c>
      <c r="C128" s="43" t="s">
        <v>162</v>
      </c>
      <c r="D128" s="43" t="s">
        <v>63</v>
      </c>
      <c r="F128" s="6">
        <v>225</v>
      </c>
    </row>
    <row r="129" spans="2:6" ht="15" customHeight="1" x14ac:dyDescent="0.3">
      <c r="B129" s="4">
        <v>46129</v>
      </c>
      <c r="C129" s="43" t="s">
        <v>67</v>
      </c>
      <c r="D129" s="43" t="s">
        <v>63</v>
      </c>
      <c r="F129" s="6">
        <v>50</v>
      </c>
    </row>
    <row r="130" spans="2:6" ht="15" customHeight="1" x14ac:dyDescent="0.3">
      <c r="B130" s="4">
        <v>46132</v>
      </c>
      <c r="C130" s="43" t="s">
        <v>32</v>
      </c>
      <c r="D130" s="43" t="s">
        <v>72</v>
      </c>
      <c r="E130" s="6">
        <v>11000</v>
      </c>
      <c r="F130" s="6">
        <v>0</v>
      </c>
    </row>
    <row r="131" spans="2:6" ht="15" customHeight="1" x14ac:dyDescent="0.3">
      <c r="B131" s="4">
        <v>46132</v>
      </c>
      <c r="C131" s="43" t="s">
        <v>163</v>
      </c>
      <c r="D131" s="43" t="s">
        <v>131</v>
      </c>
      <c r="F131" s="6">
        <v>434.3</v>
      </c>
    </row>
    <row r="132" spans="2:6" ht="15" customHeight="1" x14ac:dyDescent="0.3">
      <c r="B132" s="4">
        <v>46132</v>
      </c>
      <c r="C132" s="43" t="s">
        <v>164</v>
      </c>
      <c r="D132" s="43" t="s">
        <v>180</v>
      </c>
      <c r="E132" s="53"/>
      <c r="F132" s="6">
        <v>8227.7099999999991</v>
      </c>
    </row>
    <row r="133" spans="2:6" ht="15" customHeight="1" x14ac:dyDescent="0.3">
      <c r="B133" s="4">
        <v>46132</v>
      </c>
      <c r="C133" s="43" t="s">
        <v>83</v>
      </c>
      <c r="D133" t="s">
        <v>181</v>
      </c>
      <c r="F133" s="6">
        <v>12428.85</v>
      </c>
    </row>
    <row r="134" spans="2:6" ht="15" customHeight="1" x14ac:dyDescent="0.3">
      <c r="B134" s="4">
        <v>46132</v>
      </c>
      <c r="C134" s="43" t="s">
        <v>134</v>
      </c>
      <c r="D134" s="43" t="s">
        <v>178</v>
      </c>
      <c r="E134" s="53"/>
      <c r="F134" s="6">
        <v>1800</v>
      </c>
    </row>
    <row r="135" spans="2:6" ht="15" customHeight="1" x14ac:dyDescent="0.3">
      <c r="B135" s="4">
        <v>46132</v>
      </c>
      <c r="C135" s="43" t="s">
        <v>145</v>
      </c>
      <c r="D135" s="43" t="s">
        <v>171</v>
      </c>
      <c r="F135" s="6">
        <v>40</v>
      </c>
    </row>
    <row r="136" spans="2:6" ht="15" customHeight="1" x14ac:dyDescent="0.3">
      <c r="B136" s="4">
        <v>46132</v>
      </c>
      <c r="C136" s="43" t="s">
        <v>182</v>
      </c>
      <c r="D136" s="43" t="s">
        <v>182</v>
      </c>
      <c r="E136" s="53"/>
      <c r="F136" s="6">
        <v>2689.59</v>
      </c>
    </row>
    <row r="137" spans="2:6" ht="15" customHeight="1" x14ac:dyDescent="0.3">
      <c r="B137" s="4">
        <v>46132</v>
      </c>
      <c r="C137" s="43" t="s">
        <v>97</v>
      </c>
      <c r="D137" s="43" t="s">
        <v>183</v>
      </c>
      <c r="F137" s="6">
        <v>588.07000000000005</v>
      </c>
    </row>
    <row r="138" spans="2:6" ht="15" customHeight="1" x14ac:dyDescent="0.3">
      <c r="B138" s="4">
        <v>46132</v>
      </c>
      <c r="C138" s="43" t="s">
        <v>184</v>
      </c>
      <c r="D138" s="43" t="s">
        <v>185</v>
      </c>
      <c r="E138" s="53"/>
      <c r="F138" s="6">
        <v>915.59</v>
      </c>
    </row>
    <row r="139" spans="2:6" ht="15" customHeight="1" x14ac:dyDescent="0.3">
      <c r="B139" s="4">
        <v>46132</v>
      </c>
      <c r="C139" s="43" t="s">
        <v>186</v>
      </c>
      <c r="D139" s="43" t="s">
        <v>179</v>
      </c>
      <c r="F139" s="6">
        <v>9757.1299999999992</v>
      </c>
    </row>
    <row r="140" spans="2:6" ht="15" customHeight="1" x14ac:dyDescent="0.3">
      <c r="B140" s="4">
        <v>46132</v>
      </c>
      <c r="C140" s="43" t="s">
        <v>166</v>
      </c>
      <c r="D140" s="43" t="s">
        <v>66</v>
      </c>
      <c r="E140" s="53"/>
      <c r="F140" s="6">
        <v>2027</v>
      </c>
    </row>
    <row r="141" spans="2:6" ht="15" customHeight="1" x14ac:dyDescent="0.3">
      <c r="B141" s="4">
        <v>46132</v>
      </c>
      <c r="C141" s="43" t="s">
        <v>75</v>
      </c>
      <c r="D141" s="43" t="s">
        <v>63</v>
      </c>
      <c r="F141" s="6">
        <v>97.34</v>
      </c>
    </row>
    <row r="142" spans="2:6" ht="15" customHeight="1" x14ac:dyDescent="0.3">
      <c r="B142" s="4">
        <v>46132</v>
      </c>
      <c r="C142" s="43" t="s">
        <v>187</v>
      </c>
      <c r="D142" s="43" t="s">
        <v>63</v>
      </c>
      <c r="E142" s="53"/>
      <c r="F142" s="6">
        <v>127</v>
      </c>
    </row>
    <row r="143" spans="2:6" ht="15" customHeight="1" x14ac:dyDescent="0.3">
      <c r="B143" s="4">
        <v>46132</v>
      </c>
      <c r="C143" s="43" t="s">
        <v>64</v>
      </c>
      <c r="D143" s="43" t="s">
        <v>66</v>
      </c>
      <c r="F143" s="6">
        <v>1359.21</v>
      </c>
    </row>
    <row r="144" spans="2:6" ht="15" customHeight="1" x14ac:dyDescent="0.3">
      <c r="B144" s="4">
        <v>46132</v>
      </c>
      <c r="C144" s="43" t="s">
        <v>65</v>
      </c>
      <c r="D144" s="43" t="s">
        <v>66</v>
      </c>
      <c r="E144" s="53"/>
      <c r="F144" s="6">
        <v>7349.56</v>
      </c>
    </row>
    <row r="145" spans="2:6" ht="15" customHeight="1" x14ac:dyDescent="0.3">
      <c r="B145" s="4">
        <v>46132</v>
      </c>
      <c r="C145" s="43" t="s">
        <v>188</v>
      </c>
      <c r="D145" s="43" t="s">
        <v>189</v>
      </c>
      <c r="E145" s="53"/>
      <c r="F145" s="6">
        <v>3994</v>
      </c>
    </row>
    <row r="146" spans="2:6" ht="15" customHeight="1" x14ac:dyDescent="0.3">
      <c r="B146" s="4">
        <v>46132</v>
      </c>
      <c r="C146" s="43" t="s">
        <v>127</v>
      </c>
      <c r="D146" s="43" t="s">
        <v>66</v>
      </c>
      <c r="F146" s="6">
        <v>6114.45</v>
      </c>
    </row>
    <row r="147" spans="2:6" ht="15" customHeight="1" x14ac:dyDescent="0.3">
      <c r="B147" s="4">
        <v>46132</v>
      </c>
      <c r="C147" s="43" t="s">
        <v>100</v>
      </c>
      <c r="D147" s="43" t="s">
        <v>101</v>
      </c>
      <c r="E147" s="53"/>
      <c r="F147" s="6">
        <v>534.5</v>
      </c>
    </row>
    <row r="148" spans="2:6" ht="15" customHeight="1" x14ac:dyDescent="0.3">
      <c r="B148" s="4">
        <v>46132</v>
      </c>
      <c r="C148" s="43" t="s">
        <v>97</v>
      </c>
      <c r="D148" s="43" t="s">
        <v>190</v>
      </c>
      <c r="E148" s="53"/>
      <c r="F148" s="6">
        <v>470.46</v>
      </c>
    </row>
    <row r="149" spans="2:6" ht="15" customHeight="1" x14ac:dyDescent="0.3">
      <c r="B149" s="4">
        <v>46132</v>
      </c>
      <c r="C149" s="43" t="s">
        <v>191</v>
      </c>
      <c r="D149" s="43" t="s">
        <v>192</v>
      </c>
      <c r="F149" s="6">
        <v>1128</v>
      </c>
    </row>
    <row r="150" spans="2:6" ht="15" customHeight="1" x14ac:dyDescent="0.3">
      <c r="B150" s="4">
        <v>46132</v>
      </c>
      <c r="C150" s="43" t="s">
        <v>193</v>
      </c>
      <c r="D150" s="43" t="s">
        <v>66</v>
      </c>
      <c r="E150" s="53"/>
      <c r="F150" s="6">
        <v>5906.64</v>
      </c>
    </row>
    <row r="151" spans="2:6" ht="15" customHeight="1" x14ac:dyDescent="0.3">
      <c r="B151" s="4">
        <v>46132</v>
      </c>
      <c r="C151" s="43" t="s">
        <v>194</v>
      </c>
      <c r="D151" s="43" t="s">
        <v>195</v>
      </c>
      <c r="E151" s="53"/>
      <c r="F151" s="6">
        <v>311.5</v>
      </c>
    </row>
    <row r="152" spans="2:6" ht="15" customHeight="1" x14ac:dyDescent="0.3">
      <c r="B152" s="4">
        <v>46132</v>
      </c>
      <c r="C152" s="43" t="s">
        <v>196</v>
      </c>
      <c r="D152" s="43" t="s">
        <v>66</v>
      </c>
      <c r="F152" s="6">
        <v>1998.45</v>
      </c>
    </row>
    <row r="153" spans="2:6" ht="15" customHeight="1" x14ac:dyDescent="0.3">
      <c r="B153" s="4">
        <v>46132</v>
      </c>
      <c r="C153" s="43" t="s">
        <v>197</v>
      </c>
      <c r="D153" s="43" t="s">
        <v>197</v>
      </c>
      <c r="E153" s="53"/>
      <c r="F153" s="6">
        <v>2067.37</v>
      </c>
    </row>
    <row r="154" spans="2:6" ht="15" customHeight="1" x14ac:dyDescent="0.3">
      <c r="B154" s="4">
        <v>46134</v>
      </c>
      <c r="C154" s="43" t="s">
        <v>83</v>
      </c>
      <c r="D154" s="43" t="s">
        <v>84</v>
      </c>
      <c r="E154" s="53"/>
      <c r="F154" s="6">
        <v>360</v>
      </c>
    </row>
    <row r="155" spans="2:6" ht="15" customHeight="1" x14ac:dyDescent="0.3">
      <c r="B155" s="4">
        <v>46134</v>
      </c>
      <c r="C155" s="43" t="s">
        <v>109</v>
      </c>
      <c r="D155" s="43" t="s">
        <v>66</v>
      </c>
      <c r="F155" s="6">
        <v>5115</v>
      </c>
    </row>
    <row r="156" spans="2:6" ht="15" customHeight="1" x14ac:dyDescent="0.3">
      <c r="B156" s="4">
        <v>46134</v>
      </c>
      <c r="C156" s="43" t="s">
        <v>198</v>
      </c>
      <c r="D156" s="43" t="s">
        <v>143</v>
      </c>
      <c r="E156" s="53"/>
      <c r="F156" s="6">
        <v>82.4</v>
      </c>
    </row>
    <row r="157" spans="2:6" ht="15" customHeight="1" x14ac:dyDescent="0.3">
      <c r="B157" s="4">
        <v>46134</v>
      </c>
      <c r="C157" s="43" t="s">
        <v>193</v>
      </c>
      <c r="D157" s="43" t="s">
        <v>66</v>
      </c>
      <c r="F157" s="6">
        <v>2092</v>
      </c>
    </row>
    <row r="158" spans="2:6" ht="15" customHeight="1" x14ac:dyDescent="0.3">
      <c r="B158" s="4">
        <v>46134</v>
      </c>
      <c r="C158" s="43" t="s">
        <v>104</v>
      </c>
      <c r="D158" s="43" t="s">
        <v>66</v>
      </c>
      <c r="E158" s="53"/>
      <c r="F158" s="6">
        <v>2504.25</v>
      </c>
    </row>
    <row r="159" spans="2:6" ht="15" customHeight="1" x14ac:dyDescent="0.3">
      <c r="B159" s="4">
        <v>46134</v>
      </c>
      <c r="C159" s="43" t="s">
        <v>64</v>
      </c>
      <c r="D159" s="43" t="s">
        <v>66</v>
      </c>
      <c r="F159" s="6">
        <v>3138.13</v>
      </c>
    </row>
    <row r="160" spans="2:6" ht="15" customHeight="1" x14ac:dyDescent="0.3">
      <c r="B160" s="4">
        <v>46134</v>
      </c>
      <c r="C160" s="43" t="s">
        <v>199</v>
      </c>
      <c r="D160" s="43" t="s">
        <v>66</v>
      </c>
      <c r="E160" s="53"/>
      <c r="F160" s="6">
        <v>6844.44</v>
      </c>
    </row>
    <row r="161" spans="2:6" ht="15" customHeight="1" x14ac:dyDescent="0.3">
      <c r="B161" s="4">
        <v>46134</v>
      </c>
      <c r="C161" s="43" t="s">
        <v>127</v>
      </c>
      <c r="D161" s="43" t="s">
        <v>66</v>
      </c>
      <c r="F161" s="6">
        <v>11034.3</v>
      </c>
    </row>
    <row r="162" spans="2:6" ht="15" customHeight="1" x14ac:dyDescent="0.3">
      <c r="B162" s="4">
        <v>46134</v>
      </c>
      <c r="C162" s="43" t="s">
        <v>166</v>
      </c>
      <c r="D162" s="43" t="s">
        <v>66</v>
      </c>
      <c r="E162" s="53"/>
      <c r="F162" s="6">
        <v>45048</v>
      </c>
    </row>
    <row r="163" spans="2:6" ht="15" customHeight="1" x14ac:dyDescent="0.3">
      <c r="B163" s="4">
        <v>46134</v>
      </c>
      <c r="C163" s="43" t="s">
        <v>200</v>
      </c>
      <c r="D163" s="43" t="s">
        <v>66</v>
      </c>
      <c r="F163" s="6">
        <v>30119.64</v>
      </c>
    </row>
    <row r="164" spans="2:6" ht="15" customHeight="1" x14ac:dyDescent="0.3">
      <c r="B164" s="4">
        <v>46134</v>
      </c>
      <c r="C164" s="43" t="s">
        <v>83</v>
      </c>
      <c r="D164" s="43" t="s">
        <v>201</v>
      </c>
      <c r="E164" s="53"/>
      <c r="F164" s="6">
        <v>2900</v>
      </c>
    </row>
    <row r="165" spans="2:6" ht="15" customHeight="1" x14ac:dyDescent="0.3">
      <c r="B165" s="4">
        <v>46134</v>
      </c>
      <c r="C165" s="43" t="s">
        <v>95</v>
      </c>
      <c r="D165" s="43" t="s">
        <v>66</v>
      </c>
      <c r="F165" s="6">
        <v>899.5</v>
      </c>
    </row>
    <row r="166" spans="2:6" ht="15" customHeight="1" x14ac:dyDescent="0.3">
      <c r="B166" s="4">
        <v>46134</v>
      </c>
      <c r="C166" s="43" t="s">
        <v>111</v>
      </c>
      <c r="D166" s="43" t="s">
        <v>66</v>
      </c>
      <c r="E166" s="53"/>
      <c r="F166" s="6">
        <v>2278.8000000000002</v>
      </c>
    </row>
    <row r="167" spans="2:6" ht="15" customHeight="1" x14ac:dyDescent="0.3">
      <c r="B167" s="4">
        <v>46134</v>
      </c>
      <c r="C167" s="43" t="s">
        <v>131</v>
      </c>
      <c r="D167" s="43" t="s">
        <v>131</v>
      </c>
      <c r="F167" s="6">
        <v>382.96</v>
      </c>
    </row>
    <row r="168" spans="2:6" ht="15" customHeight="1" x14ac:dyDescent="0.3">
      <c r="B168" s="4">
        <v>46135</v>
      </c>
      <c r="C168" s="43" t="s">
        <v>131</v>
      </c>
      <c r="D168" s="43" t="s">
        <v>131</v>
      </c>
      <c r="E168" s="53"/>
      <c r="F168" s="6">
        <v>2340</v>
      </c>
    </row>
    <row r="169" spans="2:6" ht="15" customHeight="1" x14ac:dyDescent="0.3">
      <c r="B169" s="4">
        <v>46135</v>
      </c>
      <c r="C169" s="43" t="s">
        <v>102</v>
      </c>
      <c r="D169" s="43" t="s">
        <v>63</v>
      </c>
      <c r="F169" s="6">
        <v>83.72</v>
      </c>
    </row>
    <row r="170" spans="2:6" ht="15" customHeight="1" x14ac:dyDescent="0.3">
      <c r="B170" s="4">
        <v>46135</v>
      </c>
      <c r="C170" s="43" t="s">
        <v>202</v>
      </c>
      <c r="D170" s="43" t="s">
        <v>173</v>
      </c>
      <c r="E170" s="53"/>
      <c r="F170" s="6">
        <v>308</v>
      </c>
    </row>
    <row r="171" spans="2:6" ht="15" customHeight="1" x14ac:dyDescent="0.3">
      <c r="B171" s="4">
        <v>46135</v>
      </c>
      <c r="C171" s="43" t="s">
        <v>166</v>
      </c>
      <c r="D171" s="43" t="s">
        <v>66</v>
      </c>
      <c r="F171" s="6">
        <v>2393.71</v>
      </c>
    </row>
    <row r="172" spans="2:6" ht="15" customHeight="1" x14ac:dyDescent="0.3">
      <c r="B172" s="4">
        <v>46135</v>
      </c>
      <c r="C172" s="43" t="s">
        <v>103</v>
      </c>
      <c r="D172" s="43" t="s">
        <v>66</v>
      </c>
      <c r="E172" s="53"/>
      <c r="F172" s="6">
        <v>2959.84</v>
      </c>
    </row>
    <row r="173" spans="2:6" ht="15" customHeight="1" x14ac:dyDescent="0.3">
      <c r="B173" s="4">
        <v>46135</v>
      </c>
      <c r="C173" s="43" t="s">
        <v>65</v>
      </c>
      <c r="D173" s="43" t="s">
        <v>66</v>
      </c>
      <c r="F173" s="6">
        <v>8680.48</v>
      </c>
    </row>
    <row r="174" spans="2:6" ht="15" customHeight="1" x14ac:dyDescent="0.3">
      <c r="B174" s="4">
        <v>46135</v>
      </c>
      <c r="C174" s="43" t="s">
        <v>203</v>
      </c>
      <c r="D174" s="43" t="s">
        <v>204</v>
      </c>
      <c r="E174" s="53"/>
      <c r="F174" s="6">
        <v>15970.84</v>
      </c>
    </row>
    <row r="175" spans="2:6" ht="15" customHeight="1" x14ac:dyDescent="0.3">
      <c r="B175" s="4">
        <v>46135</v>
      </c>
      <c r="C175" s="43" t="s">
        <v>152</v>
      </c>
      <c r="D175" s="43" t="s">
        <v>205</v>
      </c>
      <c r="F175" s="6">
        <v>104.52</v>
      </c>
    </row>
    <row r="176" spans="2:6" ht="15" customHeight="1" x14ac:dyDescent="0.3">
      <c r="B176" s="4">
        <v>46135</v>
      </c>
      <c r="C176" s="43" t="s">
        <v>171</v>
      </c>
      <c r="D176" s="43" t="s">
        <v>171</v>
      </c>
      <c r="E176" s="53"/>
      <c r="F176" s="6">
        <v>37.25</v>
      </c>
    </row>
    <row r="177" spans="2:6" ht="15" customHeight="1" x14ac:dyDescent="0.3">
      <c r="B177" s="4">
        <v>46136</v>
      </c>
      <c r="C177" s="43" t="s">
        <v>145</v>
      </c>
      <c r="D177" s="43" t="s">
        <v>171</v>
      </c>
      <c r="F177" s="6">
        <v>50</v>
      </c>
    </row>
    <row r="178" spans="2:6" ht="15" customHeight="1" x14ac:dyDescent="0.3">
      <c r="B178" s="4">
        <v>46136</v>
      </c>
      <c r="C178" s="43" t="s">
        <v>131</v>
      </c>
      <c r="D178" s="43" t="s">
        <v>131</v>
      </c>
      <c r="E178" s="53"/>
      <c r="F178" s="6">
        <v>1914</v>
      </c>
    </row>
    <row r="179" spans="2:6" ht="15" customHeight="1" x14ac:dyDescent="0.3">
      <c r="B179" s="4">
        <v>46136</v>
      </c>
      <c r="C179" s="43" t="s">
        <v>156</v>
      </c>
      <c r="D179" s="43" t="s">
        <v>206</v>
      </c>
      <c r="F179" s="6">
        <v>185</v>
      </c>
    </row>
    <row r="180" spans="2:6" ht="15" customHeight="1" x14ac:dyDescent="0.3">
      <c r="B180" s="4">
        <v>46136</v>
      </c>
      <c r="C180" s="43" t="s">
        <v>207</v>
      </c>
      <c r="D180" s="43" t="s">
        <v>63</v>
      </c>
      <c r="E180" s="53"/>
      <c r="F180" s="6">
        <v>600</v>
      </c>
    </row>
    <row r="181" spans="2:6" ht="15" customHeight="1" x14ac:dyDescent="0.3">
      <c r="B181" s="4">
        <v>46136</v>
      </c>
      <c r="C181" s="43" t="s">
        <v>208</v>
      </c>
      <c r="D181" s="43" t="s">
        <v>168</v>
      </c>
      <c r="E181" s="53"/>
      <c r="F181" s="6">
        <v>1019.45</v>
      </c>
    </row>
    <row r="182" spans="2:6" ht="15" customHeight="1" x14ac:dyDescent="0.3">
      <c r="B182" s="4">
        <v>46136</v>
      </c>
      <c r="C182" s="43" t="s">
        <v>209</v>
      </c>
      <c r="D182" s="43" t="s">
        <v>210</v>
      </c>
      <c r="E182" s="53"/>
      <c r="F182" s="6">
        <v>4000</v>
      </c>
    </row>
    <row r="183" spans="2:6" ht="15" customHeight="1" x14ac:dyDescent="0.3">
      <c r="B183" s="4">
        <v>46136</v>
      </c>
      <c r="C183" s="43" t="s">
        <v>211</v>
      </c>
      <c r="D183" s="43" t="s">
        <v>205</v>
      </c>
      <c r="E183" s="53"/>
      <c r="F183" s="6">
        <v>126.87</v>
      </c>
    </row>
    <row r="184" spans="2:6" ht="15" customHeight="1" x14ac:dyDescent="0.3">
      <c r="B184" s="4">
        <v>46136</v>
      </c>
      <c r="C184" s="43" t="s">
        <v>171</v>
      </c>
      <c r="D184" s="43" t="s">
        <v>171</v>
      </c>
      <c r="E184" s="53"/>
      <c r="F184" s="6">
        <v>145.99</v>
      </c>
    </row>
    <row r="185" spans="2:6" ht="15" customHeight="1" x14ac:dyDescent="0.3">
      <c r="B185" s="4">
        <v>46136</v>
      </c>
      <c r="C185" s="43" t="s">
        <v>83</v>
      </c>
      <c r="D185" s="43" t="s">
        <v>84</v>
      </c>
      <c r="E185" s="53"/>
      <c r="F185" s="6">
        <v>458.33</v>
      </c>
    </row>
    <row r="186" spans="2:6" ht="15" customHeight="1" x14ac:dyDescent="0.3">
      <c r="B186" s="4">
        <v>46136</v>
      </c>
      <c r="C186" s="43" t="s">
        <v>212</v>
      </c>
      <c r="D186" s="43" t="s">
        <v>213</v>
      </c>
      <c r="E186" s="53"/>
      <c r="F186" s="6">
        <v>8982.7099999999991</v>
      </c>
    </row>
    <row r="187" spans="2:6" ht="15" customHeight="1" x14ac:dyDescent="0.3">
      <c r="B187" s="4">
        <v>46136</v>
      </c>
      <c r="C187" s="43" t="s">
        <v>214</v>
      </c>
      <c r="D187" s="43" t="s">
        <v>66</v>
      </c>
      <c r="E187" s="53"/>
      <c r="F187" s="6">
        <v>438.72</v>
      </c>
    </row>
    <row r="188" spans="2:6" ht="15" customHeight="1" x14ac:dyDescent="0.3">
      <c r="B188" s="4">
        <v>46136</v>
      </c>
      <c r="C188" s="43" t="s">
        <v>214</v>
      </c>
      <c r="D188" s="43" t="s">
        <v>66</v>
      </c>
      <c r="E188" s="53"/>
      <c r="F188" s="6">
        <v>826.34</v>
      </c>
    </row>
    <row r="189" spans="2:6" ht="15" customHeight="1" x14ac:dyDescent="0.3">
      <c r="B189" s="4">
        <v>46136</v>
      </c>
      <c r="C189" s="43" t="s">
        <v>111</v>
      </c>
      <c r="D189" s="43" t="s">
        <v>66</v>
      </c>
      <c r="E189" s="53"/>
      <c r="F189" s="6">
        <v>2278.8000000000002</v>
      </c>
    </row>
    <row r="190" spans="2:6" ht="15" customHeight="1" x14ac:dyDescent="0.3">
      <c r="B190" s="4">
        <v>46136</v>
      </c>
      <c r="C190" s="43" t="s">
        <v>166</v>
      </c>
      <c r="D190" s="43" t="s">
        <v>66</v>
      </c>
      <c r="E190" s="53"/>
      <c r="F190" s="6">
        <v>8219</v>
      </c>
    </row>
    <row r="191" spans="2:6" ht="15" customHeight="1" x14ac:dyDescent="0.3">
      <c r="B191" s="4">
        <v>46136</v>
      </c>
      <c r="C191" s="43" t="s">
        <v>160</v>
      </c>
      <c r="D191" s="43" t="s">
        <v>63</v>
      </c>
      <c r="E191" s="53"/>
      <c r="F191" s="6">
        <v>1700</v>
      </c>
    </row>
    <row r="192" spans="2:6" ht="15" customHeight="1" x14ac:dyDescent="0.3">
      <c r="B192" s="4">
        <v>46136</v>
      </c>
      <c r="C192" s="43" t="s">
        <v>81</v>
      </c>
      <c r="D192" s="43" t="s">
        <v>63</v>
      </c>
      <c r="E192" s="53"/>
      <c r="F192" s="6">
        <v>115.6</v>
      </c>
    </row>
    <row r="193" spans="2:6" ht="15" customHeight="1" x14ac:dyDescent="0.3">
      <c r="B193" s="4">
        <v>46136</v>
      </c>
      <c r="C193" s="43" t="s">
        <v>67</v>
      </c>
      <c r="D193" s="43" t="s">
        <v>63</v>
      </c>
      <c r="E193" s="53"/>
      <c r="F193" s="6">
        <v>258.01</v>
      </c>
    </row>
    <row r="194" spans="2:6" ht="15" customHeight="1" x14ac:dyDescent="0.3">
      <c r="B194" s="4">
        <v>46136</v>
      </c>
      <c r="C194" s="43" t="s">
        <v>215</v>
      </c>
      <c r="D194" s="43" t="s">
        <v>215</v>
      </c>
      <c r="E194" s="53"/>
      <c r="F194" s="6">
        <v>1244.3</v>
      </c>
    </row>
    <row r="195" spans="2:6" ht="15" customHeight="1" x14ac:dyDescent="0.3">
      <c r="B195" s="4">
        <v>46136</v>
      </c>
      <c r="C195" s="43" t="s">
        <v>193</v>
      </c>
      <c r="D195" s="43" t="s">
        <v>66</v>
      </c>
      <c r="E195" s="53"/>
      <c r="F195" s="6">
        <v>3941.28</v>
      </c>
    </row>
    <row r="196" spans="2:6" ht="15" customHeight="1" x14ac:dyDescent="0.3">
      <c r="B196" s="4">
        <v>46136</v>
      </c>
      <c r="D196" s="43"/>
      <c r="E196" s="53"/>
    </row>
    <row r="197" spans="2:6" ht="15" customHeight="1" x14ac:dyDescent="0.3">
      <c r="B197" s="4">
        <v>46136</v>
      </c>
      <c r="D197" s="43"/>
      <c r="E197" s="53"/>
    </row>
    <row r="198" spans="2:6" ht="15" customHeight="1" x14ac:dyDescent="0.3">
      <c r="B198" s="4">
        <v>46136</v>
      </c>
      <c r="D198" s="43"/>
      <c r="E198" s="53"/>
    </row>
  </sheetData>
  <mergeCells count="1">
    <mergeCell ref="B2:F2"/>
  </mergeCells>
  <dataValidations count="1">
    <dataValidation type="list" allowBlank="1" showInputMessage="1" showErrorMessage="1" sqref="C16:C17 D33 C6:C14 C23:C24 C4 C28:C34 C36:C44 C46 C48:C70 C125 C127" xr:uid="{6EA1199F-E7B0-40C0-985E-C100E4B21978}">
      <formula1>$H$3:$H$88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29B1-1023-471C-B57D-0AD257F1C41C}">
  <dimension ref="B1:F121"/>
  <sheetViews>
    <sheetView showGridLines="0" tabSelected="1" workbookViewId="0">
      <selection activeCell="F18" sqref="F18"/>
    </sheetView>
  </sheetViews>
  <sheetFormatPr defaultRowHeight="15" customHeight="1" x14ac:dyDescent="0.3"/>
  <cols>
    <col min="1" max="1" width="2.6640625" customWidth="1"/>
    <col min="2" max="2" width="11.109375" bestFit="1" customWidth="1"/>
    <col min="3" max="3" width="6.6640625" bestFit="1" customWidth="1"/>
    <col min="4" max="4" width="13" bestFit="1" customWidth="1"/>
    <col min="5" max="5" width="8.44140625" bestFit="1" customWidth="1"/>
    <col min="6" max="6" width="6.88671875" bestFit="1" customWidth="1"/>
  </cols>
  <sheetData>
    <row r="1" spans="2:6" ht="14.4" x14ac:dyDescent="0.3"/>
    <row r="2" spans="2:6" ht="15" customHeight="1" x14ac:dyDescent="0.3">
      <c r="B2" s="69" t="s">
        <v>216</v>
      </c>
      <c r="C2" s="70"/>
      <c r="D2" s="70"/>
      <c r="E2" s="70"/>
      <c r="F2" s="70"/>
    </row>
    <row r="3" spans="2:6" ht="14.4" x14ac:dyDescent="0.3">
      <c r="B3" s="18" t="s">
        <v>23</v>
      </c>
      <c r="C3" s="18" t="s">
        <v>217</v>
      </c>
      <c r="D3" s="18" t="s">
        <v>24</v>
      </c>
      <c r="E3" s="18" t="s">
        <v>25</v>
      </c>
      <c r="F3" s="18" t="s">
        <v>218</v>
      </c>
    </row>
    <row r="4" spans="2:6" ht="14.4" x14ac:dyDescent="0.3">
      <c r="B4" s="19">
        <v>46116</v>
      </c>
      <c r="C4" s="22">
        <v>164</v>
      </c>
      <c r="D4" s="24">
        <v>19567.97</v>
      </c>
      <c r="E4" s="21" t="s">
        <v>219</v>
      </c>
      <c r="F4" s="44" t="b">
        <v>0</v>
      </c>
    </row>
    <row r="5" spans="2:6" ht="14.4" x14ac:dyDescent="0.3">
      <c r="B5" s="16">
        <v>46121</v>
      </c>
      <c r="C5" s="23">
        <v>173</v>
      </c>
      <c r="D5" s="25">
        <v>1000</v>
      </c>
      <c r="E5" s="15" t="s">
        <v>220</v>
      </c>
      <c r="F5" s="45" t="b">
        <v>1</v>
      </c>
    </row>
    <row r="6" spans="2:6" ht="14.4" x14ac:dyDescent="0.3">
      <c r="B6" s="19">
        <v>46123</v>
      </c>
      <c r="C6" s="22">
        <v>170</v>
      </c>
      <c r="D6" s="24">
        <v>1757.28</v>
      </c>
      <c r="E6" s="21" t="s">
        <v>219</v>
      </c>
      <c r="F6" s="44" t="b">
        <v>0</v>
      </c>
    </row>
    <row r="7" spans="2:6" ht="14.4" x14ac:dyDescent="0.3">
      <c r="B7" s="16">
        <v>46125</v>
      </c>
      <c r="C7" s="23">
        <v>151</v>
      </c>
      <c r="D7" s="25">
        <v>2600</v>
      </c>
      <c r="E7" s="15" t="s">
        <v>220</v>
      </c>
      <c r="F7" s="45" t="b">
        <v>1</v>
      </c>
    </row>
    <row r="8" spans="2:6" ht="14.4" x14ac:dyDescent="0.3">
      <c r="B8" s="29">
        <v>46133</v>
      </c>
      <c r="C8" s="30">
        <v>168</v>
      </c>
      <c r="D8" s="20">
        <v>2092</v>
      </c>
      <c r="E8" s="21" t="s">
        <v>219</v>
      </c>
      <c r="F8" s="44" t="b">
        <v>0</v>
      </c>
    </row>
    <row r="9" spans="2:6" ht="14.4" x14ac:dyDescent="0.3">
      <c r="B9" s="26">
        <v>46135</v>
      </c>
      <c r="C9" s="27">
        <v>155</v>
      </c>
      <c r="D9" s="17">
        <v>19957.34</v>
      </c>
      <c r="E9" s="15" t="s">
        <v>219</v>
      </c>
      <c r="F9" s="45" t="b">
        <v>0</v>
      </c>
    </row>
    <row r="10" spans="2:6" ht="14.4" x14ac:dyDescent="0.3">
      <c r="B10" s="31">
        <v>46137</v>
      </c>
      <c r="C10" s="32">
        <v>131</v>
      </c>
      <c r="D10" s="20">
        <v>10000</v>
      </c>
      <c r="E10" s="21" t="s">
        <v>221</v>
      </c>
      <c r="F10" s="44" t="b">
        <v>0</v>
      </c>
    </row>
    <row r="11" spans="2:6" ht="14.4" x14ac:dyDescent="0.3">
      <c r="B11" s="26">
        <v>46140</v>
      </c>
      <c r="C11" s="28">
        <v>159</v>
      </c>
      <c r="D11" s="17">
        <v>6666.67</v>
      </c>
      <c r="E11" s="15" t="s">
        <v>220</v>
      </c>
      <c r="F11" s="45" t="b">
        <v>0</v>
      </c>
    </row>
    <row r="12" spans="2:6" ht="14.4" x14ac:dyDescent="0.3">
      <c r="B12" s="39">
        <v>46140</v>
      </c>
      <c r="C12" s="40">
        <v>162</v>
      </c>
      <c r="D12" s="41">
        <v>3333.34</v>
      </c>
      <c r="E12" s="42" t="s">
        <v>220</v>
      </c>
      <c r="F12" s="46" t="b">
        <v>0</v>
      </c>
    </row>
    <row r="13" spans="2:6" ht="14.4" x14ac:dyDescent="0.3">
      <c r="B13" s="33">
        <v>46146</v>
      </c>
      <c r="C13" s="34">
        <v>165</v>
      </c>
      <c r="D13" s="35">
        <v>19567.98</v>
      </c>
      <c r="E13" s="15" t="s">
        <v>219</v>
      </c>
      <c r="F13" s="45" t="b">
        <v>0</v>
      </c>
    </row>
    <row r="14" spans="2:6" ht="14.4" x14ac:dyDescent="0.3">
      <c r="B14" s="36">
        <v>46153</v>
      </c>
      <c r="C14" s="37">
        <v>171</v>
      </c>
      <c r="D14" s="38">
        <v>1757.28</v>
      </c>
      <c r="E14" s="21" t="s">
        <v>219</v>
      </c>
      <c r="F14" s="44" t="b">
        <v>0</v>
      </c>
    </row>
    <row r="15" spans="2:6" ht="14.4" x14ac:dyDescent="0.3">
      <c r="B15" s="33">
        <v>46163</v>
      </c>
      <c r="C15" s="34">
        <v>169</v>
      </c>
      <c r="D15" s="35">
        <v>2092</v>
      </c>
      <c r="E15" s="15" t="s">
        <v>219</v>
      </c>
      <c r="F15" s="45" t="b">
        <v>0</v>
      </c>
    </row>
    <row r="16" spans="2:6" ht="14.4" x14ac:dyDescent="0.3">
      <c r="B16" s="36">
        <v>46167</v>
      </c>
      <c r="C16" s="37">
        <v>132</v>
      </c>
      <c r="D16" s="38">
        <v>10000</v>
      </c>
      <c r="E16" s="21" t="s">
        <v>221</v>
      </c>
      <c r="F16" s="44" t="b">
        <v>0</v>
      </c>
    </row>
    <row r="17" spans="2:6" ht="14.4" x14ac:dyDescent="0.3">
      <c r="B17" s="33">
        <v>46184</v>
      </c>
      <c r="C17" s="34">
        <v>172</v>
      </c>
      <c r="D17" s="35">
        <v>1758.28</v>
      </c>
      <c r="E17" s="15" t="s">
        <v>219</v>
      </c>
      <c r="F17" s="45" t="b">
        <v>0</v>
      </c>
    </row>
    <row r="18" spans="2:6" ht="14.4" x14ac:dyDescent="0.3">
      <c r="B18" s="36">
        <v>46198</v>
      </c>
      <c r="C18" s="37">
        <v>133</v>
      </c>
      <c r="D18" s="38">
        <v>10000</v>
      </c>
      <c r="E18" s="21" t="s">
        <v>221</v>
      </c>
      <c r="F18" s="44" t="b">
        <v>0</v>
      </c>
    </row>
    <row r="19" spans="2:6" ht="14.4" x14ac:dyDescent="0.3"/>
    <row r="20" spans="2:6" ht="14.4" x14ac:dyDescent="0.3"/>
    <row r="21" spans="2:6" ht="14.4" x14ac:dyDescent="0.3"/>
    <row r="22" spans="2:6" ht="14.4" x14ac:dyDescent="0.3"/>
    <row r="23" spans="2:6" ht="14.4" x14ac:dyDescent="0.3"/>
    <row r="24" spans="2:6" ht="14.4" x14ac:dyDescent="0.3"/>
    <row r="25" spans="2:6" ht="14.4" x14ac:dyDescent="0.3"/>
    <row r="26" spans="2:6" ht="14.4" x14ac:dyDescent="0.3"/>
    <row r="27" spans="2:6" ht="14.4" x14ac:dyDescent="0.3"/>
    <row r="28" spans="2:6" ht="14.4" x14ac:dyDescent="0.3"/>
    <row r="29" spans="2:6" ht="14.4" x14ac:dyDescent="0.3"/>
    <row r="30" spans="2:6" ht="14.4" x14ac:dyDescent="0.3"/>
    <row r="31" spans="2:6" ht="14.4" x14ac:dyDescent="0.3"/>
    <row r="32" spans="2:6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  <row r="72" ht="14.4" x14ac:dyDescent="0.3"/>
    <row r="73" ht="14.4" x14ac:dyDescent="0.3"/>
    <row r="74" ht="14.4" x14ac:dyDescent="0.3"/>
    <row r="75" ht="14.4" x14ac:dyDescent="0.3"/>
    <row r="76" ht="14.4" x14ac:dyDescent="0.3"/>
    <row r="77" ht="14.4" x14ac:dyDescent="0.3"/>
    <row r="78" ht="14.4" x14ac:dyDescent="0.3"/>
    <row r="79" ht="14.4" x14ac:dyDescent="0.3"/>
    <row r="80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</sheetData>
  <mergeCells count="1">
    <mergeCell ref="B2:F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537A-A23A-41AB-9161-94E002D525F0}">
  <dimension ref="B1:G45"/>
  <sheetViews>
    <sheetView showGridLines="0" topLeftCell="A33" workbookViewId="0">
      <selection activeCell="B1" sqref="B1"/>
    </sheetView>
  </sheetViews>
  <sheetFormatPr defaultRowHeight="14.4" x14ac:dyDescent="0.3"/>
  <cols>
    <col min="2" max="2" width="14.5546875" bestFit="1" customWidth="1"/>
    <col min="3" max="3" width="16.109375" style="1" bestFit="1" customWidth="1"/>
    <col min="4" max="4" width="26" customWidth="1"/>
    <col min="5" max="5" width="14.109375" style="6" bestFit="1" customWidth="1"/>
    <col min="6" max="6" width="2.6640625" customWidth="1"/>
    <col min="7" max="7" width="31" bestFit="1" customWidth="1"/>
  </cols>
  <sheetData>
    <row r="1" spans="2:7" x14ac:dyDescent="0.3">
      <c r="E1" s="12">
        <f>SUM(Tabela1356[(R$) Valor])</f>
        <v>670865.03999999992</v>
      </c>
    </row>
    <row r="2" spans="2:7" x14ac:dyDescent="0.3">
      <c r="B2" s="71" t="s">
        <v>222</v>
      </c>
      <c r="C2" s="71"/>
      <c r="D2" s="71"/>
      <c r="E2" s="71"/>
      <c r="G2" s="7" t="s">
        <v>54</v>
      </c>
    </row>
    <row r="3" spans="2:7" x14ac:dyDescent="0.3">
      <c r="B3" s="2" t="s">
        <v>6</v>
      </c>
      <c r="C3" s="2" t="s">
        <v>55</v>
      </c>
      <c r="D3" s="2" t="s">
        <v>56</v>
      </c>
      <c r="E3" s="5" t="s">
        <v>9</v>
      </c>
      <c r="G3" s="1" t="s">
        <v>125</v>
      </c>
    </row>
    <row r="4" spans="2:7" x14ac:dyDescent="0.3">
      <c r="B4" s="4">
        <v>46113</v>
      </c>
      <c r="C4" s="1" t="s">
        <v>104</v>
      </c>
      <c r="D4" t="s">
        <v>223</v>
      </c>
      <c r="E4" s="6">
        <v>8466.75</v>
      </c>
      <c r="G4" s="1" t="s">
        <v>65</v>
      </c>
    </row>
    <row r="5" spans="2:7" x14ac:dyDescent="0.3">
      <c r="B5" s="4">
        <v>46113</v>
      </c>
      <c r="C5" s="1" t="s">
        <v>119</v>
      </c>
      <c r="D5" t="s">
        <v>224</v>
      </c>
      <c r="E5" s="6">
        <v>77304.600000000006</v>
      </c>
      <c r="G5" s="1" t="s">
        <v>64</v>
      </c>
    </row>
    <row r="6" spans="2:7" x14ac:dyDescent="0.3">
      <c r="B6" s="4">
        <v>46113</v>
      </c>
      <c r="C6" s="1" t="s">
        <v>124</v>
      </c>
      <c r="D6" t="s">
        <v>224</v>
      </c>
      <c r="E6" s="6">
        <v>108346.92</v>
      </c>
      <c r="G6" s="1" t="s">
        <v>116</v>
      </c>
    </row>
    <row r="7" spans="2:7" x14ac:dyDescent="0.3">
      <c r="B7" s="4">
        <v>46113</v>
      </c>
      <c r="C7" s="1" t="s">
        <v>95</v>
      </c>
      <c r="D7" t="s">
        <v>224</v>
      </c>
      <c r="E7" s="6">
        <v>17669</v>
      </c>
      <c r="G7" s="1" t="s">
        <v>144</v>
      </c>
    </row>
    <row r="8" spans="2:7" x14ac:dyDescent="0.3">
      <c r="B8" s="4">
        <v>46113</v>
      </c>
      <c r="C8" s="1" t="s">
        <v>225</v>
      </c>
      <c r="D8" t="s">
        <v>224</v>
      </c>
      <c r="E8" s="6">
        <v>10540.58</v>
      </c>
      <c r="G8" s="1" t="s">
        <v>153</v>
      </c>
    </row>
    <row r="9" spans="2:7" x14ac:dyDescent="0.3">
      <c r="B9" s="4">
        <v>46113</v>
      </c>
      <c r="C9" s="1" t="s">
        <v>111</v>
      </c>
      <c r="D9" t="s">
        <v>224</v>
      </c>
      <c r="E9" s="6">
        <v>13028.88</v>
      </c>
      <c r="G9" s="1" t="s">
        <v>121</v>
      </c>
    </row>
    <row r="10" spans="2:7" x14ac:dyDescent="0.3">
      <c r="B10" s="59">
        <v>46113</v>
      </c>
      <c r="C10" s="1" t="s">
        <v>119</v>
      </c>
      <c r="D10" t="s">
        <v>224</v>
      </c>
      <c r="E10" s="6">
        <v>1515.7</v>
      </c>
      <c r="G10" s="1" t="s">
        <v>119</v>
      </c>
    </row>
    <row r="11" spans="2:7" x14ac:dyDescent="0.3">
      <c r="B11" s="4">
        <v>46113</v>
      </c>
      <c r="C11" s="1" t="s">
        <v>80</v>
      </c>
      <c r="D11" t="s">
        <v>226</v>
      </c>
      <c r="E11" s="6">
        <v>63.3</v>
      </c>
      <c r="G11" s="1" t="s">
        <v>103</v>
      </c>
    </row>
    <row r="12" spans="2:7" x14ac:dyDescent="0.3">
      <c r="B12" s="4">
        <v>46113</v>
      </c>
      <c r="C12" s="1" t="s">
        <v>64</v>
      </c>
      <c r="D12" t="s">
        <v>224</v>
      </c>
      <c r="E12" s="6">
        <v>443.43</v>
      </c>
      <c r="G12" s="1" t="s">
        <v>132</v>
      </c>
    </row>
    <row r="13" spans="2:7" x14ac:dyDescent="0.3">
      <c r="B13" s="4">
        <v>46114</v>
      </c>
      <c r="C13" s="1" t="s">
        <v>65</v>
      </c>
      <c r="D13" t="s">
        <v>227</v>
      </c>
      <c r="E13" s="6">
        <v>1485.8</v>
      </c>
      <c r="G13" s="1" t="s">
        <v>95</v>
      </c>
    </row>
    <row r="14" spans="2:7" x14ac:dyDescent="0.3">
      <c r="B14" s="4">
        <v>46114</v>
      </c>
      <c r="C14" s="1" t="s">
        <v>69</v>
      </c>
      <c r="D14" t="s">
        <v>227</v>
      </c>
      <c r="E14" s="6">
        <v>707.16</v>
      </c>
      <c r="G14" s="1" t="s">
        <v>104</v>
      </c>
    </row>
    <row r="15" spans="2:7" x14ac:dyDescent="0.3">
      <c r="B15" s="4">
        <v>46118</v>
      </c>
      <c r="C15" s="1" t="s">
        <v>128</v>
      </c>
      <c r="D15" t="s">
        <v>224</v>
      </c>
      <c r="E15" s="6">
        <v>582.13</v>
      </c>
      <c r="G15" s="1" t="s">
        <v>138</v>
      </c>
    </row>
    <row r="16" spans="2:7" x14ac:dyDescent="0.3">
      <c r="B16" s="4">
        <v>46118</v>
      </c>
      <c r="C16" s="1" t="s">
        <v>70</v>
      </c>
      <c r="D16" t="s">
        <v>224</v>
      </c>
      <c r="E16" s="6">
        <v>2770.07</v>
      </c>
      <c r="G16" s="1" t="s">
        <v>28</v>
      </c>
    </row>
    <row r="17" spans="2:7" x14ac:dyDescent="0.3">
      <c r="B17" s="4">
        <v>46118</v>
      </c>
      <c r="C17" s="1" t="s">
        <v>65</v>
      </c>
      <c r="D17" t="s">
        <v>224</v>
      </c>
      <c r="E17" s="6">
        <v>2882.43</v>
      </c>
      <c r="G17" s="1" t="s">
        <v>128</v>
      </c>
    </row>
    <row r="18" spans="2:7" x14ac:dyDescent="0.3">
      <c r="B18" s="4">
        <v>46118</v>
      </c>
      <c r="C18" s="1" t="s">
        <v>119</v>
      </c>
      <c r="D18" t="s">
        <v>224</v>
      </c>
      <c r="E18" s="6">
        <v>81122.3</v>
      </c>
      <c r="G18" s="1" t="s">
        <v>70</v>
      </c>
    </row>
    <row r="19" spans="2:7" x14ac:dyDescent="0.3">
      <c r="B19" s="4">
        <v>46118</v>
      </c>
      <c r="C19" s="1" t="s">
        <v>104</v>
      </c>
      <c r="D19" t="s">
        <v>223</v>
      </c>
      <c r="E19" s="6">
        <v>8974.76</v>
      </c>
      <c r="G19" s="1" t="s">
        <v>111</v>
      </c>
    </row>
    <row r="20" spans="2:7" x14ac:dyDescent="0.3">
      <c r="B20" s="4">
        <v>46119</v>
      </c>
      <c r="C20" s="1" t="s">
        <v>104</v>
      </c>
      <c r="D20" t="s">
        <v>223</v>
      </c>
      <c r="E20" s="6">
        <v>14500</v>
      </c>
      <c r="G20" s="1" t="s">
        <v>80</v>
      </c>
    </row>
    <row r="21" spans="2:7" x14ac:dyDescent="0.3">
      <c r="B21" s="4">
        <v>46121</v>
      </c>
      <c r="C21" s="1" t="s">
        <v>80</v>
      </c>
      <c r="D21" t="s">
        <v>226</v>
      </c>
      <c r="E21" s="6">
        <v>142.22</v>
      </c>
      <c r="G21" s="1" t="s">
        <v>137</v>
      </c>
    </row>
    <row r="22" spans="2:7" x14ac:dyDescent="0.3">
      <c r="B22" s="4">
        <v>46121</v>
      </c>
      <c r="C22" s="1" t="s">
        <v>119</v>
      </c>
      <c r="D22" t="s">
        <v>224</v>
      </c>
      <c r="E22" s="6">
        <v>3504</v>
      </c>
      <c r="G22" s="1" t="s">
        <v>93</v>
      </c>
    </row>
    <row r="23" spans="2:7" x14ac:dyDescent="0.3">
      <c r="B23" s="4">
        <v>46121</v>
      </c>
      <c r="C23" s="1" t="s">
        <v>193</v>
      </c>
      <c r="D23" t="s">
        <v>223</v>
      </c>
      <c r="E23" s="6">
        <v>11823.84</v>
      </c>
      <c r="G23" s="1" t="s">
        <v>112</v>
      </c>
    </row>
    <row r="24" spans="2:7" x14ac:dyDescent="0.3">
      <c r="B24" s="4">
        <v>46121</v>
      </c>
      <c r="C24" s="1" t="s">
        <v>104</v>
      </c>
      <c r="D24" t="s">
        <v>223</v>
      </c>
      <c r="E24" s="6">
        <v>14500</v>
      </c>
      <c r="G24" s="1"/>
    </row>
    <row r="25" spans="2:7" x14ac:dyDescent="0.3">
      <c r="B25" s="4">
        <v>46126</v>
      </c>
      <c r="C25" s="1" t="s">
        <v>128</v>
      </c>
      <c r="D25" t="s">
        <v>224</v>
      </c>
      <c r="E25" s="6">
        <v>873</v>
      </c>
      <c r="G25" s="1"/>
    </row>
    <row r="26" spans="2:7" x14ac:dyDescent="0.3">
      <c r="B26" s="4">
        <v>46126</v>
      </c>
      <c r="C26" s="1" t="s">
        <v>70</v>
      </c>
      <c r="D26" t="s">
        <v>224</v>
      </c>
      <c r="E26" s="6">
        <v>692.45</v>
      </c>
      <c r="G26" s="1"/>
    </row>
    <row r="27" spans="2:7" x14ac:dyDescent="0.3">
      <c r="B27" s="4">
        <v>46126</v>
      </c>
      <c r="C27" s="1" t="s">
        <v>65</v>
      </c>
      <c r="D27" t="s">
        <v>224</v>
      </c>
      <c r="E27" s="6">
        <v>7681.08</v>
      </c>
      <c r="G27" s="1"/>
    </row>
    <row r="28" spans="2:7" x14ac:dyDescent="0.3">
      <c r="B28" s="4">
        <v>46126</v>
      </c>
      <c r="C28" s="1" t="s">
        <v>119</v>
      </c>
      <c r="D28" t="s">
        <v>224</v>
      </c>
      <c r="E28" s="6">
        <v>99715.1</v>
      </c>
    </row>
    <row r="29" spans="2:7" x14ac:dyDescent="0.3">
      <c r="B29" s="4">
        <v>46126</v>
      </c>
      <c r="C29" s="1" t="s">
        <v>111</v>
      </c>
      <c r="D29" t="s">
        <v>228</v>
      </c>
      <c r="E29" s="6">
        <v>1437</v>
      </c>
    </row>
    <row r="30" spans="2:7" x14ac:dyDescent="0.3">
      <c r="B30" s="4">
        <v>46126</v>
      </c>
      <c r="C30" s="1" t="s">
        <v>80</v>
      </c>
      <c r="D30" t="s">
        <v>226</v>
      </c>
      <c r="E30" s="6">
        <v>37</v>
      </c>
    </row>
    <row r="31" spans="2:7" x14ac:dyDescent="0.3">
      <c r="B31" s="4">
        <v>46126</v>
      </c>
      <c r="C31" s="1" t="s">
        <v>229</v>
      </c>
      <c r="D31" t="s">
        <v>230</v>
      </c>
      <c r="E31" s="6">
        <v>13020.4</v>
      </c>
    </row>
    <row r="32" spans="2:7" x14ac:dyDescent="0.3">
      <c r="B32" s="4">
        <v>46126</v>
      </c>
      <c r="C32" s="1" t="s">
        <v>104</v>
      </c>
      <c r="D32" t="s">
        <v>223</v>
      </c>
      <c r="E32" s="6">
        <v>8974.75</v>
      </c>
    </row>
    <row r="33" spans="2:5" x14ac:dyDescent="0.3">
      <c r="B33" s="4">
        <v>46126</v>
      </c>
      <c r="C33" s="1" t="s">
        <v>137</v>
      </c>
      <c r="D33" t="s">
        <v>226</v>
      </c>
      <c r="E33" s="6">
        <v>534.5</v>
      </c>
    </row>
    <row r="34" spans="2:5" x14ac:dyDescent="0.3">
      <c r="B34" s="4">
        <v>46126</v>
      </c>
      <c r="C34" s="1" t="s">
        <v>93</v>
      </c>
      <c r="D34" t="s">
        <v>228</v>
      </c>
      <c r="E34" s="6">
        <v>1680</v>
      </c>
    </row>
    <row r="35" spans="2:5" x14ac:dyDescent="0.3">
      <c r="B35" s="4">
        <v>46126</v>
      </c>
      <c r="C35" s="1" t="s">
        <v>112</v>
      </c>
      <c r="D35" t="s">
        <v>226</v>
      </c>
      <c r="E35" s="6">
        <v>4390</v>
      </c>
    </row>
    <row r="36" spans="2:5" x14ac:dyDescent="0.3">
      <c r="B36" s="4">
        <v>46127</v>
      </c>
      <c r="C36" s="1" t="s">
        <v>199</v>
      </c>
      <c r="D36" t="s">
        <v>231</v>
      </c>
      <c r="E36" s="6">
        <v>8024</v>
      </c>
    </row>
    <row r="37" spans="2:5" x14ac:dyDescent="0.3">
      <c r="B37" s="4">
        <v>46127</v>
      </c>
      <c r="C37" s="1" t="s">
        <v>193</v>
      </c>
      <c r="D37" t="s">
        <v>231</v>
      </c>
      <c r="E37" s="6">
        <v>20357.04</v>
      </c>
    </row>
    <row r="38" spans="2:5" x14ac:dyDescent="0.3">
      <c r="B38" s="4">
        <v>46128</v>
      </c>
      <c r="C38" s="1" t="s">
        <v>124</v>
      </c>
      <c r="D38" t="s">
        <v>232</v>
      </c>
      <c r="E38" s="6">
        <v>3300.7</v>
      </c>
    </row>
    <row r="39" spans="2:5" x14ac:dyDescent="0.3">
      <c r="B39" s="4">
        <v>46129</v>
      </c>
      <c r="C39" s="1" t="s">
        <v>193</v>
      </c>
      <c r="D39" t="s">
        <v>233</v>
      </c>
      <c r="E39" s="6">
        <v>4763.3999999999996</v>
      </c>
    </row>
    <row r="40" spans="2:5" x14ac:dyDescent="0.3">
      <c r="B40" s="4">
        <v>46134</v>
      </c>
      <c r="C40" s="1" t="s">
        <v>65</v>
      </c>
      <c r="D40" t="s">
        <v>234</v>
      </c>
      <c r="E40" s="6">
        <v>11765</v>
      </c>
    </row>
    <row r="41" spans="2:5" x14ac:dyDescent="0.3">
      <c r="B41" s="4">
        <v>46134</v>
      </c>
      <c r="C41" s="1" t="s">
        <v>119</v>
      </c>
      <c r="D41" t="s">
        <v>235</v>
      </c>
      <c r="E41" s="6">
        <v>1958.46</v>
      </c>
    </row>
    <row r="42" spans="2:5" x14ac:dyDescent="0.3">
      <c r="B42" s="4">
        <v>46134</v>
      </c>
      <c r="C42" s="1" t="s">
        <v>70</v>
      </c>
      <c r="D42" t="s">
        <v>224</v>
      </c>
      <c r="E42" s="6">
        <v>1522.95</v>
      </c>
    </row>
    <row r="43" spans="2:5" x14ac:dyDescent="0.3">
      <c r="B43" s="4">
        <v>46134</v>
      </c>
      <c r="C43" s="1" t="s">
        <v>124</v>
      </c>
      <c r="D43" t="s">
        <v>224</v>
      </c>
      <c r="E43" s="6">
        <v>41442.46</v>
      </c>
    </row>
    <row r="44" spans="2:5" x14ac:dyDescent="0.3">
      <c r="B44" s="4">
        <v>46134</v>
      </c>
      <c r="C44" s="1" t="s">
        <v>119</v>
      </c>
      <c r="D44" t="s">
        <v>224</v>
      </c>
      <c r="E44" s="6">
        <v>57885.279999999999</v>
      </c>
    </row>
    <row r="45" spans="2:5" x14ac:dyDescent="0.3">
      <c r="B45" s="4">
        <v>46134</v>
      </c>
      <c r="C45" s="1" t="s">
        <v>128</v>
      </c>
      <c r="D45" t="s">
        <v>224</v>
      </c>
      <c r="E45" s="6">
        <v>436.6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Faturamento</vt:lpstr>
      <vt:lpstr>Contas Recebidas</vt:lpstr>
      <vt:lpstr>Contas Pagas</vt:lpstr>
      <vt:lpstr>Controle de Cheques</vt:lpstr>
      <vt:lpstr>Compras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gerencia@gottbike.com.br</dc:creator>
  <cp:keywords/>
  <dc:description/>
  <cp:lastModifiedBy>Eduardo Cotta</cp:lastModifiedBy>
  <cp:revision/>
  <dcterms:created xsi:type="dcterms:W3CDTF">2026-04-15T12:26:38Z</dcterms:created>
  <dcterms:modified xsi:type="dcterms:W3CDTF">2026-04-27T20:48:53Z</dcterms:modified>
  <cp:category/>
  <cp:contentStatus/>
</cp:coreProperties>
</file>