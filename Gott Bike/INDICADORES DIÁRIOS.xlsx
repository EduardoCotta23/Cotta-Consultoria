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d.docs.live.net/8d3dd0af008984df/Consultorias/GOTT BIKE/Compartilhado GOTT Bike/Indicadores e Métricas/"/>
    </mc:Choice>
  </mc:AlternateContent>
  <xr:revisionPtr revIDLastSave="2213" documentId="8_{49B7964F-2481-4178-A148-E82770C67CC1}" xr6:coauthVersionLast="47" xr6:coauthVersionMax="47" xr10:uidLastSave="{6BF8F591-8C42-47EF-AFA1-72F1A96CA7B3}"/>
  <bookViews>
    <workbookView xWindow="-108" yWindow="-108" windowWidth="23256" windowHeight="12456" activeTab="1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<sst xmlns="http://schemas.openxmlformats.org/spreadsheetml/2006/main" count="905" uniqueCount="236">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</sst>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0" xfId="0" applyFill="1" applyAlignment="1">
      <alignment horizontal="center"/>
    </xf>
    <xf numFmtId="0" fontId="0" fillId="0" borderId="14" xfId="0" applyBorder="1" applyAlignment="1">
      <alignment horizontal="center"/>
    </xf>
    <xf numFmtId="44" fontId="0" fillId="0" borderId="14" xfId="1" applyFont="1" applyBorder="1"/>
    <xf numFmtId="44" fontId="0" fillId="0" borderId="0" xfId="1" applyNumberFormat="1" applyFont="1" applyAlignment="1">
      <alignment horizontal="left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164" fontId="0" fillId="3" borderId="15" xfId="0" applyNumberFormat="1" applyFont="1" applyFill="1" applyBorder="1"/>
    <xf numFmtId="164" fontId="0" fillId="0" borderId="15" xfId="0" applyNumberFormat="1" applyFont="1" applyBorder="1"/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6" headerRowBorderDxfId="24" tableBorderDxfId="25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7" headerRowBorderDxfId="15" tableBorderDxfId="16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5"/>
  <cols>
    <col min="1" max="1" width="2.7109375" customWidth="1"/>
    <col min="2" max="2" width="15.140625" style="4" bestFit="1" customWidth="1"/>
    <col min="3" max="3" width="9.5703125" style="1" bestFit="1" customWidth="1"/>
    <col min="4" max="4" width="29.5703125" customWidth="1"/>
    <col min="5" max="5" width="15.85546875" style="6" bestFit="1" customWidth="1"/>
    <col min="6" max="6" width="2.7109375" customWidth="1"/>
    <col min="7" max="7" width="26.5703125" bestFit="1" customWidth="1"/>
    <col min="8" max="8" width="2.7109375" customWidth="1"/>
    <col min="9" max="9" width="6.28515625" bestFit="1" customWidth="1"/>
    <col min="10" max="10" width="18.85546875" customWidth="1"/>
    <col min="11" max="11" width="14" bestFit="1" customWidth="1"/>
    <col min="12" max="12" width="18.85546875" bestFit="1" customWidth="1"/>
  </cols>
  <sheetData>
    <row r="1" spans="2:12">
      <c r="C1" s="60">
        <f>SUBTOTAL(9,Tabela1[Qtde])</f>
        <v>1533</v>
      </c>
      <c r="E1" s="12">
        <f>SUBTOTAL(9,Tabela1[(R$) Valor])</f>
        <v>1150759.95</v>
      </c>
    </row>
    <row r="2" spans="2:12">
      <c r="B2" s="69" t="s">
        <v>0</v>
      </c>
      <c r="C2" s="69"/>
      <c r="D2" s="69"/>
      <c r="E2" s="69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>
      <c r="B11" s="4">
        <v>46114</v>
      </c>
      <c r="C11" s="1">
        <v>12</v>
      </c>
      <c r="D11" t="s">
        <v>13</v>
      </c>
      <c r="E11" s="6">
        <v>9293.6299999999992</v>
      </c>
    </row>
    <row r="12" spans="2:12">
      <c r="B12" s="4">
        <v>46114</v>
      </c>
      <c r="C12" s="1">
        <v>39</v>
      </c>
      <c r="D12" t="s">
        <v>14</v>
      </c>
      <c r="E12" s="6">
        <v>28799.62</v>
      </c>
    </row>
    <row r="13" spans="2:12">
      <c r="B13" s="4">
        <v>46115</v>
      </c>
      <c r="C13" s="1">
        <v>21</v>
      </c>
      <c r="D13" t="s">
        <v>14</v>
      </c>
      <c r="E13" s="6">
        <v>15133.97</v>
      </c>
    </row>
    <row r="14" spans="2:12">
      <c r="B14" s="4">
        <v>46115</v>
      </c>
      <c r="C14" s="1">
        <v>10</v>
      </c>
      <c r="D14" t="s">
        <v>13</v>
      </c>
      <c r="E14" s="6">
        <v>6839.16</v>
      </c>
    </row>
    <row r="15" spans="2:12">
      <c r="B15" s="4">
        <v>46115</v>
      </c>
      <c r="C15" s="1">
        <v>2</v>
      </c>
      <c r="D15" t="s">
        <v>16</v>
      </c>
      <c r="E15" s="6">
        <v>1410.4</v>
      </c>
    </row>
    <row r="16" spans="2:12">
      <c r="B16" s="4">
        <v>46115</v>
      </c>
      <c r="C16" s="1">
        <v>1</v>
      </c>
      <c r="D16" t="s">
        <v>17</v>
      </c>
      <c r="E16" s="6">
        <v>2377.9</v>
      </c>
    </row>
    <row r="17" spans="2:5">
      <c r="B17" s="4">
        <v>46116</v>
      </c>
      <c r="C17" s="1">
        <v>1</v>
      </c>
      <c r="D17" t="s">
        <v>12</v>
      </c>
      <c r="E17" s="6">
        <v>590.22</v>
      </c>
    </row>
    <row r="18" spans="2:5">
      <c r="B18" s="4">
        <v>46116</v>
      </c>
      <c r="C18" s="1">
        <v>12</v>
      </c>
      <c r="D18" t="s">
        <v>13</v>
      </c>
      <c r="E18" s="6">
        <v>6866.8</v>
      </c>
    </row>
    <row r="19" spans="2:5">
      <c r="B19" s="4">
        <v>46116</v>
      </c>
      <c r="C19" s="1">
        <v>43</v>
      </c>
      <c r="D19" t="s">
        <v>14</v>
      </c>
      <c r="E19" s="6">
        <v>32745.85</v>
      </c>
    </row>
    <row r="20" spans="2:5">
      <c r="B20" s="4">
        <v>46116</v>
      </c>
      <c r="C20" s="1">
        <v>2</v>
      </c>
      <c r="D20" t="s">
        <v>15</v>
      </c>
      <c r="E20" s="6">
        <v>899.38</v>
      </c>
    </row>
    <row r="21" spans="2:5">
      <c r="B21" s="4">
        <v>46116</v>
      </c>
      <c r="C21" s="1">
        <v>1</v>
      </c>
      <c r="D21" t="s">
        <v>16</v>
      </c>
      <c r="E21" s="6">
        <v>753.9</v>
      </c>
    </row>
    <row r="22" spans="2:5">
      <c r="B22" s="4">
        <v>46117</v>
      </c>
      <c r="C22" s="1">
        <v>2</v>
      </c>
      <c r="D22" t="s">
        <v>10</v>
      </c>
      <c r="E22" s="6">
        <v>1348</v>
      </c>
    </row>
    <row r="23" spans="2:5">
      <c r="B23" s="4">
        <v>46117</v>
      </c>
      <c r="C23" s="1">
        <v>11</v>
      </c>
      <c r="D23" t="s">
        <v>13</v>
      </c>
      <c r="E23" s="6">
        <v>8018.35</v>
      </c>
    </row>
    <row r="24" spans="2:5">
      <c r="B24" s="4">
        <v>46117</v>
      </c>
      <c r="C24" s="1">
        <v>32</v>
      </c>
      <c r="D24" t="s">
        <v>14</v>
      </c>
      <c r="E24" s="6">
        <v>23954.81</v>
      </c>
    </row>
    <row r="25" spans="2:5">
      <c r="B25" s="4">
        <v>46117</v>
      </c>
      <c r="C25" s="1">
        <v>3</v>
      </c>
      <c r="D25" t="s">
        <v>16</v>
      </c>
      <c r="E25" s="6">
        <v>2301.6999999999998</v>
      </c>
    </row>
    <row r="26" spans="2:5">
      <c r="B26" s="4">
        <v>46118</v>
      </c>
      <c r="C26" s="1">
        <v>1</v>
      </c>
      <c r="D26" t="s">
        <v>12</v>
      </c>
      <c r="E26" s="6">
        <v>951.74</v>
      </c>
    </row>
    <row r="27" spans="2:5">
      <c r="B27" s="4">
        <v>46118</v>
      </c>
      <c r="C27" s="1">
        <v>14</v>
      </c>
      <c r="D27" t="s">
        <v>13</v>
      </c>
      <c r="E27" s="6">
        <v>10337.6</v>
      </c>
    </row>
    <row r="28" spans="2:5">
      <c r="B28" s="4">
        <v>46118</v>
      </c>
      <c r="C28" s="1">
        <v>41</v>
      </c>
      <c r="D28" t="s">
        <v>14</v>
      </c>
      <c r="E28" s="6">
        <v>29270.240000000002</v>
      </c>
    </row>
    <row r="29" spans="2:5">
      <c r="B29" s="4">
        <v>46119</v>
      </c>
      <c r="C29" s="1">
        <v>1</v>
      </c>
      <c r="D29" t="s">
        <v>10</v>
      </c>
      <c r="E29" s="6">
        <v>769</v>
      </c>
    </row>
    <row r="30" spans="2:5">
      <c r="B30" s="4">
        <v>46119</v>
      </c>
      <c r="C30" s="1">
        <v>1</v>
      </c>
      <c r="D30" t="s">
        <v>12</v>
      </c>
      <c r="E30" s="6">
        <v>773.9</v>
      </c>
    </row>
    <row r="31" spans="2:5">
      <c r="B31" s="4">
        <v>46119</v>
      </c>
      <c r="C31" s="1">
        <v>21</v>
      </c>
      <c r="D31" t="s">
        <v>13</v>
      </c>
      <c r="E31" s="6">
        <v>13085.68</v>
      </c>
    </row>
    <row r="32" spans="2:5">
      <c r="B32" s="4">
        <v>46119</v>
      </c>
      <c r="C32" s="1">
        <v>65</v>
      </c>
      <c r="D32" t="s">
        <v>14</v>
      </c>
      <c r="E32" s="6">
        <v>47337.96</v>
      </c>
    </row>
    <row r="33" spans="2:5">
      <c r="B33" s="4">
        <v>46119</v>
      </c>
      <c r="C33" s="1">
        <v>1</v>
      </c>
      <c r="D33" t="s">
        <v>15</v>
      </c>
      <c r="E33" s="6">
        <v>663.5</v>
      </c>
    </row>
    <row r="34" spans="2:5">
      <c r="B34" s="4">
        <v>46119</v>
      </c>
      <c r="C34" s="1">
        <v>7</v>
      </c>
      <c r="D34" t="s">
        <v>16</v>
      </c>
      <c r="E34" s="6">
        <v>6828.1</v>
      </c>
    </row>
    <row r="35" spans="2:5">
      <c r="B35" s="4">
        <v>46120</v>
      </c>
      <c r="C35" s="1">
        <v>2</v>
      </c>
      <c r="D35" t="s">
        <v>10</v>
      </c>
      <c r="E35" s="6">
        <v>1538</v>
      </c>
    </row>
    <row r="36" spans="2:5">
      <c r="B36" s="4">
        <v>46120</v>
      </c>
      <c r="C36" s="1">
        <v>12</v>
      </c>
      <c r="D36" t="s">
        <v>13</v>
      </c>
      <c r="E36" s="6">
        <v>8784.39</v>
      </c>
    </row>
    <row r="37" spans="2:5">
      <c r="B37" s="4">
        <v>46120</v>
      </c>
      <c r="C37" s="1">
        <v>62</v>
      </c>
      <c r="D37" t="s">
        <v>14</v>
      </c>
      <c r="E37" s="6">
        <v>45046.9</v>
      </c>
    </row>
    <row r="38" spans="2:5">
      <c r="B38" s="4">
        <v>46120</v>
      </c>
      <c r="C38" s="1">
        <v>4</v>
      </c>
      <c r="D38" t="s">
        <v>16</v>
      </c>
      <c r="E38" s="6">
        <v>5117.6000000000004</v>
      </c>
    </row>
    <row r="39" spans="2:5">
      <c r="B39" s="4">
        <v>46121</v>
      </c>
      <c r="C39" s="1">
        <v>1</v>
      </c>
      <c r="D39" t="s">
        <v>12</v>
      </c>
      <c r="E39" s="6">
        <v>893.9</v>
      </c>
    </row>
    <row r="40" spans="2:5">
      <c r="B40" s="4">
        <v>46121</v>
      </c>
      <c r="C40" s="1">
        <v>4</v>
      </c>
      <c r="D40" t="s">
        <v>12</v>
      </c>
      <c r="E40" s="6">
        <v>2922.54</v>
      </c>
    </row>
    <row r="41" spans="2:5">
      <c r="B41" s="4">
        <v>46121</v>
      </c>
      <c r="C41" s="1">
        <v>60</v>
      </c>
      <c r="D41" t="s">
        <v>14</v>
      </c>
      <c r="E41" s="6">
        <v>45523.38</v>
      </c>
    </row>
    <row r="42" spans="2:5">
      <c r="B42" s="4">
        <v>46121</v>
      </c>
      <c r="C42" s="1">
        <v>4</v>
      </c>
      <c r="D42" t="s">
        <v>16</v>
      </c>
      <c r="E42" s="6">
        <v>4429.8999999999996</v>
      </c>
    </row>
    <row r="43" spans="2:5">
      <c r="B43" s="4">
        <v>46122</v>
      </c>
      <c r="C43" s="1">
        <v>2</v>
      </c>
      <c r="D43" t="s">
        <v>16</v>
      </c>
      <c r="E43" s="6">
        <v>1591.8</v>
      </c>
    </row>
    <row r="44" spans="2:5">
      <c r="B44" s="4">
        <v>46122</v>
      </c>
      <c r="C44" s="1">
        <v>1</v>
      </c>
      <c r="D44" t="s">
        <v>10</v>
      </c>
      <c r="E44" s="6">
        <v>769</v>
      </c>
    </row>
    <row r="45" spans="2:5">
      <c r="B45" s="4">
        <v>46122</v>
      </c>
      <c r="C45" s="1">
        <v>3</v>
      </c>
      <c r="D45" t="s">
        <v>13</v>
      </c>
      <c r="E45" s="6">
        <v>2264.6999999999998</v>
      </c>
    </row>
    <row r="46" spans="2:5">
      <c r="B46" s="4">
        <v>46122</v>
      </c>
      <c r="C46" s="1">
        <v>73</v>
      </c>
      <c r="D46" t="s">
        <v>14</v>
      </c>
      <c r="E46" s="6">
        <v>53207.86</v>
      </c>
    </row>
    <row r="47" spans="2:5">
      <c r="B47" s="4">
        <v>46123</v>
      </c>
      <c r="C47" s="1">
        <v>4</v>
      </c>
      <c r="D47" t="s">
        <v>13</v>
      </c>
      <c r="E47" s="6">
        <v>3279.6</v>
      </c>
    </row>
    <row r="48" spans="2:5">
      <c r="B48" s="4">
        <v>46123</v>
      </c>
      <c r="C48" s="1">
        <v>2</v>
      </c>
      <c r="D48" t="s">
        <v>18</v>
      </c>
      <c r="E48" s="6">
        <v>1767.8</v>
      </c>
    </row>
    <row r="49" spans="2:5">
      <c r="B49" s="4">
        <v>46123</v>
      </c>
      <c r="C49" s="1">
        <v>1</v>
      </c>
      <c r="D49" t="s">
        <v>16</v>
      </c>
      <c r="E49" s="6">
        <v>753.9</v>
      </c>
    </row>
    <row r="50" spans="2:5">
      <c r="B50" s="4">
        <v>46123</v>
      </c>
      <c r="C50" s="1">
        <v>73</v>
      </c>
      <c r="D50" t="s">
        <v>18</v>
      </c>
      <c r="E50" s="6">
        <v>55008.160000000003</v>
      </c>
    </row>
    <row r="51" spans="2:5">
      <c r="B51" s="4">
        <v>46124</v>
      </c>
      <c r="C51" s="1">
        <v>3</v>
      </c>
      <c r="D51" t="s">
        <v>13</v>
      </c>
      <c r="E51" s="6">
        <v>2166.7800000000002</v>
      </c>
    </row>
    <row r="52" spans="2:5">
      <c r="B52" s="4">
        <v>46124</v>
      </c>
      <c r="C52" s="1">
        <v>3</v>
      </c>
      <c r="D52" t="s">
        <v>16</v>
      </c>
      <c r="E52" s="6">
        <v>4149.7</v>
      </c>
    </row>
    <row r="53" spans="2:5">
      <c r="B53" s="4">
        <v>46124</v>
      </c>
      <c r="C53" s="1">
        <v>58</v>
      </c>
      <c r="D53" t="s">
        <v>14</v>
      </c>
      <c r="E53" s="6">
        <v>43064.74</v>
      </c>
    </row>
    <row r="54" spans="2:5">
      <c r="B54" s="4">
        <v>46125</v>
      </c>
      <c r="C54" s="1">
        <v>6</v>
      </c>
      <c r="D54" t="s">
        <v>13</v>
      </c>
      <c r="E54" s="6">
        <v>5023.46</v>
      </c>
    </row>
    <row r="55" spans="2:5">
      <c r="B55" s="4">
        <v>46125</v>
      </c>
      <c r="C55" s="1">
        <v>64</v>
      </c>
      <c r="D55" t="s">
        <v>14</v>
      </c>
      <c r="E55" s="6">
        <v>48180.23</v>
      </c>
    </row>
    <row r="56" spans="2:5">
      <c r="B56" s="4">
        <v>46125</v>
      </c>
      <c r="C56" s="1">
        <v>3</v>
      </c>
      <c r="D56" t="s">
        <v>16</v>
      </c>
      <c r="E56" s="6">
        <v>2529.8000000000002</v>
      </c>
    </row>
    <row r="57" spans="2:5">
      <c r="B57" s="4">
        <v>46126</v>
      </c>
      <c r="C57" s="1">
        <v>1</v>
      </c>
      <c r="D57" t="s">
        <v>10</v>
      </c>
      <c r="E57" s="6">
        <v>769</v>
      </c>
    </row>
    <row r="58" spans="2:5">
      <c r="B58" s="4">
        <v>46126</v>
      </c>
      <c r="C58" s="1">
        <v>1</v>
      </c>
      <c r="D58" t="s">
        <v>12</v>
      </c>
      <c r="E58" s="6">
        <v>704</v>
      </c>
    </row>
    <row r="59" spans="2:5">
      <c r="B59" s="4">
        <v>46126</v>
      </c>
      <c r="C59" s="1">
        <v>7</v>
      </c>
      <c r="D59" t="s">
        <v>13</v>
      </c>
      <c r="E59" s="6">
        <v>5707</v>
      </c>
    </row>
    <row r="60" spans="2:5">
      <c r="B60" s="4">
        <v>46126</v>
      </c>
      <c r="C60" s="1">
        <v>35</v>
      </c>
      <c r="D60" t="s">
        <v>14</v>
      </c>
      <c r="E60" s="6">
        <v>24605</v>
      </c>
    </row>
    <row r="61" spans="2:5">
      <c r="B61" s="4">
        <v>46126</v>
      </c>
      <c r="C61" s="1">
        <v>1</v>
      </c>
      <c r="D61" t="s">
        <v>16</v>
      </c>
      <c r="E61" s="6">
        <v>824</v>
      </c>
    </row>
    <row r="62" spans="2:5">
      <c r="B62" s="4">
        <v>46127</v>
      </c>
      <c r="C62" s="1">
        <v>3</v>
      </c>
      <c r="D62" t="s">
        <v>13</v>
      </c>
      <c r="E62" s="6">
        <v>2388.38</v>
      </c>
    </row>
    <row r="63" spans="2:5">
      <c r="B63" s="4">
        <v>46127</v>
      </c>
      <c r="C63" s="1">
        <v>67</v>
      </c>
      <c r="D63" t="s">
        <v>14</v>
      </c>
      <c r="E63" s="6">
        <v>49270.34</v>
      </c>
    </row>
    <row r="64" spans="2:5">
      <c r="B64" s="4">
        <v>46127</v>
      </c>
      <c r="C64" s="1">
        <v>1</v>
      </c>
      <c r="D64" t="s">
        <v>15</v>
      </c>
      <c r="E64" s="6">
        <v>923.49</v>
      </c>
    </row>
    <row r="65" spans="2:5">
      <c r="B65" s="4">
        <v>46127</v>
      </c>
      <c r="C65" s="1">
        <v>4</v>
      </c>
      <c r="D65" t="s">
        <v>16</v>
      </c>
      <c r="E65" s="6">
        <v>3091.9</v>
      </c>
    </row>
    <row r="66" spans="2:5">
      <c r="B66" s="4">
        <v>46127</v>
      </c>
      <c r="C66" s="1">
        <v>1</v>
      </c>
      <c r="D66" t="s">
        <v>17</v>
      </c>
      <c r="E66" s="6">
        <v>2037.9</v>
      </c>
    </row>
    <row r="67" spans="2:5">
      <c r="B67" s="4">
        <v>46128</v>
      </c>
      <c r="C67" s="1">
        <v>2</v>
      </c>
      <c r="D67" t="s">
        <v>16</v>
      </c>
      <c r="E67" s="6">
        <v>1727.8</v>
      </c>
    </row>
    <row r="68" spans="2:5">
      <c r="B68" s="4">
        <v>46128</v>
      </c>
      <c r="C68" s="1">
        <v>1</v>
      </c>
      <c r="D68" t="s">
        <v>10</v>
      </c>
      <c r="E68" s="6">
        <v>769</v>
      </c>
    </row>
    <row r="69" spans="2:5">
      <c r="B69" s="4">
        <v>46128</v>
      </c>
      <c r="C69" s="1">
        <v>6</v>
      </c>
      <c r="D69" t="s">
        <v>13</v>
      </c>
      <c r="E69" s="6">
        <v>4734.04</v>
      </c>
    </row>
    <row r="70" spans="2:5">
      <c r="B70" s="4">
        <v>46128</v>
      </c>
      <c r="C70" s="1">
        <v>59</v>
      </c>
      <c r="D70" t="s">
        <v>14</v>
      </c>
      <c r="E70" s="6">
        <v>42282.67</v>
      </c>
    </row>
    <row r="71" spans="2:5">
      <c r="B71" s="4">
        <v>46129</v>
      </c>
      <c r="C71" s="1">
        <v>1</v>
      </c>
      <c r="D71" t="s">
        <v>16</v>
      </c>
      <c r="E71" s="6">
        <v>880.2</v>
      </c>
    </row>
    <row r="72" spans="2:5">
      <c r="B72" s="4">
        <v>46129</v>
      </c>
      <c r="C72" s="1">
        <v>3</v>
      </c>
      <c r="D72" t="s">
        <v>13</v>
      </c>
      <c r="E72" s="6">
        <v>2240.2600000000002</v>
      </c>
    </row>
    <row r="73" spans="2:5">
      <c r="B73" s="4">
        <v>46129</v>
      </c>
      <c r="C73" s="1">
        <v>50</v>
      </c>
      <c r="D73" t="s">
        <v>14</v>
      </c>
      <c r="E73" s="6">
        <v>37764</v>
      </c>
    </row>
    <row r="74" spans="2:5">
      <c r="B74" s="4">
        <v>46129</v>
      </c>
      <c r="C74" s="1">
        <v>1</v>
      </c>
      <c r="D74" t="s">
        <v>18</v>
      </c>
      <c r="E74" s="6">
        <v>713.9</v>
      </c>
    </row>
    <row r="75" spans="2:5">
      <c r="B75" s="4">
        <v>46130</v>
      </c>
      <c r="C75" s="1">
        <v>7</v>
      </c>
      <c r="D75" t="s">
        <v>13</v>
      </c>
      <c r="E75" s="6">
        <v>5175.68</v>
      </c>
    </row>
    <row r="76" spans="2:5">
      <c r="B76" s="4">
        <v>46130</v>
      </c>
      <c r="C76" s="1">
        <v>41</v>
      </c>
      <c r="D76" t="s">
        <v>14</v>
      </c>
      <c r="E76" s="6">
        <v>29981.46</v>
      </c>
    </row>
    <row r="77" spans="2:5">
      <c r="B77" s="4">
        <v>46130</v>
      </c>
      <c r="C77" s="1">
        <v>1</v>
      </c>
      <c r="D77" t="s">
        <v>16</v>
      </c>
      <c r="E77" s="6">
        <v>623.9</v>
      </c>
    </row>
    <row r="78" spans="2:5">
      <c r="B78" s="4">
        <v>46131</v>
      </c>
      <c r="C78" s="1">
        <v>5</v>
      </c>
      <c r="D78" t="s">
        <v>10</v>
      </c>
      <c r="E78" s="6">
        <v>3275</v>
      </c>
    </row>
    <row r="79" spans="2:5">
      <c r="B79" s="4">
        <v>46131</v>
      </c>
      <c r="C79" s="1">
        <v>2</v>
      </c>
      <c r="D79" t="s">
        <v>13</v>
      </c>
      <c r="E79" s="6">
        <v>1486.72</v>
      </c>
    </row>
    <row r="80" spans="2:5">
      <c r="B80" s="4">
        <v>46131</v>
      </c>
      <c r="C80" s="1">
        <v>32</v>
      </c>
      <c r="D80" t="s">
        <v>14</v>
      </c>
      <c r="E80" s="6">
        <v>24359.4</v>
      </c>
    </row>
    <row r="81" spans="2:5">
      <c r="B81" s="4">
        <v>46131</v>
      </c>
      <c r="C81" s="1">
        <v>1</v>
      </c>
      <c r="D81" t="s">
        <v>16</v>
      </c>
      <c r="E81" s="6">
        <v>733.9</v>
      </c>
    </row>
    <row r="82" spans="2:5">
      <c r="B82" s="4">
        <v>46132</v>
      </c>
      <c r="C82" s="1">
        <v>6</v>
      </c>
      <c r="D82" t="s">
        <v>13</v>
      </c>
      <c r="E82" s="6">
        <v>4190.3599999999997</v>
      </c>
    </row>
    <row r="83" spans="2:5">
      <c r="B83" s="4">
        <v>46132</v>
      </c>
      <c r="C83" s="1">
        <v>51</v>
      </c>
      <c r="D83" t="s">
        <v>14</v>
      </c>
      <c r="E83" s="6">
        <v>37618.129999999997</v>
      </c>
    </row>
    <row r="84" spans="2:5">
      <c r="B84" s="4">
        <v>46132</v>
      </c>
      <c r="C84" s="1">
        <v>5</v>
      </c>
      <c r="D84" t="s">
        <v>16</v>
      </c>
      <c r="E84" s="6">
        <v>4079.5</v>
      </c>
    </row>
    <row r="85" spans="2:5">
      <c r="B85" s="4">
        <v>46133</v>
      </c>
      <c r="C85" s="1">
        <v>1</v>
      </c>
      <c r="D85" t="s">
        <v>10</v>
      </c>
      <c r="E85" s="6">
        <v>769</v>
      </c>
    </row>
    <row r="86" spans="2:5">
      <c r="B86" s="4">
        <v>46133</v>
      </c>
      <c r="C86" s="1">
        <v>1</v>
      </c>
      <c r="D86" t="s">
        <v>12</v>
      </c>
      <c r="E86" s="6">
        <v>743.85</v>
      </c>
    </row>
    <row r="87" spans="2:5">
      <c r="B87" s="4">
        <v>46133</v>
      </c>
      <c r="C87" s="1">
        <v>5</v>
      </c>
      <c r="D87" t="s">
        <v>13</v>
      </c>
      <c r="E87" s="6">
        <v>4336.0200000000004</v>
      </c>
    </row>
    <row r="88" spans="2:5">
      <c r="B88" s="4">
        <v>46133</v>
      </c>
      <c r="C88" s="1">
        <v>29</v>
      </c>
      <c r="D88" t="s">
        <v>14</v>
      </c>
      <c r="E88" s="6">
        <v>22422.71</v>
      </c>
    </row>
    <row r="89" spans="2:5">
      <c r="B89" s="4">
        <v>46133</v>
      </c>
      <c r="C89" s="1">
        <v>2</v>
      </c>
      <c r="D89" t="s">
        <v>16</v>
      </c>
      <c r="E89" s="6">
        <v>1876.1</v>
      </c>
    </row>
    <row r="90" spans="2:5">
      <c r="B90" s="4">
        <v>46134</v>
      </c>
      <c r="C90" s="1">
        <v>3</v>
      </c>
      <c r="D90" t="s">
        <v>13</v>
      </c>
      <c r="E90" s="6">
        <v>2106.98</v>
      </c>
    </row>
    <row r="91" spans="2:5">
      <c r="B91" s="4">
        <v>46134</v>
      </c>
      <c r="C91" s="1">
        <v>111</v>
      </c>
      <c r="D91" t="s">
        <v>14</v>
      </c>
      <c r="E91" s="6">
        <v>86913.33</v>
      </c>
    </row>
    <row r="92" spans="2:5">
      <c r="B92" s="4">
        <v>46134</v>
      </c>
      <c r="C92" s="1">
        <v>3</v>
      </c>
      <c r="D92" t="s">
        <v>16</v>
      </c>
      <c r="E92" s="6">
        <v>2801.7</v>
      </c>
    </row>
    <row r="93" spans="2:5">
      <c r="B93" s="4">
        <v>46135</v>
      </c>
      <c r="C93" s="1">
        <v>1</v>
      </c>
      <c r="D93" t="s">
        <v>13</v>
      </c>
      <c r="E93" s="6">
        <v>825.9</v>
      </c>
    </row>
    <row r="94" spans="2:5">
      <c r="B94" s="4">
        <v>46135</v>
      </c>
      <c r="C94" s="1">
        <v>35</v>
      </c>
      <c r="D94" t="s">
        <v>14</v>
      </c>
      <c r="E94" s="6">
        <v>27646.44</v>
      </c>
    </row>
    <row r="95" spans="2:5">
      <c r="B95" s="4">
        <v>46135</v>
      </c>
      <c r="C95" s="1">
        <v>5</v>
      </c>
      <c r="D95" t="s">
        <v>16</v>
      </c>
      <c r="E95" s="6">
        <v>4102.1000000000004</v>
      </c>
    </row>
    <row r="96" spans="2:5">
      <c r="B96" s="4">
        <v>46136</v>
      </c>
      <c r="C96" s="1">
        <v>2</v>
      </c>
      <c r="D96" t="s">
        <v>16</v>
      </c>
      <c r="E96" s="6">
        <v>1347.8</v>
      </c>
    </row>
    <row r="97" spans="2:5">
      <c r="B97" s="4">
        <v>46136</v>
      </c>
      <c r="C97" s="1">
        <v>1</v>
      </c>
      <c r="D97" t="s">
        <v>12</v>
      </c>
      <c r="E97" s="6">
        <v>739.9</v>
      </c>
    </row>
    <row r="98" spans="2:5">
      <c r="B98" s="4">
        <v>46136</v>
      </c>
      <c r="C98" s="1">
        <v>2</v>
      </c>
      <c r="D98" t="s">
        <v>13</v>
      </c>
      <c r="E98" s="6">
        <v>1595.88</v>
      </c>
    </row>
    <row r="99" spans="2:5">
      <c r="B99" s="4">
        <v>46136</v>
      </c>
      <c r="C99" s="1">
        <v>21</v>
      </c>
      <c r="D99" t="s">
        <v>14</v>
      </c>
      <c r="E99" s="6">
        <v>15251.65</v>
      </c>
    </row>
    <row r="100" spans="2:5">
      <c r="B100" s="4">
        <v>46137</v>
      </c>
      <c r="C100" s="1">
        <v>1</v>
      </c>
      <c r="D100" t="s">
        <v>13</v>
      </c>
      <c r="E100" s="6">
        <v>539.12</v>
      </c>
    </row>
    <row r="101" spans="2:5">
      <c r="B101" s="4">
        <v>46137</v>
      </c>
      <c r="C101" s="1">
        <v>31</v>
      </c>
      <c r="D101" t="s">
        <v>14</v>
      </c>
      <c r="E101" s="6">
        <v>22818.080000000002</v>
      </c>
    </row>
    <row r="102" spans="2:5">
      <c r="B102" s="4">
        <v>46137</v>
      </c>
      <c r="C102" s="1">
        <v>3</v>
      </c>
      <c r="D102" t="s">
        <v>16</v>
      </c>
      <c r="E102" s="6">
        <v>2348</v>
      </c>
    </row>
    <row r="103" spans="2:5">
      <c r="B103" s="4">
        <v>46138</v>
      </c>
      <c r="C103" s="1">
        <v>3</v>
      </c>
      <c r="D103" t="s">
        <v>13</v>
      </c>
      <c r="E103" s="6">
        <v>2299.08</v>
      </c>
    </row>
    <row r="104" spans="2:5">
      <c r="B104" s="4">
        <v>46138</v>
      </c>
      <c r="C104" s="1">
        <v>32</v>
      </c>
      <c r="D104" t="s">
        <v>14</v>
      </c>
      <c r="E104" s="6">
        <v>25019.45</v>
      </c>
    </row>
    <row r="105" spans="2:5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tabSelected="1" workbookViewId="0">
      <selection activeCell="I1" sqref="I1:I1048576"/>
    </sheetView>
  </sheetViews>
  <sheetFormatPr defaultRowHeight="15" customHeight="1"/>
  <cols>
    <col min="1" max="1" width="3.7109375" customWidth="1"/>
    <col min="2" max="2" width="14.5703125" bestFit="1" customWidth="1"/>
    <col min="3" max="3" width="14.5703125" style="1" customWidth="1"/>
    <col min="4" max="4" width="17.140625" style="1" customWidth="1"/>
    <col min="5" max="5" width="60.7109375" bestFit="1" customWidth="1"/>
    <col min="6" max="6" width="14.140625" style="6" bestFit="1" customWidth="1"/>
    <col min="7" max="7" width="3.140625" customWidth="1"/>
    <col min="8" max="8" width="14.5703125" bestFit="1" customWidth="1"/>
    <col min="9" max="9" width="14.140625" bestFit="1" customWidth="1"/>
    <col min="10" max="10" width="14" customWidth="1"/>
    <col min="11" max="11" width="3.7109375" customWidth="1"/>
    <col min="12" max="12" width="18.28515625" bestFit="1" customWidth="1"/>
  </cols>
  <sheetData>
    <row r="1" spans="2:12" ht="14.45">
      <c r="F1" s="12">
        <f>SUBTOTAL(9,Tabela135[(R$) Valor])</f>
        <v>814152.59</v>
      </c>
    </row>
    <row r="2" spans="2:12" ht="14.45">
      <c r="B2" s="69" t="s">
        <v>19</v>
      </c>
      <c r="C2" s="69"/>
      <c r="D2" s="69"/>
      <c r="E2" s="69"/>
      <c r="F2" s="69"/>
      <c r="H2" s="70" t="s">
        <v>20</v>
      </c>
      <c r="I2" s="71"/>
      <c r="J2" s="72"/>
      <c r="L2" s="10" t="s">
        <v>1</v>
      </c>
    </row>
    <row r="3" spans="2:12" ht="14.45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5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75">
        <v>46030</v>
      </c>
      <c r="I4" s="20">
        <v>1021.54</v>
      </c>
      <c r="J4" s="21" t="s">
        <v>28</v>
      </c>
      <c r="L4" s="9" t="s">
        <v>12</v>
      </c>
    </row>
    <row r="5" spans="2:12" ht="14.45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76">
        <v>46042</v>
      </c>
      <c r="I5" s="17">
        <v>26000</v>
      </c>
      <c r="J5" s="15" t="s">
        <v>28</v>
      </c>
      <c r="L5" s="8" t="s">
        <v>13</v>
      </c>
    </row>
    <row r="6" spans="2:12" ht="14.45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75">
        <v>46051</v>
      </c>
      <c r="I6" s="20">
        <v>6559</v>
      </c>
      <c r="J6" s="21" t="s">
        <v>28</v>
      </c>
      <c r="L6" s="9" t="s">
        <v>14</v>
      </c>
    </row>
    <row r="7" spans="2:12" ht="14.45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76">
        <v>46087</v>
      </c>
      <c r="I7" s="17">
        <v>14000</v>
      </c>
      <c r="J7" s="15" t="s">
        <v>28</v>
      </c>
      <c r="L7" s="8" t="s">
        <v>16</v>
      </c>
    </row>
    <row r="8" spans="2:12" ht="14.45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75">
        <v>46090</v>
      </c>
      <c r="I8" s="20">
        <v>24200</v>
      </c>
      <c r="J8" s="21" t="s">
        <v>28</v>
      </c>
      <c r="L8" s="9" t="s">
        <v>15</v>
      </c>
    </row>
    <row r="9" spans="2:12" ht="14.45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76">
        <v>46119</v>
      </c>
      <c r="I9" s="17">
        <v>3200</v>
      </c>
      <c r="J9" s="15" t="s">
        <v>32</v>
      </c>
      <c r="L9" s="8" t="s">
        <v>17</v>
      </c>
    </row>
    <row r="10" spans="2:12" ht="14.45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75">
        <v>46122</v>
      </c>
      <c r="I10" s="20">
        <v>2000</v>
      </c>
      <c r="J10" s="21" t="s">
        <v>34</v>
      </c>
      <c r="L10" s="11" t="s">
        <v>18</v>
      </c>
    </row>
    <row r="11" spans="2:12" ht="14.45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76">
        <v>46129</v>
      </c>
      <c r="I11" s="17">
        <v>4300</v>
      </c>
      <c r="J11" s="15" t="s">
        <v>32</v>
      </c>
      <c r="L11" s="8" t="s">
        <v>35</v>
      </c>
    </row>
    <row r="12" spans="2:12" ht="14.45">
      <c r="B12" s="4">
        <v>46119</v>
      </c>
      <c r="C12" s="47" t="s">
        <v>36</v>
      </c>
      <c r="D12" s="1" t="s">
        <v>13</v>
      </c>
      <c r="F12" s="6">
        <v>3200</v>
      </c>
      <c r="H12" s="75">
        <v>46132</v>
      </c>
      <c r="I12" s="41">
        <v>4825</v>
      </c>
      <c r="J12" s="42" t="s">
        <v>32</v>
      </c>
      <c r="L12" s="11" t="s">
        <v>37</v>
      </c>
    </row>
    <row r="13" spans="2:12" ht="14.45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76">
        <v>46134</v>
      </c>
      <c r="I13" s="50">
        <v>10000</v>
      </c>
      <c r="J13" s="51" t="s">
        <v>28</v>
      </c>
      <c r="L13" s="8" t="s">
        <v>39</v>
      </c>
    </row>
    <row r="14" spans="2:12" ht="14.45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75">
        <v>46134</v>
      </c>
      <c r="I14" s="41">
        <v>22000</v>
      </c>
      <c r="J14" s="21" t="s">
        <v>32</v>
      </c>
      <c r="L14" s="11" t="s">
        <v>26</v>
      </c>
    </row>
    <row r="15" spans="2:12" ht="14.45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76">
        <v>46137</v>
      </c>
      <c r="I15" s="50">
        <v>10000</v>
      </c>
      <c r="J15" s="51" t="s">
        <v>32</v>
      </c>
    </row>
    <row r="16" spans="2:12" ht="14.45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75">
        <v>46137</v>
      </c>
      <c r="I16" s="20">
        <v>7770</v>
      </c>
      <c r="J16" s="21" t="s">
        <v>28</v>
      </c>
    </row>
    <row r="17" spans="2:9" ht="14.45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5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5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5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5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5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5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5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5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5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5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5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5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>
      <c r="B51" s="4">
        <v>46137</v>
      </c>
      <c r="C51" s="1" t="s">
        <v>36</v>
      </c>
      <c r="D51" s="65" t="s">
        <v>13</v>
      </c>
      <c r="F51" s="6">
        <v>10000</v>
      </c>
    </row>
    <row r="52" spans="2:6" ht="15" customHeight="1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>
      <c r="B53" s="4">
        <v>46139</v>
      </c>
      <c r="C53" s="66" t="s">
        <v>26</v>
      </c>
      <c r="D53" s="65" t="s">
        <v>13</v>
      </c>
      <c r="E53" s="1" t="s">
        <v>13</v>
      </c>
      <c r="F53" s="67">
        <v>7770</v>
      </c>
    </row>
    <row r="54" spans="2:6" ht="15" customHeight="1">
      <c r="B54" s="21"/>
      <c r="C54" s="22"/>
      <c r="D54" s="22"/>
      <c r="E54" s="21"/>
      <c r="F54" s="64"/>
    </row>
    <row r="55" spans="2:6" ht="15" customHeight="1">
      <c r="B55" s="15"/>
      <c r="C55" s="23"/>
      <c r="D55" s="23"/>
      <c r="E55" s="15"/>
      <c r="F55" s="62"/>
    </row>
    <row r="56" spans="2:6" ht="15" customHeight="1">
      <c r="B56" s="21"/>
      <c r="C56" s="22"/>
      <c r="D56" s="22"/>
      <c r="E56" s="21"/>
      <c r="F56" s="64"/>
    </row>
    <row r="57" spans="2:6" ht="15" customHeight="1">
      <c r="B57" s="15"/>
      <c r="C57" s="23"/>
      <c r="D57" s="23"/>
      <c r="E57" s="15"/>
      <c r="F57" s="62"/>
    </row>
    <row r="58" spans="2:6" ht="15" customHeight="1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/>
  <cols>
    <col min="1" max="1" width="2.7109375" customWidth="1"/>
    <col min="2" max="2" width="15.140625" bestFit="1" customWidth="1"/>
    <col min="3" max="3" width="30.5703125" style="43" bestFit="1" customWidth="1"/>
    <col min="4" max="4" width="38.28515625" style="1" bestFit="1" customWidth="1"/>
    <col min="5" max="5" width="18.140625" style="6" bestFit="1" customWidth="1"/>
    <col min="6" max="6" width="14.85546875" style="6" bestFit="1" customWidth="1"/>
    <col min="7" max="7" width="2.7109375" customWidth="1"/>
    <col min="8" max="8" width="29" bestFit="1" customWidth="1"/>
    <col min="9" max="9" width="2.7109375" customWidth="1"/>
  </cols>
  <sheetData>
    <row r="1" spans="2:8" ht="14.45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>
      <c r="B2" s="69" t="s">
        <v>52</v>
      </c>
      <c r="C2" s="69"/>
      <c r="D2" s="69"/>
      <c r="E2" s="69"/>
      <c r="F2" s="69"/>
      <c r="G2" t="s">
        <v>53</v>
      </c>
      <c r="H2" s="7" t="s">
        <v>54</v>
      </c>
    </row>
    <row r="3" spans="2:8" ht="14.45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5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5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5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5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5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5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5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5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5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5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5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5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5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5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5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5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5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5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5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5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5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5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5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5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5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5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5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5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5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5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5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5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5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5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5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5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5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5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5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5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5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5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5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5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5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5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5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5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5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5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5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5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5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5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5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5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5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5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5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5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5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5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5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5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5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5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5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5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5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5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5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5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5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5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5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5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5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5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5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5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5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5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5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5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5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5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5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5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5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5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5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5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5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5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5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5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5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5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5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5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5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5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5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5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5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5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5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5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5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5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5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5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5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5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5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5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5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5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>
      <c r="B181" s="4">
        <v>46136</v>
      </c>
      <c r="C181" s="43" t="s">
        <v>208</v>
      </c>
      <c r="D181" s="43" t="s">
        <v>168</v>
      </c>
      <c r="E181" s="68"/>
      <c r="F181" s="6">
        <v>1019.45</v>
      </c>
    </row>
    <row r="182" spans="2:6" ht="15" customHeight="1">
      <c r="B182" s="4">
        <v>46136</v>
      </c>
      <c r="C182" s="43" t="s">
        <v>209</v>
      </c>
      <c r="D182" s="43" t="s">
        <v>210</v>
      </c>
      <c r="E182" s="68"/>
      <c r="F182" s="6">
        <v>4000</v>
      </c>
    </row>
    <row r="183" spans="2:6" ht="15" customHeight="1">
      <c r="B183" s="4">
        <v>46136</v>
      </c>
      <c r="C183" s="43" t="s">
        <v>211</v>
      </c>
      <c r="D183" s="43" t="s">
        <v>205</v>
      </c>
      <c r="E183" s="68"/>
      <c r="F183" s="6">
        <v>126.87</v>
      </c>
    </row>
    <row r="184" spans="2:6" ht="15" customHeight="1">
      <c r="B184" s="4">
        <v>46136</v>
      </c>
      <c r="C184" s="43" t="s">
        <v>171</v>
      </c>
      <c r="D184" s="43" t="s">
        <v>171</v>
      </c>
      <c r="E184" s="68"/>
      <c r="F184" s="6">
        <v>145.99</v>
      </c>
    </row>
    <row r="185" spans="2:6" ht="15" customHeight="1">
      <c r="B185" s="4">
        <v>46136</v>
      </c>
      <c r="C185" s="43" t="s">
        <v>83</v>
      </c>
      <c r="D185" s="43" t="s">
        <v>84</v>
      </c>
      <c r="E185" s="68"/>
      <c r="F185" s="6">
        <v>458.33</v>
      </c>
    </row>
    <row r="186" spans="2:6" ht="15" customHeight="1">
      <c r="B186" s="4">
        <v>46136</v>
      </c>
      <c r="C186" s="43" t="s">
        <v>212</v>
      </c>
      <c r="D186" s="43" t="s">
        <v>213</v>
      </c>
      <c r="E186" s="68"/>
      <c r="F186" s="6">
        <v>8982.7099999999991</v>
      </c>
    </row>
    <row r="187" spans="2:6" ht="15" customHeight="1">
      <c r="B187" s="4">
        <v>46136</v>
      </c>
      <c r="C187" s="43" t="s">
        <v>214</v>
      </c>
      <c r="D187" s="43" t="s">
        <v>66</v>
      </c>
      <c r="E187" s="68"/>
      <c r="F187" s="6">
        <v>438.72</v>
      </c>
    </row>
    <row r="188" spans="2:6" ht="15" customHeight="1">
      <c r="B188" s="4">
        <v>46136</v>
      </c>
      <c r="C188" s="43" t="s">
        <v>214</v>
      </c>
      <c r="D188" s="43" t="s">
        <v>66</v>
      </c>
      <c r="E188" s="68"/>
      <c r="F188" s="6">
        <v>826.34</v>
      </c>
    </row>
    <row r="189" spans="2:6" ht="15" customHeight="1">
      <c r="B189" s="4">
        <v>46136</v>
      </c>
      <c r="C189" s="43" t="s">
        <v>111</v>
      </c>
      <c r="D189" s="43" t="s">
        <v>66</v>
      </c>
      <c r="E189" s="68"/>
      <c r="F189" s="6">
        <v>2278.8000000000002</v>
      </c>
    </row>
    <row r="190" spans="2:6" ht="15" customHeight="1">
      <c r="B190" s="4">
        <v>46136</v>
      </c>
      <c r="C190" s="43" t="s">
        <v>166</v>
      </c>
      <c r="D190" s="43" t="s">
        <v>66</v>
      </c>
      <c r="E190" s="68"/>
      <c r="F190" s="6">
        <v>8219</v>
      </c>
    </row>
    <row r="191" spans="2:6" ht="15" customHeight="1">
      <c r="B191" s="4">
        <v>46136</v>
      </c>
      <c r="C191" s="43" t="s">
        <v>160</v>
      </c>
      <c r="D191" s="43" t="s">
        <v>63</v>
      </c>
      <c r="E191" s="68"/>
      <c r="F191" s="6">
        <v>1700</v>
      </c>
    </row>
    <row r="192" spans="2:6" ht="15" customHeight="1">
      <c r="B192" s="4">
        <v>46136</v>
      </c>
      <c r="C192" s="43" t="s">
        <v>81</v>
      </c>
      <c r="D192" s="43" t="s">
        <v>63</v>
      </c>
      <c r="E192" s="68"/>
      <c r="F192" s="6">
        <v>115.6</v>
      </c>
    </row>
    <row r="193" spans="2:6" ht="15" customHeight="1">
      <c r="B193" s="4">
        <v>46136</v>
      </c>
      <c r="C193" s="43" t="s">
        <v>67</v>
      </c>
      <c r="D193" s="43" t="s">
        <v>63</v>
      </c>
      <c r="E193" s="68"/>
      <c r="F193" s="6">
        <v>258.01</v>
      </c>
    </row>
    <row r="194" spans="2:6" ht="15" customHeight="1">
      <c r="B194" s="4">
        <v>46136</v>
      </c>
      <c r="C194" s="43" t="s">
        <v>215</v>
      </c>
      <c r="D194" s="43" t="s">
        <v>215</v>
      </c>
      <c r="E194" s="68"/>
      <c r="F194" s="6">
        <v>1244.3</v>
      </c>
    </row>
    <row r="195" spans="2:6" ht="15" customHeight="1">
      <c r="B195" s="4">
        <v>46136</v>
      </c>
      <c r="C195" s="43" t="s">
        <v>193</v>
      </c>
      <c r="D195" s="43" t="s">
        <v>66</v>
      </c>
      <c r="E195" s="68"/>
      <c r="F195" s="6">
        <v>3941.28</v>
      </c>
    </row>
    <row r="196" spans="2:6" ht="15" customHeight="1">
      <c r="B196" s="4">
        <v>46136</v>
      </c>
      <c r="D196" s="43"/>
      <c r="E196" s="68"/>
    </row>
    <row r="197" spans="2:6" ht="15" customHeight="1">
      <c r="B197" s="4">
        <v>46136</v>
      </c>
      <c r="D197" s="43"/>
      <c r="E197" s="68"/>
    </row>
    <row r="198" spans="2:6" ht="15" customHeight="1">
      <c r="B198" s="4">
        <v>46136</v>
      </c>
      <c r="D198" s="43"/>
      <c r="E198" s="68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workbookViewId="0">
      <selection activeCell="C6" sqref="C6"/>
    </sheetView>
  </sheetViews>
  <sheetFormatPr defaultRowHeight="15" customHeight="1"/>
  <cols>
    <col min="1" max="1" width="2.7109375" customWidth="1"/>
    <col min="2" max="2" width="11.140625" bestFit="1" customWidth="1"/>
    <col min="3" max="3" width="6.7109375" bestFit="1" customWidth="1"/>
    <col min="4" max="4" width="13" bestFit="1" customWidth="1"/>
    <col min="5" max="5" width="8.42578125" bestFit="1" customWidth="1"/>
    <col min="6" max="6" width="6.85546875" bestFit="1" customWidth="1"/>
  </cols>
  <sheetData>
    <row r="1" spans="2:6" ht="14.45"/>
    <row r="2" spans="2:6" ht="15" customHeight="1">
      <c r="B2" s="73" t="s">
        <v>216</v>
      </c>
      <c r="C2" s="74"/>
      <c r="D2" s="74"/>
      <c r="E2" s="74"/>
      <c r="F2" s="74"/>
    </row>
    <row r="3" spans="2:6" ht="14.45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5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5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5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5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5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5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5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5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5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5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5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5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5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5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5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5"/>
    <row r="20" spans="2:6" ht="14.45"/>
    <row r="21" spans="2:6" ht="14.45"/>
    <row r="22" spans="2:6" ht="14.45"/>
    <row r="23" spans="2:6" ht="14.45"/>
    <row r="24" spans="2:6" ht="14.45"/>
    <row r="25" spans="2:6" ht="14.45"/>
    <row r="26" spans="2:6" ht="14.45"/>
    <row r="27" spans="2:6" ht="14.45"/>
    <row r="28" spans="2:6" ht="14.45"/>
    <row r="29" spans="2:6" ht="14.45"/>
    <row r="30" spans="2:6" ht="14.45"/>
    <row r="31" spans="2:6" ht="14.45"/>
    <row r="32" spans="2:6" ht="14.45"/>
    <row r="33" ht="14.45"/>
    <row r="34" ht="14.45"/>
    <row r="35" ht="14.45"/>
    <row r="36" ht="14.45"/>
    <row r="37" ht="14.45"/>
    <row r="38" ht="14.45"/>
    <row r="39" ht="14.45"/>
    <row r="40" ht="14.45"/>
    <row r="41" ht="14.45"/>
    <row r="42" ht="14.45"/>
    <row r="43" ht="14.45"/>
    <row r="44" ht="14.45"/>
    <row r="45" ht="14.45"/>
    <row r="46" ht="14.45"/>
    <row r="47" ht="14.45"/>
    <row r="48" ht="14.45"/>
    <row r="49" ht="14.45"/>
    <row r="50" ht="14.45"/>
    <row r="51" ht="14.45"/>
    <row r="52" ht="14.45"/>
    <row r="53" ht="14.45"/>
    <row r="54" ht="14.45"/>
    <row r="55" ht="14.45"/>
    <row r="56" ht="14.45"/>
    <row r="57" ht="14.45"/>
    <row r="58" ht="14.45"/>
    <row r="59" ht="14.45"/>
    <row r="60" ht="14.45"/>
    <row r="61" ht="14.45"/>
    <row r="62" ht="14.45"/>
    <row r="63" ht="14.45"/>
    <row r="64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5"/>
  <cols>
    <col min="2" max="2" width="14.5703125" bestFit="1" customWidth="1"/>
    <col min="3" max="3" width="16.140625" style="1" bestFit="1" customWidth="1"/>
    <col min="4" max="4" width="26" customWidth="1"/>
    <col min="5" max="5" width="14.140625" style="6" bestFit="1" customWidth="1"/>
    <col min="6" max="6" width="2.7109375" customWidth="1"/>
    <col min="7" max="7" width="31" bestFit="1" customWidth="1"/>
  </cols>
  <sheetData>
    <row r="1" spans="2:7">
      <c r="E1" s="12">
        <f>SUM(Tabela1356[(R$) Valor])</f>
        <v>670865.03999999992</v>
      </c>
    </row>
    <row r="2" spans="2:7">
      <c r="B2" s="69" t="s">
        <v>222</v>
      </c>
      <c r="C2" s="69"/>
      <c r="D2" s="69"/>
      <c r="E2" s="69"/>
      <c r="G2" s="7" t="s">
        <v>54</v>
      </c>
    </row>
    <row r="3" spans="2:7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>
      <c r="B28" s="4">
        <v>46126</v>
      </c>
      <c r="C28" s="1" t="s">
        <v>119</v>
      </c>
      <c r="D28" t="s">
        <v>224</v>
      </c>
      <c r="E28" s="6">
        <v>99715.1</v>
      </c>
    </row>
    <row r="29" spans="2:7">
      <c r="B29" s="4">
        <v>46126</v>
      </c>
      <c r="C29" s="1" t="s">
        <v>111</v>
      </c>
      <c r="D29" t="s">
        <v>228</v>
      </c>
      <c r="E29" s="6">
        <v>1437</v>
      </c>
    </row>
    <row r="30" spans="2:7">
      <c r="B30" s="4">
        <v>46126</v>
      </c>
      <c r="C30" s="1" t="s">
        <v>80</v>
      </c>
      <c r="D30" t="s">
        <v>226</v>
      </c>
      <c r="E30" s="6">
        <v>37</v>
      </c>
    </row>
    <row r="31" spans="2:7">
      <c r="B31" s="4">
        <v>46126</v>
      </c>
      <c r="C31" s="1" t="s">
        <v>229</v>
      </c>
      <c r="D31" t="s">
        <v>230</v>
      </c>
      <c r="E31" s="6">
        <v>13020.4</v>
      </c>
    </row>
    <row r="32" spans="2:7">
      <c r="B32" s="4">
        <v>46126</v>
      </c>
      <c r="C32" s="1" t="s">
        <v>104</v>
      </c>
      <c r="D32" t="s">
        <v>223</v>
      </c>
      <c r="E32" s="6">
        <v>8974.75</v>
      </c>
    </row>
    <row r="33" spans="2:5">
      <c r="B33" s="4">
        <v>46126</v>
      </c>
      <c r="C33" s="1" t="s">
        <v>137</v>
      </c>
      <c r="D33" t="s">
        <v>226</v>
      </c>
      <c r="E33" s="6">
        <v>534.5</v>
      </c>
    </row>
    <row r="34" spans="2:5">
      <c r="B34" s="4">
        <v>46126</v>
      </c>
      <c r="C34" s="1" t="s">
        <v>93</v>
      </c>
      <c r="D34" t="s">
        <v>228</v>
      </c>
      <c r="E34" s="6">
        <v>1680</v>
      </c>
    </row>
    <row r="35" spans="2:5">
      <c r="B35" s="4">
        <v>46126</v>
      </c>
      <c r="C35" s="1" t="s">
        <v>112</v>
      </c>
      <c r="D35" t="s">
        <v>226</v>
      </c>
      <c r="E35" s="6">
        <v>4390</v>
      </c>
    </row>
    <row r="36" spans="2:5">
      <c r="B36" s="4">
        <v>46127</v>
      </c>
      <c r="C36" s="1" t="s">
        <v>199</v>
      </c>
      <c r="D36" t="s">
        <v>231</v>
      </c>
      <c r="E36" s="6">
        <v>8024</v>
      </c>
    </row>
    <row r="37" spans="2:5">
      <c r="B37" s="4">
        <v>46127</v>
      </c>
      <c r="C37" s="1" t="s">
        <v>193</v>
      </c>
      <c r="D37" t="s">
        <v>231</v>
      </c>
      <c r="E37" s="6">
        <v>20357.04</v>
      </c>
    </row>
    <row r="38" spans="2:5">
      <c r="B38" s="4">
        <v>46128</v>
      </c>
      <c r="C38" s="1" t="s">
        <v>124</v>
      </c>
      <c r="D38" t="s">
        <v>232</v>
      </c>
      <c r="E38" s="6">
        <v>3300.7</v>
      </c>
    </row>
    <row r="39" spans="2:5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>
      <c r="B40" s="4">
        <v>46134</v>
      </c>
      <c r="C40" s="1" t="s">
        <v>65</v>
      </c>
      <c r="D40" t="s">
        <v>234</v>
      </c>
      <c r="E40" s="6">
        <v>11765</v>
      </c>
    </row>
    <row r="41" spans="2:5">
      <c r="B41" s="4">
        <v>46134</v>
      </c>
      <c r="C41" s="1" t="s">
        <v>119</v>
      </c>
      <c r="D41" t="s">
        <v>235</v>
      </c>
      <c r="E41" s="6">
        <v>1958.46</v>
      </c>
    </row>
    <row r="42" spans="2:5">
      <c r="B42" s="4">
        <v>46134</v>
      </c>
      <c r="C42" s="1" t="s">
        <v>70</v>
      </c>
      <c r="D42" t="s">
        <v>224</v>
      </c>
      <c r="E42" s="6">
        <v>1522.95</v>
      </c>
    </row>
    <row r="43" spans="2:5">
      <c r="B43" s="4">
        <v>46134</v>
      </c>
      <c r="C43" s="1" t="s">
        <v>124</v>
      </c>
      <c r="D43" t="s">
        <v>224</v>
      </c>
      <c r="E43" s="6">
        <v>41442.46</v>
      </c>
    </row>
    <row r="44" spans="2:5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gerencia@gottbike.com.br</cp:lastModifiedBy>
  <cp:revision/>
  <dcterms:created xsi:type="dcterms:W3CDTF">2026-04-15T12:26:38Z</dcterms:created>
  <dcterms:modified xsi:type="dcterms:W3CDTF">2026-04-27T17:08:42Z</dcterms:modified>
  <cp:category/>
  <cp:contentStatus/>
</cp:coreProperties>
</file>